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ED105D28-C6B1-43ED-A325-066F19718E58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Corrosion!$A$1:$DZ$134</definedName>
    <definedName name="_xlnm.Print_Area" localSheetId="4">Low!$A$1:$DZ$134</definedName>
    <definedName name="_xlnm.Print_Area" localSheetId="2">Projection!$A$1:$DZ$134</definedName>
    <definedName name="_xlnm.Print_Area" localSheetId="3">Retirement!$A$1:$DZ$134</definedName>
    <definedName name="_xlnm.Print_Area" localSheetId="0">Thickness!$A$1:$DZ$134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34" i="5" l="1"/>
  <c r="AW134" i="5"/>
  <c r="CL133" i="5"/>
  <c r="CL131" i="5"/>
  <c r="CL130" i="5"/>
  <c r="BO114" i="5"/>
  <c r="BN114" i="5"/>
  <c r="BO113" i="5"/>
  <c r="BN113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BN112" i="5" s="1"/>
  <c r="D112" i="5"/>
  <c r="BO112" i="5" s="1"/>
  <c r="BK109" i="5"/>
  <c r="BJ109" i="5"/>
  <c r="BH109" i="5"/>
  <c r="BG109" i="5"/>
  <c r="BE109" i="5"/>
  <c r="BD109" i="5"/>
  <c r="BB109" i="5"/>
  <c r="BA109" i="5"/>
  <c r="AY109" i="5"/>
  <c r="AX109" i="5"/>
  <c r="AV109" i="5"/>
  <c r="AU109" i="5"/>
  <c r="AS109" i="5"/>
  <c r="AR109" i="5"/>
  <c r="AP109" i="5"/>
  <c r="AO109" i="5"/>
  <c r="AL109" i="5"/>
  <c r="AK109" i="5"/>
  <c r="AI109" i="5"/>
  <c r="AH109" i="5"/>
  <c r="AF109" i="5"/>
  <c r="AE109" i="5"/>
  <c r="AB109" i="5"/>
  <c r="AA109" i="5"/>
  <c r="Y109" i="5"/>
  <c r="X109" i="5"/>
  <c r="V109" i="5"/>
  <c r="U109" i="5"/>
  <c r="S109" i="5"/>
  <c r="R109" i="5"/>
  <c r="P109" i="5"/>
  <c r="O109" i="5"/>
  <c r="M109" i="5"/>
  <c r="BN109" i="5" s="1"/>
  <c r="L109" i="5"/>
  <c r="J109" i="5"/>
  <c r="I109" i="5"/>
  <c r="G109" i="5"/>
  <c r="BO109" i="5" s="1"/>
  <c r="F109" i="5"/>
  <c r="BO107" i="5" s="1"/>
  <c r="BK106" i="5"/>
  <c r="BJ106" i="5"/>
  <c r="BH106" i="5"/>
  <c r="BG106" i="5"/>
  <c r="BE106" i="5"/>
  <c r="BD106" i="5"/>
  <c r="BB106" i="5"/>
  <c r="BA106" i="5"/>
  <c r="AY106" i="5"/>
  <c r="AX106" i="5"/>
  <c r="AV106" i="5"/>
  <c r="AU106" i="5"/>
  <c r="AS106" i="5"/>
  <c r="AR106" i="5"/>
  <c r="AP106" i="5"/>
  <c r="AO106" i="5"/>
  <c r="AL106" i="5"/>
  <c r="AK106" i="5"/>
  <c r="AI106" i="5"/>
  <c r="AH106" i="5"/>
  <c r="AF106" i="5"/>
  <c r="AE106" i="5"/>
  <c r="AB106" i="5"/>
  <c r="BN104" i="5" s="1"/>
  <c r="AA106" i="5"/>
  <c r="Y106" i="5"/>
  <c r="X106" i="5"/>
  <c r="V106" i="5"/>
  <c r="U106" i="5"/>
  <c r="S106" i="5"/>
  <c r="R106" i="5"/>
  <c r="P106" i="5"/>
  <c r="O106" i="5"/>
  <c r="M106" i="5"/>
  <c r="L106" i="5"/>
  <c r="J106" i="5"/>
  <c r="I106" i="5"/>
  <c r="G106" i="5"/>
  <c r="F106" i="5"/>
  <c r="BO106" i="5" s="1"/>
  <c r="BO103" i="5"/>
  <c r="BK103" i="5"/>
  <c r="BJ103" i="5"/>
  <c r="BH103" i="5"/>
  <c r="BG103" i="5"/>
  <c r="BE103" i="5"/>
  <c r="BD103" i="5"/>
  <c r="BB103" i="5"/>
  <c r="BA103" i="5"/>
  <c r="AY103" i="5"/>
  <c r="AX103" i="5"/>
  <c r="AV103" i="5"/>
  <c r="AU103" i="5"/>
  <c r="AS103" i="5"/>
  <c r="AR103" i="5"/>
  <c r="AP103" i="5"/>
  <c r="AO103" i="5"/>
  <c r="AL103" i="5"/>
  <c r="AK103" i="5"/>
  <c r="AI103" i="5"/>
  <c r="AH103" i="5"/>
  <c r="AF103" i="5"/>
  <c r="AE103" i="5"/>
  <c r="AB103" i="5"/>
  <c r="AA103" i="5"/>
  <c r="Y103" i="5"/>
  <c r="X103" i="5"/>
  <c r="V103" i="5"/>
  <c r="U103" i="5"/>
  <c r="S103" i="5"/>
  <c r="R103" i="5"/>
  <c r="P103" i="5"/>
  <c r="O103" i="5"/>
  <c r="M103" i="5"/>
  <c r="L103" i="5"/>
  <c r="J103" i="5"/>
  <c r="I103" i="5"/>
  <c r="G103" i="5"/>
  <c r="F103" i="5"/>
  <c r="BN103" i="5" s="1"/>
  <c r="BO102" i="5"/>
  <c r="BM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BO99" i="5" s="1"/>
  <c r="H100" i="5"/>
  <c r="G100" i="5"/>
  <c r="F100" i="5"/>
  <c r="E100" i="5"/>
  <c r="D100" i="5"/>
  <c r="BN99" i="5" s="1"/>
  <c r="BM97" i="5"/>
  <c r="BL97" i="5"/>
  <c r="BK97" i="5"/>
  <c r="BI97" i="5"/>
  <c r="BH97" i="5"/>
  <c r="BG97" i="5"/>
  <c r="BF97" i="5"/>
  <c r="BE97" i="5"/>
  <c r="BD97" i="5"/>
  <c r="BC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BN95" i="5" s="1"/>
  <c r="H97" i="5"/>
  <c r="G97" i="5"/>
  <c r="F97" i="5"/>
  <c r="E97" i="5"/>
  <c r="BO97" i="5" s="1"/>
  <c r="D97" i="5"/>
  <c r="BN97" i="5" s="1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BN93" i="5" s="1"/>
  <c r="V94" i="5"/>
  <c r="U94" i="5"/>
  <c r="T94" i="5"/>
  <c r="S94" i="5"/>
  <c r="R94" i="5"/>
  <c r="Q94" i="5"/>
  <c r="BO93" i="5" s="1"/>
  <c r="P94" i="5"/>
  <c r="O94" i="5"/>
  <c r="N94" i="5"/>
  <c r="M94" i="5"/>
  <c r="L94" i="5"/>
  <c r="K94" i="5"/>
  <c r="J94" i="5"/>
  <c r="I94" i="5"/>
  <c r="H94" i="5"/>
  <c r="BO92" i="5" s="1"/>
  <c r="G94" i="5"/>
  <c r="F94" i="5"/>
  <c r="BO94" i="5" s="1"/>
  <c r="D94" i="5"/>
  <c r="BM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AG131" i="5" s="1"/>
  <c r="G91" i="5"/>
  <c r="F91" i="5"/>
  <c r="BN89" i="5" s="1"/>
  <c r="D91" i="5"/>
  <c r="AG132" i="5" s="1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BN87" i="5" s="1"/>
  <c r="H88" i="5"/>
  <c r="G88" i="5"/>
  <c r="F88" i="5"/>
  <c r="E88" i="5"/>
  <c r="BO88" i="5" s="1"/>
  <c r="D88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BO85" i="5" s="1"/>
  <c r="BO84" i="5"/>
  <c r="AL82" i="5"/>
  <c r="BN81" i="5" s="1"/>
  <c r="AK82" i="5"/>
  <c r="AJ82" i="5"/>
  <c r="AI82" i="5"/>
  <c r="AH82" i="5"/>
  <c r="BO81" i="5" s="1"/>
  <c r="AG82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BO78" i="5" s="1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BO79" i="5" s="1"/>
  <c r="AL76" i="5"/>
  <c r="BN75" i="5" s="1"/>
  <c r="AK76" i="5"/>
  <c r="AJ76" i="5"/>
  <c r="AI76" i="5"/>
  <c r="AH76" i="5"/>
  <c r="BO75" i="5" s="1"/>
  <c r="AG76" i="5"/>
  <c r="AL73" i="5"/>
  <c r="AK73" i="5"/>
  <c r="AJ73" i="5"/>
  <c r="BO71" i="5" s="1"/>
  <c r="AI73" i="5"/>
  <c r="AH73" i="5"/>
  <c r="BN71" i="5" s="1"/>
  <c r="AG73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BN69" i="5" s="1"/>
  <c r="H70" i="5"/>
  <c r="G70" i="5"/>
  <c r="F70" i="5"/>
  <c r="E70" i="5"/>
  <c r="BO70" i="5" s="1"/>
  <c r="D70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BO66" i="5" s="1"/>
  <c r="O67" i="5"/>
  <c r="N67" i="5"/>
  <c r="M67" i="5"/>
  <c r="L67" i="5"/>
  <c r="K67" i="5"/>
  <c r="J67" i="5"/>
  <c r="I67" i="5"/>
  <c r="H67" i="5"/>
  <c r="G67" i="5"/>
  <c r="BO65" i="5" s="1"/>
  <c r="F67" i="5"/>
  <c r="E67" i="5"/>
  <c r="BN67" i="5" s="1"/>
  <c r="D67" i="5"/>
  <c r="BO67" i="5" s="1"/>
  <c r="BN66" i="5"/>
  <c r="BM64" i="5"/>
  <c r="BK64" i="5"/>
  <c r="BJ64" i="5"/>
  <c r="BI64" i="5"/>
  <c r="BH64" i="5"/>
  <c r="BG64" i="5"/>
  <c r="BF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BN63" i="5" s="1"/>
  <c r="G64" i="5"/>
  <c r="F64" i="5"/>
  <c r="BO63" i="5" s="1"/>
  <c r="E64" i="5"/>
  <c r="D64" i="5"/>
  <c r="BO62" i="5" s="1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BN59" i="5" s="1"/>
  <c r="I61" i="5"/>
  <c r="H61" i="5"/>
  <c r="G61" i="5"/>
  <c r="F61" i="5"/>
  <c r="BO61" i="5" s="1"/>
  <c r="D61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O58" i="5"/>
  <c r="BN57" i="5" s="1"/>
  <c r="N58" i="5"/>
  <c r="M58" i="5"/>
  <c r="L58" i="5"/>
  <c r="K58" i="5"/>
  <c r="J58" i="5"/>
  <c r="I58" i="5"/>
  <c r="H58" i="5"/>
  <c r="G58" i="5"/>
  <c r="F58" i="5"/>
  <c r="BN56" i="5" s="1"/>
  <c r="E58" i="5"/>
  <c r="D58" i="5"/>
  <c r="BO58" i="5" s="1"/>
  <c r="BO56" i="5"/>
  <c r="BM55" i="5"/>
  <c r="BL55" i="5"/>
  <c r="BK55" i="5"/>
  <c r="BJ55" i="5"/>
  <c r="BI55" i="5"/>
  <c r="BH55" i="5"/>
  <c r="BG55" i="5"/>
  <c r="BF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O55" i="5"/>
  <c r="N55" i="5"/>
  <c r="M55" i="5"/>
  <c r="L55" i="5"/>
  <c r="K55" i="5"/>
  <c r="J55" i="5"/>
  <c r="I55" i="5"/>
  <c r="H55" i="5"/>
  <c r="G55" i="5"/>
  <c r="BO53" i="5" s="1"/>
  <c r="F55" i="5"/>
  <c r="BN54" i="5" s="1"/>
  <c r="E55" i="5"/>
  <c r="BN53" i="5" s="1"/>
  <c r="D55" i="5"/>
  <c r="BN55" i="5" s="1"/>
  <c r="AK52" i="5"/>
  <c r="AJ52" i="5"/>
  <c r="AI52" i="5"/>
  <c r="AH52" i="5"/>
  <c r="AG52" i="5"/>
  <c r="AF52" i="5"/>
  <c r="BO52" i="5" s="1"/>
  <c r="BN50" i="5"/>
  <c r="BO49" i="5"/>
  <c r="AK49" i="5"/>
  <c r="AJ49" i="5"/>
  <c r="AI49" i="5"/>
  <c r="AH49" i="5"/>
  <c r="AG49" i="5"/>
  <c r="BO48" i="5" s="1"/>
  <c r="AF49" i="5"/>
  <c r="BN47" i="5" s="1"/>
  <c r="AK46" i="5"/>
  <c r="AJ46" i="5"/>
  <c r="AI46" i="5"/>
  <c r="AH46" i="5"/>
  <c r="AG46" i="5"/>
  <c r="AF46" i="5"/>
  <c r="BO46" i="5" s="1"/>
  <c r="BO45" i="5"/>
  <c r="AK43" i="5"/>
  <c r="BN42" i="5" s="1"/>
  <c r="AJ43" i="5"/>
  <c r="AI43" i="5"/>
  <c r="AH43" i="5"/>
  <c r="AG43" i="5"/>
  <c r="BO42" i="5" s="1"/>
  <c r="AF43" i="5"/>
  <c r="AK40" i="5"/>
  <c r="AJ40" i="5"/>
  <c r="AI40" i="5"/>
  <c r="BO38" i="5" s="1"/>
  <c r="AH40" i="5"/>
  <c r="BN39" i="5" s="1"/>
  <c r="AG40" i="5"/>
  <c r="BN38" i="5" s="1"/>
  <c r="AF40" i="5"/>
  <c r="BM37" i="5"/>
  <c r="BL37" i="5"/>
  <c r="BK37" i="5"/>
  <c r="BJ37" i="5"/>
  <c r="BI37" i="5"/>
  <c r="BH37" i="5"/>
  <c r="BG37" i="5"/>
  <c r="BF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O37" i="5"/>
  <c r="N37" i="5"/>
  <c r="M37" i="5"/>
  <c r="L37" i="5"/>
  <c r="K37" i="5"/>
  <c r="J37" i="5"/>
  <c r="I37" i="5"/>
  <c r="H37" i="5"/>
  <c r="G37" i="5"/>
  <c r="F37" i="5"/>
  <c r="BN36" i="5" s="1"/>
  <c r="E37" i="5"/>
  <c r="D37" i="5"/>
  <c r="BO37" i="5" s="1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BO32" i="5" s="1"/>
  <c r="M34" i="5"/>
  <c r="L34" i="5"/>
  <c r="K34" i="5"/>
  <c r="J34" i="5"/>
  <c r="I34" i="5"/>
  <c r="H34" i="5"/>
  <c r="G34" i="5"/>
  <c r="F34" i="5"/>
  <c r="E34" i="5"/>
  <c r="BO34" i="5" s="1"/>
  <c r="D34" i="5"/>
  <c r="BN32" i="5"/>
  <c r="BL31" i="5"/>
  <c r="BK31" i="5"/>
  <c r="BJ31" i="5"/>
  <c r="BI31" i="5"/>
  <c r="BO29" i="5" s="1"/>
  <c r="H31" i="5"/>
  <c r="G31" i="5"/>
  <c r="F31" i="5"/>
  <c r="E31" i="5"/>
  <c r="BO30" i="5" s="1"/>
  <c r="BL28" i="5"/>
  <c r="BK28" i="5"/>
  <c r="BJ28" i="5"/>
  <c r="BI28" i="5"/>
  <c r="BO28" i="5" s="1"/>
  <c r="H28" i="5"/>
  <c r="BO27" i="5" s="1"/>
  <c r="G28" i="5"/>
  <c r="F28" i="5"/>
  <c r="E28" i="5"/>
  <c r="BO26" i="5" s="1"/>
  <c r="BL25" i="5"/>
  <c r="BK25" i="5"/>
  <c r="BJ25" i="5"/>
  <c r="BI25" i="5"/>
  <c r="H25" i="5"/>
  <c r="BO23" i="5" s="1"/>
  <c r="G25" i="5"/>
  <c r="F25" i="5"/>
  <c r="BN25" i="5" s="1"/>
  <c r="E25" i="5"/>
  <c r="BO25" i="5" s="1"/>
  <c r="BO24" i="5"/>
  <c r="BN24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BO21" i="5" s="1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BO18" i="5" s="1"/>
  <c r="K19" i="5"/>
  <c r="J19" i="5"/>
  <c r="I19" i="5"/>
  <c r="H19" i="5"/>
  <c r="G19" i="5"/>
  <c r="F19" i="5"/>
  <c r="E19" i="5"/>
  <c r="BO17" i="5" s="1"/>
  <c r="D19" i="5"/>
  <c r="BO19" i="5" s="1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BO16" i="5" s="1"/>
  <c r="E16" i="5"/>
  <c r="D16" i="5"/>
  <c r="BO15" i="5" s="1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AG128" i="5" s="1"/>
  <c r="M13" i="5"/>
  <c r="L13" i="5"/>
  <c r="K13" i="5"/>
  <c r="J13" i="5"/>
  <c r="I13" i="5"/>
  <c r="H13" i="5"/>
  <c r="BO11" i="5" s="1"/>
  <c r="G13" i="5"/>
  <c r="F13" i="5"/>
  <c r="E13" i="5"/>
  <c r="D13" i="5"/>
  <c r="BO13" i="5" s="1"/>
  <c r="BG10" i="5"/>
  <c r="BF10" i="5"/>
  <c r="BE10" i="5"/>
  <c r="BD10" i="5"/>
  <c r="AG121" i="5" s="1"/>
  <c r="BC10" i="5"/>
  <c r="BB10" i="5"/>
  <c r="AK10" i="5"/>
  <c r="AJ10" i="5"/>
  <c r="AI10" i="5"/>
  <c r="AH10" i="5"/>
  <c r="BO10" i="5" s="1"/>
  <c r="AG10" i="5"/>
  <c r="AF10" i="5"/>
  <c r="N10" i="5"/>
  <c r="M10" i="5"/>
  <c r="L10" i="5"/>
  <c r="K10" i="5"/>
  <c r="J10" i="5"/>
  <c r="BO8" i="5" s="1"/>
  <c r="I10" i="5"/>
  <c r="BN10" i="5" s="1"/>
  <c r="BN7" i="5"/>
  <c r="BG7" i="5"/>
  <c r="BF7" i="5"/>
  <c r="BD7" i="5"/>
  <c r="BC7" i="5"/>
  <c r="BB7" i="5"/>
  <c r="AK7" i="5"/>
  <c r="BO7" i="5" s="1"/>
  <c r="AI7" i="5"/>
  <c r="AH7" i="5"/>
  <c r="AF7" i="5"/>
  <c r="N7" i="5"/>
  <c r="L7" i="5"/>
  <c r="K7" i="5"/>
  <c r="J7" i="5"/>
  <c r="BO5" i="5" s="1"/>
  <c r="I7" i="5"/>
  <c r="BN6" i="5" s="1"/>
  <c r="BN4" i="5"/>
  <c r="BG4" i="5"/>
  <c r="BF4" i="5"/>
  <c r="BE4" i="5"/>
  <c r="BD4" i="5"/>
  <c r="BC4" i="5"/>
  <c r="BB4" i="5"/>
  <c r="BO4" i="5" s="1"/>
  <c r="AK4" i="5"/>
  <c r="AJ4" i="5"/>
  <c r="AI4" i="5"/>
  <c r="AH4" i="5"/>
  <c r="AG4" i="5"/>
  <c r="AF4" i="5"/>
  <c r="N4" i="5"/>
  <c r="M4" i="5"/>
  <c r="L4" i="5"/>
  <c r="K4" i="5"/>
  <c r="J4" i="5"/>
  <c r="I4" i="5"/>
  <c r="AG120" i="5" s="1"/>
  <c r="C1" i="5"/>
  <c r="A1" i="5"/>
  <c r="CL134" i="4"/>
  <c r="AW134" i="4"/>
  <c r="CL133" i="4"/>
  <c r="CL131" i="4"/>
  <c r="CL130" i="4"/>
  <c r="C1" i="4"/>
  <c r="A1" i="4"/>
  <c r="CL134" i="3"/>
  <c r="AW134" i="3"/>
  <c r="AG134" i="3"/>
  <c r="CL133" i="3"/>
  <c r="AG133" i="3"/>
  <c r="AG132" i="3"/>
  <c r="CL131" i="3"/>
  <c r="AG131" i="3"/>
  <c r="CL130" i="3"/>
  <c r="AG128" i="3"/>
  <c r="AG127" i="3"/>
  <c r="AG126" i="3"/>
  <c r="AG125" i="3"/>
  <c r="AG122" i="3"/>
  <c r="AG121" i="3"/>
  <c r="AG120" i="3"/>
  <c r="AG119" i="3"/>
  <c r="BO114" i="3"/>
  <c r="BN114" i="3"/>
  <c r="BO113" i="3"/>
  <c r="BN113" i="3"/>
  <c r="BO112" i="3"/>
  <c r="BN112" i="3"/>
  <c r="BO111" i="3"/>
  <c r="BN111" i="3"/>
  <c r="BO110" i="3"/>
  <c r="BN110" i="3"/>
  <c r="BO109" i="3"/>
  <c r="BN109" i="3"/>
  <c r="BO108" i="3"/>
  <c r="BN108" i="3"/>
  <c r="BO107" i="3"/>
  <c r="BN107" i="3"/>
  <c r="BO106" i="3"/>
  <c r="BN106" i="3"/>
  <c r="BO105" i="3"/>
  <c r="BN105" i="3"/>
  <c r="BO104" i="3"/>
  <c r="BN104" i="3"/>
  <c r="BO103" i="3"/>
  <c r="BN103" i="3"/>
  <c r="BO102" i="3"/>
  <c r="BN102" i="3"/>
  <c r="BO101" i="3"/>
  <c r="BN101" i="3"/>
  <c r="BO100" i="3"/>
  <c r="BN100" i="3"/>
  <c r="BO99" i="3"/>
  <c r="BN99" i="3"/>
  <c r="BO98" i="3"/>
  <c r="BN98" i="3"/>
  <c r="BO97" i="3"/>
  <c r="BN97" i="3"/>
  <c r="BO96" i="3"/>
  <c r="BN96" i="3"/>
  <c r="BO95" i="3"/>
  <c r="BN95" i="3"/>
  <c r="BO94" i="3"/>
  <c r="BN94" i="3"/>
  <c r="BO93" i="3"/>
  <c r="BN93" i="3"/>
  <c r="BO92" i="3"/>
  <c r="BN92" i="3"/>
  <c r="BO91" i="3"/>
  <c r="BN91" i="3"/>
  <c r="BO90" i="3"/>
  <c r="BN90" i="3"/>
  <c r="BO89" i="3"/>
  <c r="BN89" i="3"/>
  <c r="BO88" i="3"/>
  <c r="BN88" i="3"/>
  <c r="BO87" i="3"/>
  <c r="BN87" i="3"/>
  <c r="BO86" i="3"/>
  <c r="BN86" i="3"/>
  <c r="BO85" i="3"/>
  <c r="BN85" i="3"/>
  <c r="BO84" i="3"/>
  <c r="BN84" i="3"/>
  <c r="BO83" i="3"/>
  <c r="BN83" i="3"/>
  <c r="BO82" i="3"/>
  <c r="BN82" i="3"/>
  <c r="BO81" i="3"/>
  <c r="BN81" i="3"/>
  <c r="BO80" i="3"/>
  <c r="BN80" i="3"/>
  <c r="BO79" i="3"/>
  <c r="BN79" i="3"/>
  <c r="BO78" i="3"/>
  <c r="BN78" i="3"/>
  <c r="BO77" i="3"/>
  <c r="BN77" i="3"/>
  <c r="BO76" i="3"/>
  <c r="BN76" i="3"/>
  <c r="BO75" i="3"/>
  <c r="BN75" i="3"/>
  <c r="BO74" i="3"/>
  <c r="BN74" i="3"/>
  <c r="BO73" i="3"/>
  <c r="BN73" i="3"/>
  <c r="BO72" i="3"/>
  <c r="BN72" i="3"/>
  <c r="BO71" i="3"/>
  <c r="BN71" i="3"/>
  <c r="BO70" i="3"/>
  <c r="BN70" i="3"/>
  <c r="BO69" i="3"/>
  <c r="BN69" i="3"/>
  <c r="BO68" i="3"/>
  <c r="BN68" i="3"/>
  <c r="BO67" i="3"/>
  <c r="BN67" i="3"/>
  <c r="BO66" i="3"/>
  <c r="BN66" i="3"/>
  <c r="BO65" i="3"/>
  <c r="BN65" i="3"/>
  <c r="BO64" i="3"/>
  <c r="BN64" i="3"/>
  <c r="BO63" i="3"/>
  <c r="BN63" i="3"/>
  <c r="BO62" i="3"/>
  <c r="BN62" i="3"/>
  <c r="BO61" i="3"/>
  <c r="BN61" i="3"/>
  <c r="BO60" i="3"/>
  <c r="BN60" i="3"/>
  <c r="BO59" i="3"/>
  <c r="BN59" i="3"/>
  <c r="BO58" i="3"/>
  <c r="BN58" i="3"/>
  <c r="BO57" i="3"/>
  <c r="BN57" i="3"/>
  <c r="BO56" i="3"/>
  <c r="BN56" i="3"/>
  <c r="BO55" i="3"/>
  <c r="BN55" i="3"/>
  <c r="BO54" i="3"/>
  <c r="BN54" i="3"/>
  <c r="BO53" i="3"/>
  <c r="BN53" i="3"/>
  <c r="BO52" i="3"/>
  <c r="BN52" i="3"/>
  <c r="BO51" i="3"/>
  <c r="BN51" i="3"/>
  <c r="BO50" i="3"/>
  <c r="BN50" i="3"/>
  <c r="BO49" i="3"/>
  <c r="BN49" i="3"/>
  <c r="BO48" i="3"/>
  <c r="BN48" i="3"/>
  <c r="BO47" i="3"/>
  <c r="BN47" i="3"/>
  <c r="BO46" i="3"/>
  <c r="BN46" i="3"/>
  <c r="BO45" i="3"/>
  <c r="BN45" i="3"/>
  <c r="BO44" i="3"/>
  <c r="BN44" i="3"/>
  <c r="BO43" i="3"/>
  <c r="BN43" i="3"/>
  <c r="BO42" i="3"/>
  <c r="BN42" i="3"/>
  <c r="BO41" i="3"/>
  <c r="BN41" i="3"/>
  <c r="BO40" i="3"/>
  <c r="BN40" i="3"/>
  <c r="BO39" i="3"/>
  <c r="BN39" i="3"/>
  <c r="BO38" i="3"/>
  <c r="BN38" i="3"/>
  <c r="BO37" i="3"/>
  <c r="BN37" i="3"/>
  <c r="BO36" i="3"/>
  <c r="BN36" i="3"/>
  <c r="BO35" i="3"/>
  <c r="BN35" i="3"/>
  <c r="BO34" i="3"/>
  <c r="BN34" i="3"/>
  <c r="BO33" i="3"/>
  <c r="BN33" i="3"/>
  <c r="BO32" i="3"/>
  <c r="BN32" i="3"/>
  <c r="BO31" i="3"/>
  <c r="BN31" i="3"/>
  <c r="BO30" i="3"/>
  <c r="BN30" i="3"/>
  <c r="BO29" i="3"/>
  <c r="BN29" i="3"/>
  <c r="BO28" i="3"/>
  <c r="BN28" i="3"/>
  <c r="BO27" i="3"/>
  <c r="BN27" i="3"/>
  <c r="BO26" i="3"/>
  <c r="BN26" i="3"/>
  <c r="BO25" i="3"/>
  <c r="BN25" i="3"/>
  <c r="BO24" i="3"/>
  <c r="BN24" i="3"/>
  <c r="BO23" i="3"/>
  <c r="BN23" i="3"/>
  <c r="BO22" i="3"/>
  <c r="BN22" i="3"/>
  <c r="BO21" i="3"/>
  <c r="BN21" i="3"/>
  <c r="BO20" i="3"/>
  <c r="BN20" i="3"/>
  <c r="BO19" i="3"/>
  <c r="BN19" i="3"/>
  <c r="BO18" i="3"/>
  <c r="BN18" i="3"/>
  <c r="BO17" i="3"/>
  <c r="BN17" i="3"/>
  <c r="BO16" i="3"/>
  <c r="BN16" i="3"/>
  <c r="BO15" i="3"/>
  <c r="BN15" i="3"/>
  <c r="BO14" i="3"/>
  <c r="BN14" i="3"/>
  <c r="BO13" i="3"/>
  <c r="BN13" i="3"/>
  <c r="BO12" i="3"/>
  <c r="BN12" i="3"/>
  <c r="BO11" i="3"/>
  <c r="BN11" i="3"/>
  <c r="BO10" i="3"/>
  <c r="BN10" i="3"/>
  <c r="BO9" i="3"/>
  <c r="BN9" i="3"/>
  <c r="BO8" i="3"/>
  <c r="BN8" i="3"/>
  <c r="BO7" i="3"/>
  <c r="BN7" i="3"/>
  <c r="BO6" i="3"/>
  <c r="BN6" i="3"/>
  <c r="BO5" i="3"/>
  <c r="BN5" i="3"/>
  <c r="BO4" i="3"/>
  <c r="BN4" i="3"/>
  <c r="C1" i="3"/>
  <c r="A1" i="3"/>
  <c r="CL134" i="2"/>
  <c r="AW134" i="2"/>
  <c r="CL133" i="2"/>
  <c r="CL131" i="2"/>
  <c r="CL130" i="2"/>
  <c r="BO114" i="2"/>
  <c r="BN114" i="2"/>
  <c r="BO113" i="2"/>
  <c r="BN113" i="2"/>
  <c r="BO112" i="2"/>
  <c r="BN112" i="2"/>
  <c r="BO111" i="2"/>
  <c r="BN111" i="2"/>
  <c r="BO110" i="2"/>
  <c r="BN110" i="2"/>
  <c r="BO109" i="2"/>
  <c r="BN109" i="2"/>
  <c r="BO108" i="2"/>
  <c r="BN108" i="2"/>
  <c r="BO107" i="2"/>
  <c r="BN107" i="2"/>
  <c r="BO106" i="2"/>
  <c r="BN106" i="2"/>
  <c r="BO105" i="2"/>
  <c r="BN105" i="2"/>
  <c r="BO104" i="2"/>
  <c r="BN104" i="2"/>
  <c r="BO103" i="2"/>
  <c r="BN103" i="2"/>
  <c r="BO102" i="2"/>
  <c r="BN102" i="2"/>
  <c r="BO101" i="2"/>
  <c r="BN101" i="2"/>
  <c r="BO100" i="2"/>
  <c r="BN100" i="2"/>
  <c r="BO99" i="2"/>
  <c r="BN99" i="2"/>
  <c r="BO98" i="2"/>
  <c r="BN98" i="2"/>
  <c r="BO97" i="2"/>
  <c r="BN97" i="2"/>
  <c r="BO96" i="2"/>
  <c r="BN96" i="2"/>
  <c r="BO95" i="2"/>
  <c r="BN95" i="2"/>
  <c r="BO94" i="2"/>
  <c r="BN94" i="2"/>
  <c r="BO93" i="2"/>
  <c r="BN93" i="2"/>
  <c r="BO92" i="2"/>
  <c r="BN92" i="2"/>
  <c r="BO91" i="2"/>
  <c r="BN91" i="2"/>
  <c r="BO90" i="2"/>
  <c r="BN90" i="2"/>
  <c r="BO89" i="2"/>
  <c r="BN89" i="2"/>
  <c r="BO88" i="2"/>
  <c r="BN88" i="2"/>
  <c r="BO87" i="2"/>
  <c r="BN87" i="2"/>
  <c r="BO86" i="2"/>
  <c r="BN86" i="2"/>
  <c r="BO85" i="2"/>
  <c r="BN85" i="2"/>
  <c r="BO84" i="2"/>
  <c r="BN84" i="2"/>
  <c r="BO83" i="2"/>
  <c r="BN83" i="2"/>
  <c r="BO82" i="2"/>
  <c r="BN82" i="2"/>
  <c r="BO81" i="2"/>
  <c r="BN81" i="2"/>
  <c r="BO80" i="2"/>
  <c r="BN80" i="2"/>
  <c r="BO79" i="2"/>
  <c r="BN79" i="2"/>
  <c r="BO78" i="2"/>
  <c r="BN78" i="2"/>
  <c r="BO77" i="2"/>
  <c r="BN77" i="2"/>
  <c r="BO76" i="2"/>
  <c r="BN76" i="2"/>
  <c r="BO75" i="2"/>
  <c r="BN75" i="2"/>
  <c r="BO74" i="2"/>
  <c r="BN74" i="2"/>
  <c r="BO73" i="2"/>
  <c r="BN73" i="2"/>
  <c r="BO72" i="2"/>
  <c r="BN72" i="2"/>
  <c r="BO71" i="2"/>
  <c r="BN71" i="2"/>
  <c r="BO70" i="2"/>
  <c r="BN70" i="2"/>
  <c r="BO69" i="2"/>
  <c r="BN69" i="2"/>
  <c r="BO68" i="2"/>
  <c r="BN68" i="2"/>
  <c r="BO67" i="2"/>
  <c r="BN67" i="2"/>
  <c r="BO66" i="2"/>
  <c r="BN66" i="2"/>
  <c r="BO65" i="2"/>
  <c r="BN65" i="2"/>
  <c r="BO64" i="2"/>
  <c r="BN64" i="2"/>
  <c r="BO63" i="2"/>
  <c r="BN63" i="2"/>
  <c r="BO62" i="2"/>
  <c r="BN62" i="2"/>
  <c r="BO61" i="2"/>
  <c r="BN61" i="2"/>
  <c r="BO60" i="2"/>
  <c r="BN60" i="2"/>
  <c r="BO59" i="2"/>
  <c r="BN59" i="2"/>
  <c r="BO58" i="2"/>
  <c r="BN58" i="2"/>
  <c r="BO57" i="2"/>
  <c r="BN57" i="2"/>
  <c r="BO56" i="2"/>
  <c r="BN56" i="2"/>
  <c r="BO55" i="2"/>
  <c r="BN55" i="2"/>
  <c r="BO54" i="2"/>
  <c r="BN54" i="2"/>
  <c r="BO53" i="2"/>
  <c r="BN53" i="2"/>
  <c r="BO52" i="2"/>
  <c r="BN52" i="2"/>
  <c r="BO51" i="2"/>
  <c r="BN51" i="2"/>
  <c r="BO50" i="2"/>
  <c r="BN50" i="2"/>
  <c r="BO49" i="2"/>
  <c r="BN49" i="2"/>
  <c r="BO48" i="2"/>
  <c r="BN48" i="2"/>
  <c r="BO47" i="2"/>
  <c r="BN47" i="2"/>
  <c r="BO46" i="2"/>
  <c r="BN46" i="2"/>
  <c r="BO45" i="2"/>
  <c r="BN45" i="2"/>
  <c r="BO44" i="2"/>
  <c r="BN44" i="2"/>
  <c r="BO43" i="2"/>
  <c r="BN43" i="2"/>
  <c r="BO42" i="2"/>
  <c r="BN42" i="2"/>
  <c r="BO41" i="2"/>
  <c r="BN41" i="2"/>
  <c r="BO40" i="2"/>
  <c r="BN40" i="2"/>
  <c r="BO39" i="2"/>
  <c r="BN39" i="2"/>
  <c r="BO38" i="2"/>
  <c r="BN38" i="2"/>
  <c r="BO37" i="2"/>
  <c r="BN37" i="2"/>
  <c r="BO36" i="2"/>
  <c r="BN36" i="2"/>
  <c r="BO35" i="2"/>
  <c r="BN35" i="2"/>
  <c r="BO34" i="2"/>
  <c r="BN34" i="2"/>
  <c r="BO33" i="2"/>
  <c r="BN33" i="2"/>
  <c r="BO32" i="2"/>
  <c r="BN32" i="2"/>
  <c r="BO31" i="2"/>
  <c r="BN31" i="2"/>
  <c r="BO30" i="2"/>
  <c r="BN30" i="2"/>
  <c r="BO29" i="2"/>
  <c r="BN29" i="2"/>
  <c r="BO28" i="2"/>
  <c r="BN28" i="2"/>
  <c r="BO27" i="2"/>
  <c r="BN27" i="2"/>
  <c r="BO26" i="2"/>
  <c r="BN26" i="2"/>
  <c r="BO25" i="2"/>
  <c r="BN25" i="2"/>
  <c r="BO24" i="2"/>
  <c r="BN24" i="2"/>
  <c r="BO23" i="2"/>
  <c r="BN23" i="2"/>
  <c r="BO22" i="2"/>
  <c r="BN22" i="2"/>
  <c r="BO21" i="2"/>
  <c r="BN21" i="2"/>
  <c r="BO20" i="2"/>
  <c r="BN20" i="2"/>
  <c r="BO19" i="2"/>
  <c r="BN19" i="2"/>
  <c r="BO18" i="2"/>
  <c r="BN18" i="2"/>
  <c r="BO17" i="2"/>
  <c r="BN17" i="2"/>
  <c r="BO16" i="2"/>
  <c r="BN16" i="2"/>
  <c r="BO15" i="2"/>
  <c r="BN15" i="2"/>
  <c r="BO14" i="2"/>
  <c r="BN14" i="2"/>
  <c r="BO13" i="2"/>
  <c r="BN13" i="2"/>
  <c r="BO12" i="2"/>
  <c r="BN12" i="2"/>
  <c r="BO11" i="2"/>
  <c r="BN11" i="2"/>
  <c r="BO10" i="2"/>
  <c r="BN10" i="2"/>
  <c r="BO9" i="2"/>
  <c r="BN9" i="2"/>
  <c r="BO8" i="2"/>
  <c r="BN8" i="2"/>
  <c r="BO7" i="2"/>
  <c r="BN7" i="2"/>
  <c r="BO6" i="2"/>
  <c r="BN6" i="2"/>
  <c r="BO5" i="2"/>
  <c r="BN5" i="2"/>
  <c r="BO4" i="2"/>
  <c r="BN4" i="2"/>
  <c r="C1" i="2"/>
  <c r="A1" i="2"/>
  <c r="AG134" i="1"/>
  <c r="AG133" i="1"/>
  <c r="AG132" i="1"/>
  <c r="AG131" i="1"/>
  <c r="AG128" i="1"/>
  <c r="AG127" i="1"/>
  <c r="AG126" i="1"/>
  <c r="AG125" i="1"/>
  <c r="AG122" i="1"/>
  <c r="AG121" i="1"/>
  <c r="AG120" i="1"/>
  <c r="AG119" i="1"/>
  <c r="BO114" i="1"/>
  <c r="BN114" i="1"/>
  <c r="BO113" i="1"/>
  <c r="BN113" i="1"/>
  <c r="BO112" i="1"/>
  <c r="BN112" i="1"/>
  <c r="BO111" i="1"/>
  <c r="BN111" i="1"/>
  <c r="BO110" i="1"/>
  <c r="BN110" i="1"/>
  <c r="BO109" i="1"/>
  <c r="BN109" i="1"/>
  <c r="BO108" i="1"/>
  <c r="BN108" i="1"/>
  <c r="BO107" i="1"/>
  <c r="BN107" i="1"/>
  <c r="BO106" i="1"/>
  <c r="BN106" i="1"/>
  <c r="BO105" i="1"/>
  <c r="BN105" i="1"/>
  <c r="BO104" i="1"/>
  <c r="BN104" i="1"/>
  <c r="BO103" i="1"/>
  <c r="BN103" i="1"/>
  <c r="BO102" i="1"/>
  <c r="BN102" i="1"/>
  <c r="BO101" i="1"/>
  <c r="BN101" i="1"/>
  <c r="BO100" i="1"/>
  <c r="BN100" i="1"/>
  <c r="BO99" i="1"/>
  <c r="BN99" i="1"/>
  <c r="BO98" i="1"/>
  <c r="BN98" i="1"/>
  <c r="BO97" i="1"/>
  <c r="BN97" i="1"/>
  <c r="BO96" i="1"/>
  <c r="BN96" i="1"/>
  <c r="BO95" i="1"/>
  <c r="BN95" i="1"/>
  <c r="BO94" i="1"/>
  <c r="BN94" i="1"/>
  <c r="BO93" i="1"/>
  <c r="BN93" i="1"/>
  <c r="BO92" i="1"/>
  <c r="BN92" i="1"/>
  <c r="BO91" i="1"/>
  <c r="BN91" i="1"/>
  <c r="BO90" i="1"/>
  <c r="BN90" i="1"/>
  <c r="BO89" i="1"/>
  <c r="BN89" i="1"/>
  <c r="BO88" i="1"/>
  <c r="BN88" i="1"/>
  <c r="BO87" i="1"/>
  <c r="BN87" i="1"/>
  <c r="BO86" i="1"/>
  <c r="BN86" i="1"/>
  <c r="BO85" i="1"/>
  <c r="BN85" i="1"/>
  <c r="BO84" i="1"/>
  <c r="BN84" i="1"/>
  <c r="BO83" i="1"/>
  <c r="BN83" i="1"/>
  <c r="BO82" i="1"/>
  <c r="BN82" i="1"/>
  <c r="BO81" i="1"/>
  <c r="BN81" i="1"/>
  <c r="BO80" i="1"/>
  <c r="BN80" i="1"/>
  <c r="BO79" i="1"/>
  <c r="BN79" i="1"/>
  <c r="BO78" i="1"/>
  <c r="BN78" i="1"/>
  <c r="BO77" i="1"/>
  <c r="BN77" i="1"/>
  <c r="BO76" i="1"/>
  <c r="BN76" i="1"/>
  <c r="BO75" i="1"/>
  <c r="BN75" i="1"/>
  <c r="BO74" i="1"/>
  <c r="BN74" i="1"/>
  <c r="BO73" i="1"/>
  <c r="BN73" i="1"/>
  <c r="BO72" i="1"/>
  <c r="BN72" i="1"/>
  <c r="BO71" i="1"/>
  <c r="BN71" i="1"/>
  <c r="BO70" i="1"/>
  <c r="BN70" i="1"/>
  <c r="BO69" i="1"/>
  <c r="BN69" i="1"/>
  <c r="BO68" i="1"/>
  <c r="BN68" i="1"/>
  <c r="BO67" i="1"/>
  <c r="BN67" i="1"/>
  <c r="BO66" i="1"/>
  <c r="BN66" i="1"/>
  <c r="BO65" i="1"/>
  <c r="BN65" i="1"/>
  <c r="BO64" i="1"/>
  <c r="BN64" i="1"/>
  <c r="BO63" i="1"/>
  <c r="BN63" i="1"/>
  <c r="BO62" i="1"/>
  <c r="BN62" i="1"/>
  <c r="BO61" i="1"/>
  <c r="BN61" i="1"/>
  <c r="BO60" i="1"/>
  <c r="BN60" i="1"/>
  <c r="BO59" i="1"/>
  <c r="BN59" i="1"/>
  <c r="BO58" i="1"/>
  <c r="BN58" i="1"/>
  <c r="BO57" i="1"/>
  <c r="BN57" i="1"/>
  <c r="BO56" i="1"/>
  <c r="BN56" i="1"/>
  <c r="BO55" i="1"/>
  <c r="BN55" i="1"/>
  <c r="BO54" i="1"/>
  <c r="BN54" i="1"/>
  <c r="BO53" i="1"/>
  <c r="BN53" i="1"/>
  <c r="BO52" i="1"/>
  <c r="BN52" i="1"/>
  <c r="BO51" i="1"/>
  <c r="BN51" i="1"/>
  <c r="BO50" i="1"/>
  <c r="BN50" i="1"/>
  <c r="BO49" i="1"/>
  <c r="BN49" i="1"/>
  <c r="BO48" i="1"/>
  <c r="BN48" i="1"/>
  <c r="BO47" i="1"/>
  <c r="BN47" i="1"/>
  <c r="BO46" i="1"/>
  <c r="BN46" i="1"/>
  <c r="BO45" i="1"/>
  <c r="BN45" i="1"/>
  <c r="BO44" i="1"/>
  <c r="BN44" i="1"/>
  <c r="BO43" i="1"/>
  <c r="BN43" i="1"/>
  <c r="BO42" i="1"/>
  <c r="BN42" i="1"/>
  <c r="BO41" i="1"/>
  <c r="BN41" i="1"/>
  <c r="BO40" i="1"/>
  <c r="BN40" i="1"/>
  <c r="BO39" i="1"/>
  <c r="BN39" i="1"/>
  <c r="BO38" i="1"/>
  <c r="BN38" i="1"/>
  <c r="BO37" i="1"/>
  <c r="BN37" i="1"/>
  <c r="BO36" i="1"/>
  <c r="BN36" i="1"/>
  <c r="BO35" i="1"/>
  <c r="BN35" i="1"/>
  <c r="BO34" i="1"/>
  <c r="BN34" i="1"/>
  <c r="BO33" i="1"/>
  <c r="BN33" i="1"/>
  <c r="BO32" i="1"/>
  <c r="BN32" i="1"/>
  <c r="BO31" i="1"/>
  <c r="BN31" i="1"/>
  <c r="BO30" i="1"/>
  <c r="BN30" i="1"/>
  <c r="BO29" i="1"/>
  <c r="BN29" i="1"/>
  <c r="BO28" i="1"/>
  <c r="BN28" i="1"/>
  <c r="BO27" i="1"/>
  <c r="BN27" i="1"/>
  <c r="BO26" i="1"/>
  <c r="BN26" i="1"/>
  <c r="BO25" i="1"/>
  <c r="BN25" i="1"/>
  <c r="BO24" i="1"/>
  <c r="BN24" i="1"/>
  <c r="BO23" i="1"/>
  <c r="BN23" i="1"/>
  <c r="BO22" i="1"/>
  <c r="BN22" i="1"/>
  <c r="BO21" i="1"/>
  <c r="BN21" i="1"/>
  <c r="BO20" i="1"/>
  <c r="BN20" i="1"/>
  <c r="BO19" i="1"/>
  <c r="BN19" i="1"/>
  <c r="BO18" i="1"/>
  <c r="BN18" i="1"/>
  <c r="BO17" i="1"/>
  <c r="BN17" i="1"/>
  <c r="BO16" i="1"/>
  <c r="BN16" i="1"/>
  <c r="BO15" i="1"/>
  <c r="BN15" i="1"/>
  <c r="BO14" i="1"/>
  <c r="BN14" i="1"/>
  <c r="BO13" i="1"/>
  <c r="BN13" i="1"/>
  <c r="BO12" i="1"/>
  <c r="BN12" i="1"/>
  <c r="BO11" i="1"/>
  <c r="BN11" i="1"/>
  <c r="BO10" i="1"/>
  <c r="BN10" i="1"/>
  <c r="BO9" i="1"/>
  <c r="BN9" i="1"/>
  <c r="BO8" i="1"/>
  <c r="BN8" i="1"/>
  <c r="BO7" i="1"/>
  <c r="BN7" i="1"/>
  <c r="BO6" i="1"/>
  <c r="BN6" i="1"/>
  <c r="BO5" i="1"/>
  <c r="BN5" i="1"/>
  <c r="BO4" i="1"/>
  <c r="BN4" i="1"/>
  <c r="BO14" i="5" l="1"/>
  <c r="BN43" i="5"/>
  <c r="BN72" i="5"/>
  <c r="BN76" i="5"/>
  <c r="BN82" i="5"/>
  <c r="BN90" i="5"/>
  <c r="BN100" i="5"/>
  <c r="BN27" i="5"/>
  <c r="BN15" i="5"/>
  <c r="BN22" i="5"/>
  <c r="BO39" i="5"/>
  <c r="BO43" i="5"/>
  <c r="BO54" i="5"/>
  <c r="BN64" i="5"/>
  <c r="BO72" i="5"/>
  <c r="BO76" i="5"/>
  <c r="BO82" i="5"/>
  <c r="BO90" i="5"/>
  <c r="BN91" i="5"/>
  <c r="BO100" i="5"/>
  <c r="BN14" i="5"/>
  <c r="BO89" i="5"/>
  <c r="BO22" i="5"/>
  <c r="BN44" i="5"/>
  <c r="BO64" i="5"/>
  <c r="BN77" i="5"/>
  <c r="BN83" i="5"/>
  <c r="BO91" i="5"/>
  <c r="BN101" i="5"/>
  <c r="BN23" i="5"/>
  <c r="BN31" i="5"/>
  <c r="BO44" i="5"/>
  <c r="BO55" i="5"/>
  <c r="BN65" i="5"/>
  <c r="BO77" i="5"/>
  <c r="BO83" i="5"/>
  <c r="BN92" i="5"/>
  <c r="BO101" i="5"/>
  <c r="AG119" i="5"/>
  <c r="BO31" i="5"/>
  <c r="BN45" i="5"/>
  <c r="BN49" i="5"/>
  <c r="BN78" i="5"/>
  <c r="BN84" i="5"/>
  <c r="BN102" i="5"/>
  <c r="BN5" i="5"/>
  <c r="BN8" i="5"/>
  <c r="BN17" i="5"/>
  <c r="BN33" i="5"/>
  <c r="BO50" i="5"/>
  <c r="BO57" i="5"/>
  <c r="BO104" i="5"/>
  <c r="AG125" i="5"/>
  <c r="AG122" i="5"/>
  <c r="BO33" i="5"/>
  <c r="BN40" i="5"/>
  <c r="BN51" i="5"/>
  <c r="BN58" i="5"/>
  <c r="BN73" i="5"/>
  <c r="BN79" i="5"/>
  <c r="BN85" i="5"/>
  <c r="BN94" i="5"/>
  <c r="BN105" i="5"/>
  <c r="BN106" i="5"/>
  <c r="AG126" i="5"/>
  <c r="BN9" i="5"/>
  <c r="BN18" i="5"/>
  <c r="BN28" i="5"/>
  <c r="BO40" i="5"/>
  <c r="BO51" i="5"/>
  <c r="BO73" i="5"/>
  <c r="BO105" i="5"/>
  <c r="AG127" i="5"/>
  <c r="BO9" i="5"/>
  <c r="BN68" i="5"/>
  <c r="BN80" i="5"/>
  <c r="BN86" i="5"/>
  <c r="BN107" i="5"/>
  <c r="BN11" i="5"/>
  <c r="BN29" i="5"/>
  <c r="BN34" i="5"/>
  <c r="BO41" i="5"/>
  <c r="BO59" i="5"/>
  <c r="BO68" i="5"/>
  <c r="BO74" i="5"/>
  <c r="BO80" i="5"/>
  <c r="BO86" i="5"/>
  <c r="BO95" i="5"/>
  <c r="BO6" i="5"/>
  <c r="BN46" i="5"/>
  <c r="BN12" i="5"/>
  <c r="BN19" i="5"/>
  <c r="BN30" i="5"/>
  <c r="BN35" i="5"/>
  <c r="BO60" i="5"/>
  <c r="BO69" i="5"/>
  <c r="BO87" i="5"/>
  <c r="BO96" i="5"/>
  <c r="BO108" i="5"/>
  <c r="BN41" i="5"/>
  <c r="BN74" i="5"/>
  <c r="BN60" i="5"/>
  <c r="BN96" i="5"/>
  <c r="BN108" i="5"/>
  <c r="BO12" i="5"/>
  <c r="BO35" i="5"/>
  <c r="BN110" i="5"/>
  <c r="BN16" i="5"/>
  <c r="BN20" i="5"/>
  <c r="BO47" i="5"/>
  <c r="BN61" i="5"/>
  <c r="BO110" i="5"/>
  <c r="AG133" i="5"/>
  <c r="BO20" i="5"/>
  <c r="BO36" i="5"/>
  <c r="BN37" i="5"/>
  <c r="BN48" i="5"/>
  <c r="BN52" i="5"/>
  <c r="BN70" i="5"/>
  <c r="BN88" i="5"/>
  <c r="BN98" i="5"/>
  <c r="BN111" i="5"/>
  <c r="BN13" i="5"/>
  <c r="BN21" i="5"/>
  <c r="BN26" i="5"/>
  <c r="BN62" i="5"/>
  <c r="BO98" i="5"/>
  <c r="BO111" i="5"/>
  <c r="AG134" i="5"/>
</calcChain>
</file>

<file path=xl/sharedStrings.xml><?xml version="1.0" encoding="utf-8"?>
<sst xmlns="http://schemas.openxmlformats.org/spreadsheetml/2006/main" count="19869" uniqueCount="308">
  <si>
    <t xml:space="preserve">RF - REFRACTORY; RT - RECESSED TUBE; </t>
  </si>
  <si>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</si>
  <si>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</si>
  <si>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</si>
  <si>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</si>
  <si>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</si>
  <si>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</si>
  <si>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</si>
  <si>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C</t>
  </si>
  <si>
    <t>POSITION 'A'</t>
  </si>
  <si>
    <t>L</t>
  </si>
  <si>
    <t/>
  </si>
  <si>
    <t xml:space="preserve">OF THE </t>
  </si>
  <si>
    <t>TERTIARIES</t>
  </si>
  <si>
    <t>R</t>
  </si>
  <si>
    <t>POSITION 'B'</t>
  </si>
  <si>
    <t>RT</t>
  </si>
  <si>
    <t>POSITION 'C'</t>
  </si>
  <si>
    <t>OF THE</t>
  </si>
  <si>
    <t>B</t>
  </si>
  <si>
    <t>RF</t>
  </si>
  <si>
    <t>+16 FT 6 IN</t>
  </si>
  <si>
    <t>+15 FT</t>
  </si>
  <si>
    <t>+13 FT 6 IN</t>
  </si>
  <si>
    <t>+12 FT</t>
  </si>
  <si>
    <t>OB PORTS</t>
  </si>
  <si>
    <t xml:space="preserve">POSITION 'C' </t>
  </si>
  <si>
    <t>+10 FT 6 IN</t>
  </si>
  <si>
    <t>+9 FT</t>
  </si>
  <si>
    <t xml:space="preserve">OSCILLATOR </t>
  </si>
  <si>
    <t>OSCILLATOR</t>
  </si>
  <si>
    <t>POSITION 'D'</t>
  </si>
  <si>
    <t>POSITION 'E'</t>
  </si>
  <si>
    <t>+7 FT 6 IN</t>
  </si>
  <si>
    <t>+6 FT</t>
  </si>
  <si>
    <t>+4 FT 6 IN</t>
  </si>
  <si>
    <t>+3 FT</t>
  </si>
  <si>
    <t>+1 FT 6 IN</t>
  </si>
  <si>
    <t>0 REFERENCE</t>
  </si>
  <si>
    <t>SECONDARIES</t>
  </si>
  <si>
    <t>-9 IN</t>
  </si>
  <si>
    <t>-18 IN</t>
  </si>
  <si>
    <t>-27 IN</t>
  </si>
  <si>
    <t>A</t>
  </si>
  <si>
    <t>-36 IN</t>
  </si>
  <si>
    <t>-45 IN</t>
  </si>
  <si>
    <t>-54 IN</t>
  </si>
  <si>
    <t>-63 IN</t>
  </si>
  <si>
    <t>PRIMARIES</t>
  </si>
  <si>
    <t>-72 IN</t>
  </si>
  <si>
    <t>0.001-0.099</t>
  </si>
  <si>
    <t>0.141-0.150</t>
  </si>
  <si>
    <t>OUTSIDE DIAMETER:</t>
  </si>
  <si>
    <t>INSPECTION RESULTS</t>
  </si>
  <si>
    <t>LEGEND</t>
  </si>
  <si>
    <t>0.100-0.110</t>
  </si>
  <si>
    <t>0.151-0.160</t>
  </si>
  <si>
    <t>TUBE MATERIAL:</t>
  </si>
  <si>
    <t>SA-178A</t>
  </si>
  <si>
    <t>MAX. THICKNESS</t>
  </si>
  <si>
    <t>0.111-0.120</t>
  </si>
  <si>
    <t>0.161-0.170</t>
  </si>
  <si>
    <t>NOMINAL WALL:</t>
  </si>
  <si>
    <t>AVG. THICKNESS</t>
  </si>
  <si>
    <t>0.121-0.130</t>
  </si>
  <si>
    <t>0.171-0.180</t>
  </si>
  <si>
    <t>ASME MIN:</t>
  </si>
  <si>
    <t>MIN. THICKNESS</t>
  </si>
  <si>
    <t>0.131-0.140</t>
  </si>
  <si>
    <t>0.181-0.999</t>
  </si>
  <si>
    <t>MILL FLAG:</t>
  </si>
  <si>
    <t>STD DEV.</t>
  </si>
  <si>
    <t>0.001-0.083</t>
  </si>
  <si>
    <t>0.124-0.133</t>
  </si>
  <si>
    <t>0.084-0.093</t>
  </si>
  <si>
    <t>0.134-0.143</t>
  </si>
  <si>
    <t>SA210A1</t>
  </si>
  <si>
    <t>0.094-0.103</t>
  </si>
  <si>
    <t>0.144-0.153</t>
  </si>
  <si>
    <t>0.104-0.113</t>
  </si>
  <si>
    <t>0.154-0.163</t>
  </si>
  <si>
    <t>0.114-0.123</t>
  </si>
  <si>
    <t>0.164-0.999</t>
  </si>
  <si>
    <t>0.140-0.149</t>
  </si>
  <si>
    <t>APPLIED TECHNICAL SERVICES 
1049 Triad Court
Marietta, Georgia 30062
Office # (770) 423-1400
Fax # (770) 514-3299
www.atslab.com</t>
  </si>
  <si>
    <t xml:space="preserve">INTERNATIONAL PAPER </t>
  </si>
  <si>
    <t>0.100-0.109</t>
  </si>
  <si>
    <t>0.150-0.159</t>
  </si>
  <si>
    <t>SA-210A1</t>
  </si>
  <si>
    <t>RIVERDALE MILL</t>
  </si>
  <si>
    <t>0.110-0.119</t>
  </si>
  <si>
    <t>0.160-0.169</t>
  </si>
  <si>
    <t>TUBE WALL THICKNESS SURVEY</t>
  </si>
  <si>
    <t>0.120-0.129</t>
  </si>
  <si>
    <t>0.170-0.179</t>
  </si>
  <si>
    <t>NO. 1 RECOVERY BOILER</t>
  </si>
  <si>
    <t>0.130-0.139</t>
  </si>
  <si>
    <t>0.180-0.999</t>
  </si>
  <si>
    <t>Job #  H449364  P.O. #  0018342455 W.O. #  N/A   Date:  5/05/2025</t>
  </si>
  <si>
    <t>04 REAR WALL W/ PORTS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</si>
  <si>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</si>
  <si>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</si>
  <si>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</si>
  <si>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</si>
  <si>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</si>
  <si>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</si>
  <si>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</si>
  <si>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</si>
  <si>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</si>
  <si>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</si>
  <si>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</si>
  <si>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</si>
  <si>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2020, 2022, 2023, 2024, 2025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</si>
  <si>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</si>
  <si>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</si>
  <si>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</si>
  <si>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</si>
  <si>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</si>
  <si>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</si>
  <si>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</si>
  <si>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</si>
  <si>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</si>
  <si>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</si>
  <si>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</si>
  <si>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</si>
  <si>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May 2055</t>
  </si>
  <si>
    <t>Apr 2030</t>
  </si>
  <si>
    <t>Nov 2029</t>
  </si>
  <si>
    <t>Nov 2030</t>
  </si>
  <si>
    <t>May 2034</t>
  </si>
  <si>
    <t>Dec 2031</t>
  </si>
  <si>
    <t>Feb 2031</t>
  </si>
  <si>
    <t>Sep 2031</t>
  </si>
  <si>
    <t>Jan 2052</t>
  </si>
  <si>
    <t>Aug 2039</t>
  </si>
  <si>
    <t>Apr 2045</t>
  </si>
  <si>
    <t>Oct 2046</t>
  </si>
  <si>
    <t>Feb 2042</t>
  </si>
  <si>
    <t>Feb 2041</t>
  </si>
  <si>
    <t>Jun 2052</t>
  </si>
  <si>
    <t>Sep 2041</t>
  </si>
  <si>
    <t>Jun 2054</t>
  </si>
  <si>
    <t>Feb 2050</t>
  </si>
  <si>
    <t>Aug 2054</t>
  </si>
  <si>
    <t>Oct 2053</t>
  </si>
  <si>
    <t>Mar 2055</t>
  </si>
  <si>
    <t>Feb 2051</t>
  </si>
  <si>
    <t>Jul 2049</t>
  </si>
  <si>
    <t>Jul 2048</t>
  </si>
  <si>
    <t>Feb 2055</t>
  </si>
  <si>
    <t>Dec 2043</t>
  </si>
  <si>
    <t>May 2049</t>
  </si>
  <si>
    <t>May 2048</t>
  </si>
  <si>
    <t>Dec 2040</t>
  </si>
  <si>
    <t>Dec 2050</t>
  </si>
  <si>
    <t>Dec 2054</t>
  </si>
  <si>
    <t>Dec 2045</t>
  </si>
  <si>
    <t>Jan 2040</t>
  </si>
  <si>
    <t>Nov 2054</t>
  </si>
  <si>
    <t>May 2044</t>
  </si>
  <si>
    <t>Feb 2038</t>
  </si>
  <si>
    <t>Jan 2041</t>
  </si>
  <si>
    <t>Nov 2038</t>
  </si>
  <si>
    <t>Jun 2038</t>
  </si>
  <si>
    <t>Aug 2038</t>
  </si>
  <si>
    <t>Jun 2041</t>
  </si>
  <si>
    <t>Nov 2035</t>
  </si>
  <si>
    <t>Jun 2033</t>
  </si>
  <si>
    <t>Jan 2046</t>
  </si>
  <si>
    <t>Jun 2035</t>
  </si>
  <si>
    <t>Jun 2039</t>
  </si>
  <si>
    <t>Feb 2049</t>
  </si>
  <si>
    <t>Apr 2044</t>
  </si>
  <si>
    <t>Feb 2035</t>
  </si>
  <si>
    <t>Jan 2039</t>
  </si>
  <si>
    <t>May 2046</t>
  </si>
  <si>
    <t>Nov 2044</t>
  </si>
  <si>
    <t>Apr 2055</t>
  </si>
  <si>
    <t>May 2051</t>
  </si>
  <si>
    <t>Jul 2047</t>
  </si>
  <si>
    <t>Nov 2048</t>
  </si>
  <si>
    <t>Nov 2040</t>
  </si>
  <si>
    <t>Nov 2049</t>
  </si>
  <si>
    <t>Aug 2048</t>
  </si>
  <si>
    <t>Jan 2049</t>
  </si>
  <si>
    <t>Jan 2054</t>
  </si>
  <si>
    <t>Mar 2049</t>
  </si>
  <si>
    <t>Jun 2043</t>
  </si>
  <si>
    <t>Aug 2047</t>
  </si>
  <si>
    <t>Feb 2053</t>
  </si>
  <si>
    <t>Oct 2047</t>
  </si>
  <si>
    <t>Mar 2041</t>
  </si>
  <si>
    <t>Apr 2052</t>
  </si>
  <si>
    <t>Apr 2046</t>
  </si>
  <si>
    <t>Jul 2051</t>
  </si>
  <si>
    <t>Feb 2054</t>
  </si>
  <si>
    <t>Dec 2035</t>
  </si>
  <si>
    <t>Jan 2044</t>
  </si>
  <si>
    <t>Apr 2047</t>
  </si>
  <si>
    <t>Apr 2040</t>
  </si>
  <si>
    <t>May 2042</t>
  </si>
  <si>
    <t>Jul 2050</t>
  </si>
  <si>
    <t>Oct 2052</t>
  </si>
  <si>
    <t>Jan 2055</t>
  </si>
  <si>
    <t>Sep 2052</t>
  </si>
  <si>
    <t>Jan 2053</t>
  </si>
  <si>
    <t>Jun 2045</t>
  </si>
  <si>
    <t>Aug 2050</t>
  </si>
  <si>
    <t>Feb 2036</t>
  </si>
  <si>
    <t>Sep 2049</t>
  </si>
  <si>
    <t>May 2045</t>
  </si>
  <si>
    <t>Oct 2050</t>
  </si>
  <si>
    <t>Jul 2045</t>
  </si>
  <si>
    <t>Jul 2044</t>
  </si>
  <si>
    <t>Jan 2042</t>
  </si>
  <si>
    <t>Mar 2051</t>
  </si>
  <si>
    <t>Apr 2043</t>
  </si>
  <si>
    <t>Oct 2044</t>
  </si>
  <si>
    <t>Oct 2045</t>
  </si>
  <si>
    <t>Jun 2053</t>
  </si>
  <si>
    <t>Jan 2035</t>
  </si>
  <si>
    <t>Sep 2037</t>
  </si>
  <si>
    <t>Mar 2053</t>
  </si>
  <si>
    <t>Feb 2052</t>
  </si>
  <si>
    <t>Feb 2045</t>
  </si>
  <si>
    <t>Aug 2044</t>
  </si>
  <si>
    <t>Feb 2046</t>
  </si>
  <si>
    <t>Mar 2039</t>
  </si>
  <si>
    <t>Jan 2048</t>
  </si>
  <si>
    <t>Oct 2054</t>
  </si>
  <si>
    <t>Dec 2051</t>
  </si>
  <si>
    <t>Sep 2047</t>
  </si>
  <si>
    <t>Sep 2050</t>
  </si>
  <si>
    <t>May 2040</t>
  </si>
  <si>
    <t>Jan 2045</t>
  </si>
  <si>
    <t>Jul 2039</t>
  </si>
  <si>
    <t>Sep 2039</t>
  </si>
  <si>
    <t>Apr 2050</t>
  </si>
  <si>
    <t>Feb 2043</t>
  </si>
  <si>
    <t>Apr 2039</t>
  </si>
  <si>
    <t>Sep 2051</t>
  </si>
  <si>
    <t>Jul 2035</t>
  </si>
  <si>
    <t>Jan 2050</t>
  </si>
  <si>
    <t>May 2054</t>
  </si>
  <si>
    <t>Jul 2046</t>
  </si>
  <si>
    <t>Oct 2037</t>
  </si>
  <si>
    <t>Sep 2043</t>
  </si>
  <si>
    <t>Oct 2049</t>
  </si>
  <si>
    <t>May 2047</t>
  </si>
  <si>
    <t>Oct 2040</t>
  </si>
  <si>
    <t>Dec 2039</t>
  </si>
  <si>
    <t>Sep 2046</t>
  </si>
  <si>
    <t>Mar 2043</t>
  </si>
  <si>
    <t>Jun 2051</t>
  </si>
  <si>
    <t>Jun 2050</t>
  </si>
  <si>
    <t>May 2038</t>
  </si>
  <si>
    <t>Mar 2046</t>
  </si>
  <si>
    <t>Feb 2039</t>
  </si>
  <si>
    <t>Mar 2035</t>
  </si>
  <si>
    <t>Jul 2054</t>
  </si>
  <si>
    <t>Jul 2040</t>
  </si>
  <si>
    <t>Nov 2047</t>
  </si>
  <si>
    <t>Aug 2036</t>
  </si>
  <si>
    <t>May 2036</t>
  </si>
  <si>
    <t>Feb 2034</t>
  </si>
  <si>
    <t>Sep 2035</t>
  </si>
  <si>
    <t>Oct 2041</t>
  </si>
  <si>
    <t>Nov 2041</t>
  </si>
  <si>
    <t>Aug 2045</t>
  </si>
  <si>
    <t>Jul 2038</t>
  </si>
  <si>
    <t>Oct 2036</t>
  </si>
  <si>
    <t>Dec 2036</t>
  </si>
  <si>
    <t>Apr 2034</t>
  </si>
  <si>
    <t>Jun 2034</t>
  </si>
  <si>
    <t>Aug 2030</t>
  </si>
  <si>
    <t>Jul 2037</t>
  </si>
  <si>
    <t>Mar 2045</t>
  </si>
  <si>
    <t>Nov 2045</t>
  </si>
  <si>
    <t>Nov 2032</t>
  </si>
  <si>
    <t>Mar 2052</t>
  </si>
  <si>
    <t>Oct 2042</t>
  </si>
  <si>
    <t>Aug 2040</t>
  </si>
  <si>
    <t>Dec 2053</t>
  </si>
  <si>
    <t>Oct 2035</t>
  </si>
  <si>
    <t>Dec 2038</t>
  </si>
  <si>
    <t>Jan 2043</t>
  </si>
  <si>
    <t>Dec 2052</t>
  </si>
  <si>
    <t>Dec 2028</t>
  </si>
  <si>
    <t>Nov 2043</t>
  </si>
  <si>
    <t>May 2026</t>
  </si>
  <si>
    <t>Jan 2032</t>
  </si>
  <si>
    <t>Nov 2053</t>
  </si>
  <si>
    <t>May 2053</t>
  </si>
  <si>
    <t>Aug 2043</t>
  </si>
  <si>
    <t>Aug 2049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</si>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</sst>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.000"/>
    <numFmt numFmtId="166" formatCode="0.0"/>
    <numFmt numFmtId="167" formatCode="[$-409]mmmm\ yyyy;@"/>
    <numFmt numFmtId="168" formatCode="#.###"/>
    <numFmt numFmtId="169" formatCode="#.00"/>
    <numFmt numFmtId="170" formatCode="#.0"/>
  </numFmts>
  <fonts count="27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4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92CDDC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0000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8" fontId="6" fillId="30" borderId="0" xfId="0" applyNumberFormat="1" applyFont="1" applyFill="1" applyAlignment="1">
      <alignment horizontal="center" vertical="center" textRotation="180"/>
    </xf>
    <xf numFmtId="169" fontId="6" fillId="30" borderId="0" xfId="0" applyNumberFormat="1" applyFont="1" applyFill="1" applyAlignment="1">
      <alignment horizontal="center" vertical="center" textRotation="180"/>
    </xf>
    <xf numFmtId="170" fontId="6" fillId="30" borderId="0" xfId="0" applyNumberFormat="1" applyFont="1" applyFill="1" applyAlignment="1">
      <alignment horizontal="center" vertical="center" textRotation="180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8" fontId="6" fillId="30" borderId="16" xfId="0" applyNumberFormat="1" applyFont="1" applyFill="1" applyBorder="1" applyAlignment="1">
      <alignment horizontal="center" vertical="center" textRotation="180"/>
    </xf>
    <xf numFmtId="168" fontId="6" fillId="30" borderId="18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8" fontId="6" fillId="30" borderId="21" xfId="0" applyNumberFormat="1" applyFont="1" applyFill="1" applyBorder="1" applyAlignment="1">
      <alignment horizontal="center" vertical="center" textRotation="180"/>
    </xf>
    <xf numFmtId="168" fontId="6" fillId="30" borderId="20" xfId="0" applyNumberFormat="1" applyFont="1" applyFill="1" applyBorder="1" applyAlignment="1">
      <alignment horizontal="center" vertical="center" textRotation="180"/>
    </xf>
    <xf numFmtId="168" fontId="6" fillId="30" borderId="24" xfId="0" applyNumberFormat="1" applyFont="1" applyFill="1" applyBorder="1" applyAlignment="1">
      <alignment horizontal="center" vertical="center" textRotation="180"/>
    </xf>
    <xf numFmtId="168" fontId="6" fillId="30" borderId="15" xfId="0" applyNumberFormat="1" applyFont="1" applyFill="1" applyBorder="1" applyAlignment="1">
      <alignment horizontal="center" vertical="center" textRotation="180"/>
    </xf>
    <xf numFmtId="168" fontId="6" fillId="30" borderId="19" xfId="0" applyNumberFormat="1" applyFont="1" applyFill="1" applyBorder="1" applyAlignment="1">
      <alignment horizontal="center" vertical="center" textRotation="180"/>
    </xf>
    <xf numFmtId="168" fontId="6" fillId="30" borderId="23" xfId="0" applyNumberFormat="1" applyFont="1" applyFill="1" applyBorder="1" applyAlignment="1">
      <alignment horizontal="center" vertical="center" textRotation="180"/>
    </xf>
    <xf numFmtId="168" fontId="6" fillId="30" borderId="22" xfId="0" applyNumberFormat="1" applyFont="1" applyFill="1" applyBorder="1" applyAlignment="1">
      <alignment horizontal="center" vertical="center" textRotation="180"/>
    </xf>
    <xf numFmtId="170" fontId="6" fillId="30" borderId="21" xfId="0" applyNumberFormat="1" applyFont="1" applyFill="1" applyBorder="1" applyAlignment="1">
      <alignment horizontal="center" vertical="center" textRotation="180"/>
    </xf>
    <xf numFmtId="170" fontId="6" fillId="30" borderId="16" xfId="0" applyNumberFormat="1" applyFont="1" applyFill="1" applyBorder="1" applyAlignment="1">
      <alignment horizontal="center" vertical="center" textRotation="180"/>
    </xf>
    <xf numFmtId="170" fontId="6" fillId="30" borderId="18" xfId="0" applyNumberFormat="1" applyFont="1" applyFill="1" applyBorder="1" applyAlignment="1">
      <alignment horizontal="center" vertical="center" textRotation="180"/>
    </xf>
    <xf numFmtId="170" fontId="6" fillId="30" borderId="19" xfId="0" applyNumberFormat="1" applyFont="1" applyFill="1" applyBorder="1" applyAlignment="1">
      <alignment horizontal="center" vertical="center" textRotation="180"/>
    </xf>
    <xf numFmtId="169" fontId="6" fillId="30" borderId="16" xfId="0" applyNumberFormat="1" applyFont="1" applyFill="1" applyBorder="1" applyAlignment="1">
      <alignment horizontal="center" vertical="center" textRotation="180"/>
    </xf>
    <xf numFmtId="170" fontId="6" fillId="30" borderId="20" xfId="0" applyNumberFormat="1" applyFont="1" applyFill="1" applyBorder="1" applyAlignment="1">
      <alignment horizontal="center" vertical="center" textRotation="180"/>
    </xf>
    <xf numFmtId="170" fontId="6" fillId="30" borderId="23" xfId="0" applyNumberFormat="1" applyFont="1" applyFill="1" applyBorder="1" applyAlignment="1">
      <alignment horizontal="center" vertical="center" textRotation="180"/>
    </xf>
    <xf numFmtId="168" fontId="6" fillId="30" borderId="17" xfId="0" applyNumberFormat="1" applyFont="1" applyFill="1" applyBorder="1" applyAlignment="1">
      <alignment horizontal="center" vertical="center" textRotation="180"/>
    </xf>
    <xf numFmtId="168" fontId="6" fillId="30" borderId="3" xfId="0" applyNumberFormat="1" applyFont="1" applyFill="1" applyBorder="1" applyAlignment="1">
      <alignment horizontal="center" vertical="center" textRotation="180"/>
    </xf>
    <xf numFmtId="170" fontId="6" fillId="30" borderId="22" xfId="0" applyNumberFormat="1" applyFont="1" applyFill="1" applyBorder="1" applyAlignment="1">
      <alignment horizontal="center" vertical="center" textRotation="180"/>
    </xf>
    <xf numFmtId="169" fontId="6" fillId="30" borderId="21" xfId="0" applyNumberFormat="1" applyFont="1" applyFill="1" applyBorder="1" applyAlignment="1">
      <alignment horizontal="center" vertical="center" textRotation="180"/>
    </xf>
    <xf numFmtId="169" fontId="6" fillId="30" borderId="18" xfId="0" applyNumberFormat="1" applyFont="1" applyFill="1" applyBorder="1" applyAlignment="1">
      <alignment horizontal="center" vertical="center" textRotation="180"/>
    </xf>
    <xf numFmtId="169" fontId="6" fillId="30" borderId="20" xfId="0" applyNumberFormat="1" applyFont="1" applyFill="1" applyBorder="1" applyAlignment="1">
      <alignment horizontal="center" vertical="center" textRotation="180"/>
    </xf>
    <xf numFmtId="169" fontId="6" fillId="30" borderId="22" xfId="0" applyNumberFormat="1" applyFont="1" applyFill="1" applyBorder="1" applyAlignment="1">
      <alignment horizontal="center" vertical="center" textRotation="180"/>
    </xf>
    <xf numFmtId="170" fontId="6" fillId="30" borderId="24" xfId="0" applyNumberFormat="1" applyFont="1" applyFill="1" applyBorder="1" applyAlignment="1">
      <alignment horizontal="center" vertical="center" textRotation="180"/>
    </xf>
    <xf numFmtId="0" fontId="4" fillId="31" borderId="0" xfId="0" applyFont="1" applyFill="1" applyAlignment="1">
      <alignment horizontal="center" vertical="center"/>
    </xf>
    <xf numFmtId="0" fontId="4" fillId="31" borderId="33" xfId="0" applyFont="1" applyFill="1" applyBorder="1" applyAlignment="1">
      <alignment horizontal="center" vertical="center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34" xfId="0" applyNumberFormat="1" applyFont="1" applyBorder="1" applyAlignment="1">
      <alignment horizontal="center" vertical="center" textRotation="180"/>
    </xf>
    <xf numFmtId="1" fontId="7" fillId="0" borderId="32" xfId="0" applyNumberFormat="1" applyFont="1" applyBorder="1" applyAlignment="1">
      <alignment horizontal="center" vertical="center" textRotation="180"/>
    </xf>
    <xf numFmtId="1" fontId="7" fillId="0" borderId="35" xfId="0" applyNumberFormat="1" applyFont="1" applyBorder="1" applyAlignment="1">
      <alignment horizontal="center" vertical="center" textRotation="180"/>
    </xf>
    <xf numFmtId="165" fontId="6" fillId="31" borderId="22" xfId="0" applyNumberFormat="1" applyFont="1" applyFill="1" applyBorder="1" applyAlignment="1">
      <alignment horizontal="center" vertical="center" textRotation="180"/>
    </xf>
    <xf numFmtId="165" fontId="6" fillId="31" borderId="16" xfId="0" applyNumberFormat="1" applyFont="1" applyFill="1" applyBorder="1" applyAlignment="1">
      <alignment horizontal="center" vertical="center" textRotation="180"/>
    </xf>
    <xf numFmtId="165" fontId="6" fillId="31" borderId="23" xfId="0" applyNumberFormat="1" applyFont="1" applyFill="1" applyBorder="1" applyAlignment="1">
      <alignment horizontal="center" vertical="center" textRotation="180"/>
    </xf>
    <xf numFmtId="165" fontId="6" fillId="31" borderId="0" xfId="0" applyNumberFormat="1" applyFont="1" applyFill="1" applyAlignment="1">
      <alignment horizontal="center" vertical="center" textRotation="180"/>
    </xf>
    <xf numFmtId="165" fontId="6" fillId="31" borderId="20" xfId="0" applyNumberFormat="1" applyFont="1" applyFill="1" applyBorder="1" applyAlignment="1">
      <alignment horizontal="center" vertical="center" textRotation="180"/>
    </xf>
    <xf numFmtId="165" fontId="6" fillId="31" borderId="24" xfId="0" applyNumberFormat="1" applyFont="1" applyFill="1" applyBorder="1" applyAlignment="1">
      <alignment horizontal="center" vertical="center" textRotation="180"/>
    </xf>
    <xf numFmtId="165" fontId="6" fillId="31" borderId="18" xfId="0" applyNumberFormat="1" applyFont="1" applyFill="1" applyBorder="1" applyAlignment="1">
      <alignment horizontal="center" vertical="center" textRotation="180"/>
    </xf>
    <xf numFmtId="165" fontId="6" fillId="31" borderId="21" xfId="0" applyNumberFormat="1" applyFont="1" applyFill="1" applyBorder="1" applyAlignment="1">
      <alignment horizontal="center" vertical="center" textRotation="180"/>
    </xf>
    <xf numFmtId="165" fontId="6" fillId="31" borderId="19" xfId="0" applyNumberFormat="1" applyFont="1" applyFill="1" applyBorder="1" applyAlignment="1">
      <alignment horizontal="center" vertical="center" textRotation="180"/>
    </xf>
    <xf numFmtId="165" fontId="6" fillId="31" borderId="3" xfId="0" applyNumberFormat="1" applyFont="1" applyFill="1" applyBorder="1" applyAlignment="1">
      <alignment horizontal="center" vertical="center" textRotation="180"/>
    </xf>
    <xf numFmtId="165" fontId="6" fillId="31" borderId="17" xfId="0" applyNumberFormat="1" applyFont="1" applyFill="1" applyBorder="1" applyAlignment="1">
      <alignment horizontal="center" vertical="center" textRotation="180"/>
    </xf>
    <xf numFmtId="165" fontId="6" fillId="31" borderId="15" xfId="0" applyNumberFormat="1" applyFont="1" applyFill="1" applyBorder="1" applyAlignment="1">
      <alignment horizontal="center" vertical="center" textRotation="180"/>
    </xf>
    <xf numFmtId="168" fontId="6" fillId="34" borderId="16" xfId="0" applyNumberFormat="1" applyFont="1" applyFill="1" applyBorder="1" applyAlignment="1">
      <alignment horizontal="center" vertical="center" textRotation="180"/>
    </xf>
    <xf numFmtId="168" fontId="6" fillId="34" borderId="19" xfId="0" applyNumberFormat="1" applyFont="1" applyFill="1" applyBorder="1" applyAlignment="1">
      <alignment horizontal="center" vertical="center" textRotation="180"/>
    </xf>
    <xf numFmtId="168" fontId="6" fillId="35" borderId="20" xfId="0" applyNumberFormat="1" applyFont="1" applyFill="1" applyBorder="1" applyAlignment="1">
      <alignment horizontal="center" vertical="center" textRotation="180"/>
    </xf>
    <xf numFmtId="168" fontId="6" fillId="35" borderId="0" xfId="0" applyNumberFormat="1" applyFont="1" applyFill="1" applyAlignment="1">
      <alignment horizontal="center" vertical="center" textRotation="180"/>
    </xf>
    <xf numFmtId="168" fontId="6" fillId="35" borderId="21" xfId="0" applyNumberFormat="1" applyFont="1" applyFill="1" applyBorder="1" applyAlignment="1">
      <alignment horizontal="center" vertical="center" textRotation="180"/>
    </xf>
    <xf numFmtId="168" fontId="6" fillId="34" borderId="24" xfId="0" applyNumberFormat="1" applyFont="1" applyFill="1" applyBorder="1" applyAlignment="1">
      <alignment horizontal="center" vertical="center" textRotation="180"/>
    </xf>
    <xf numFmtId="169" fontId="6" fillId="34" borderId="16" xfId="0" applyNumberFormat="1" applyFont="1" applyFill="1" applyBorder="1" applyAlignment="1">
      <alignment horizontal="center" vertical="center" textRotation="180"/>
    </xf>
    <xf numFmtId="168" fontId="6" fillId="34" borderId="23" xfId="0" applyNumberFormat="1" applyFont="1" applyFill="1" applyBorder="1" applyAlignment="1">
      <alignment horizontal="center" vertical="center" textRotation="180"/>
    </xf>
    <xf numFmtId="168" fontId="6" fillId="34" borderId="22" xfId="0" applyNumberFormat="1" applyFont="1" applyFill="1" applyBorder="1" applyAlignment="1">
      <alignment horizontal="center" vertical="center" textRotation="180"/>
    </xf>
    <xf numFmtId="168" fontId="6" fillId="35" borderId="19" xfId="0" applyNumberFormat="1" applyFont="1" applyFill="1" applyBorder="1" applyAlignment="1">
      <alignment horizontal="center" vertical="center" textRotation="180"/>
    </xf>
    <xf numFmtId="168" fontId="6" fillId="35" borderId="16" xfId="0" applyNumberFormat="1" applyFont="1" applyFill="1" applyBorder="1" applyAlignment="1">
      <alignment horizontal="center" vertical="center" textRotation="180"/>
    </xf>
    <xf numFmtId="168" fontId="6" fillId="34" borderId="20" xfId="0" applyNumberFormat="1" applyFont="1" applyFill="1" applyBorder="1" applyAlignment="1">
      <alignment horizontal="center" vertical="center" textRotation="180"/>
    </xf>
    <xf numFmtId="168" fontId="6" fillId="34" borderId="21" xfId="0" applyNumberFormat="1" applyFont="1" applyFill="1" applyBorder="1" applyAlignment="1">
      <alignment horizontal="center" vertical="center" textRotation="180"/>
    </xf>
    <xf numFmtId="168" fontId="6" fillId="34" borderId="18" xfId="0" applyNumberFormat="1" applyFont="1" applyFill="1" applyBorder="1" applyAlignment="1">
      <alignment horizontal="center" vertical="center" textRotation="180"/>
    </xf>
    <xf numFmtId="168" fontId="6" fillId="36" borderId="21" xfId="0" applyNumberFormat="1" applyFont="1" applyFill="1" applyBorder="1" applyAlignment="1">
      <alignment horizontal="center" vertical="center" textRotation="180"/>
    </xf>
    <xf numFmtId="168" fontId="6" fillId="34" borderId="15" xfId="0" applyNumberFormat="1" applyFont="1" applyFill="1" applyBorder="1" applyAlignment="1">
      <alignment horizontal="center" vertical="center" textRotation="180"/>
    </xf>
    <xf numFmtId="170" fontId="6" fillId="34" borderId="16" xfId="0" applyNumberFormat="1" applyFont="1" applyFill="1" applyBorder="1" applyAlignment="1">
      <alignment horizontal="center" vertical="center" textRotation="180"/>
    </xf>
    <xf numFmtId="170" fontId="6" fillId="34" borderId="19" xfId="0" applyNumberFormat="1" applyFont="1" applyFill="1" applyBorder="1" applyAlignment="1">
      <alignment horizontal="center" vertical="center" textRotation="180"/>
    </xf>
    <xf numFmtId="168" fontId="6" fillId="34" borderId="3" xfId="0" applyNumberFormat="1" applyFont="1" applyFill="1" applyBorder="1" applyAlignment="1">
      <alignment horizontal="center" vertical="center" textRotation="180"/>
    </xf>
    <xf numFmtId="168" fontId="6" fillId="34" borderId="0" xfId="0" applyNumberFormat="1" applyFont="1" applyFill="1" applyAlignment="1">
      <alignment horizontal="center" vertical="center" textRotation="180"/>
    </xf>
    <xf numFmtId="170" fontId="6" fillId="34" borderId="23" xfId="0" applyNumberFormat="1" applyFont="1" applyFill="1" applyBorder="1" applyAlignment="1">
      <alignment horizontal="center" vertical="center" textRotation="180"/>
    </xf>
    <xf numFmtId="170" fontId="6" fillId="34" borderId="20" xfId="0" applyNumberFormat="1" applyFont="1" applyFill="1" applyBorder="1" applyAlignment="1">
      <alignment horizontal="center" vertical="center" textRotation="180"/>
    </xf>
    <xf numFmtId="170" fontId="6" fillId="34" borderId="21" xfId="0" applyNumberFormat="1" applyFont="1" applyFill="1" applyBorder="1" applyAlignment="1">
      <alignment horizontal="center" vertical="center" textRotation="180"/>
    </xf>
    <xf numFmtId="169" fontId="6" fillId="34" borderId="18" xfId="0" applyNumberFormat="1" applyFont="1" applyFill="1" applyBorder="1" applyAlignment="1">
      <alignment horizontal="center" vertical="center" textRotation="180"/>
    </xf>
    <xf numFmtId="170" fontId="6" fillId="34" borderId="22" xfId="0" applyNumberFormat="1" applyFont="1" applyFill="1" applyBorder="1" applyAlignment="1">
      <alignment horizontal="center" vertical="center" textRotation="180"/>
    </xf>
    <xf numFmtId="165" fontId="6" fillId="30" borderId="23" xfId="0" applyNumberFormat="1" applyFont="1" applyFill="1" applyBorder="1" applyAlignment="1">
      <alignment horizontal="center" vertical="center" textRotation="180"/>
    </xf>
    <xf numFmtId="170" fontId="6" fillId="34" borderId="0" xfId="0" applyNumberFormat="1" applyFont="1" applyFill="1" applyAlignment="1">
      <alignment horizontal="center" vertical="center" textRotation="180"/>
    </xf>
    <xf numFmtId="168" fontId="6" fillId="34" borderId="17" xfId="0" applyNumberFormat="1" applyFont="1" applyFill="1" applyBorder="1" applyAlignment="1">
      <alignment horizontal="center" vertical="center" textRotation="180"/>
    </xf>
    <xf numFmtId="170" fontId="6" fillId="34" borderId="18" xfId="0" applyNumberFormat="1" applyFont="1" applyFill="1" applyBorder="1" applyAlignment="1">
      <alignment horizontal="center" vertical="center" textRotation="180"/>
    </xf>
    <xf numFmtId="170" fontId="6" fillId="36" borderId="16" xfId="0" applyNumberFormat="1" applyFont="1" applyFill="1" applyBorder="1" applyAlignment="1">
      <alignment horizontal="center" vertical="center" textRotation="180"/>
    </xf>
    <xf numFmtId="165" fontId="6" fillId="30" borderId="19" xfId="0" applyNumberFormat="1" applyFont="1" applyFill="1" applyBorder="1" applyAlignment="1">
      <alignment horizontal="center" vertical="center" textRotation="180"/>
    </xf>
    <xf numFmtId="168" fontId="6" fillId="35" borderId="22" xfId="0" applyNumberFormat="1" applyFont="1" applyFill="1" applyBorder="1" applyAlignment="1">
      <alignment horizontal="center" vertical="center" textRotation="180"/>
    </xf>
    <xf numFmtId="165" fontId="6" fillId="30" borderId="0" xfId="0" applyNumberFormat="1" applyFont="1" applyFill="1" applyAlignment="1">
      <alignment horizontal="center" vertical="center" textRotation="180"/>
    </xf>
    <xf numFmtId="170" fontId="6" fillId="34" borderId="24" xfId="0" applyNumberFormat="1" applyFont="1" applyFill="1" applyBorder="1" applyAlignment="1">
      <alignment horizontal="center" vertical="center" textRotation="180"/>
    </xf>
    <xf numFmtId="165" fontId="6" fillId="30" borderId="18" xfId="0" applyNumberFormat="1" applyFont="1" applyFill="1" applyBorder="1" applyAlignment="1">
      <alignment horizontal="center" vertical="center" textRotation="180"/>
    </xf>
    <xf numFmtId="165" fontId="6" fillId="30" borderId="22" xfId="0" applyNumberFormat="1" applyFont="1" applyFill="1" applyBorder="1" applyAlignment="1">
      <alignment horizontal="center" vertical="center" textRotation="180"/>
    </xf>
    <xf numFmtId="165" fontId="6" fillId="30" borderId="16" xfId="0" applyNumberFormat="1" applyFont="1" applyFill="1" applyBorder="1" applyAlignment="1">
      <alignment horizontal="center" vertical="center" textRotation="180"/>
    </xf>
    <xf numFmtId="170" fontId="6" fillId="30" borderId="17" xfId="0" applyNumberFormat="1" applyFont="1" applyFill="1" applyBorder="1" applyAlignment="1">
      <alignment horizontal="center" vertical="center" textRotation="180"/>
    </xf>
    <xf numFmtId="170" fontId="6" fillId="36" borderId="18" xfId="0" applyNumberFormat="1" applyFont="1" applyFill="1" applyBorder="1" applyAlignment="1">
      <alignment horizontal="center" vertical="center" textRotation="180"/>
    </xf>
    <xf numFmtId="165" fontId="6" fillId="30" borderId="21" xfId="0" applyNumberFormat="1" applyFont="1" applyFill="1" applyBorder="1" applyAlignment="1">
      <alignment horizontal="center" vertical="center" textRotation="180"/>
    </xf>
    <xf numFmtId="169" fontId="6" fillId="34" borderId="20" xfId="0" applyNumberFormat="1" applyFont="1" applyFill="1" applyBorder="1" applyAlignment="1">
      <alignment horizontal="center" vertical="center" textRotation="180"/>
    </xf>
    <xf numFmtId="168" fontId="6" fillId="36" borderId="22" xfId="0" applyNumberFormat="1" applyFont="1" applyFill="1" applyBorder="1" applyAlignment="1">
      <alignment horizontal="center" vertical="center" textRotation="180"/>
    </xf>
    <xf numFmtId="170" fontId="6" fillId="30" borderId="3" xfId="0" applyNumberFormat="1" applyFont="1" applyFill="1" applyBorder="1" applyAlignment="1">
      <alignment horizontal="center" vertical="center" textRotation="180"/>
    </xf>
    <xf numFmtId="165" fontId="6" fillId="30" borderId="20" xfId="0" applyNumberFormat="1" applyFont="1" applyFill="1" applyBorder="1" applyAlignment="1">
      <alignment horizontal="center" vertical="center" textRotation="180"/>
    </xf>
    <xf numFmtId="168" fontId="6" fillId="35" borderId="23" xfId="0" applyNumberFormat="1" applyFont="1" applyFill="1" applyBorder="1" applyAlignment="1">
      <alignment horizontal="center" vertical="center" textRotation="180"/>
    </xf>
    <xf numFmtId="169" fontId="6" fillId="34" borderId="0" xfId="0" applyNumberFormat="1" applyFont="1" applyFill="1" applyAlignment="1">
      <alignment horizontal="center" vertical="center" textRotation="180"/>
    </xf>
    <xf numFmtId="165" fontId="6" fillId="30" borderId="24" xfId="0" applyNumberFormat="1" applyFont="1" applyFill="1" applyBorder="1" applyAlignment="1">
      <alignment horizontal="center" vertical="center" textRotation="180"/>
    </xf>
    <xf numFmtId="169" fontId="6" fillId="34" borderId="23" xfId="0" applyNumberFormat="1" applyFont="1" applyFill="1" applyBorder="1" applyAlignment="1">
      <alignment horizontal="center" vertical="center" textRotation="180"/>
    </xf>
    <xf numFmtId="168" fontId="6" fillId="29" borderId="16" xfId="0" applyNumberFormat="1" applyFont="1" applyFill="1" applyBorder="1" applyAlignment="1">
      <alignment horizontal="center" vertical="center" textRotation="180"/>
    </xf>
    <xf numFmtId="169" fontId="6" fillId="34" borderId="24" xfId="0" applyNumberFormat="1" applyFont="1" applyFill="1" applyBorder="1" applyAlignment="1">
      <alignment horizontal="center" vertical="center" textRotation="180"/>
    </xf>
    <xf numFmtId="168" fontId="6" fillId="36" borderId="24" xfId="0" applyNumberFormat="1" applyFont="1" applyFill="1" applyBorder="1" applyAlignment="1">
      <alignment horizontal="center" vertical="center" textRotation="180"/>
    </xf>
    <xf numFmtId="168" fontId="6" fillId="35" borderId="24" xfId="0" applyNumberFormat="1" applyFont="1" applyFill="1" applyBorder="1" applyAlignment="1">
      <alignment horizontal="center" vertical="center" textRotation="180"/>
    </xf>
    <xf numFmtId="168" fontId="26" fillId="37" borderId="17" xfId="0" applyNumberFormat="1" applyFont="1" applyFill="1" applyBorder="1" applyAlignment="1">
      <alignment horizontal="center" vertical="center" textRotation="180"/>
    </xf>
    <xf numFmtId="168" fontId="26" fillId="38" borderId="18" xfId="0" applyNumberFormat="1" applyFont="1" applyFill="1" applyBorder="1" applyAlignment="1">
      <alignment horizontal="center" vertical="center" textRotation="180"/>
    </xf>
    <xf numFmtId="170" fontId="26" fillId="38" borderId="21" xfId="0" applyNumberFormat="1" applyFont="1" applyFill="1" applyBorder="1" applyAlignment="1">
      <alignment horizontal="center" vertical="center" textRotation="180"/>
    </xf>
    <xf numFmtId="168" fontId="6" fillId="36" borderId="16" xfId="0" applyNumberFormat="1" applyFont="1" applyFill="1" applyBorder="1" applyAlignment="1">
      <alignment horizontal="center" vertical="center" textRotation="180"/>
    </xf>
    <xf numFmtId="165" fontId="6" fillId="30" borderId="17" xfId="0" applyNumberFormat="1" applyFont="1" applyFill="1" applyBorder="1" applyAlignment="1">
      <alignment horizontal="center" vertical="center" textRotation="180"/>
    </xf>
    <xf numFmtId="168" fontId="6" fillId="36" borderId="19" xfId="0" applyNumberFormat="1" applyFont="1" applyFill="1" applyBorder="1" applyAlignment="1">
      <alignment horizontal="center" vertical="center" textRotation="180"/>
    </xf>
    <xf numFmtId="168" fontId="6" fillId="35" borderId="18" xfId="0" applyNumberFormat="1" applyFont="1" applyFill="1" applyBorder="1" applyAlignment="1">
      <alignment horizontal="center" vertical="center" textRotation="180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14" fillId="0" borderId="10" xfId="0" quotePrefix="1" applyNumberFormat="1" applyFont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32" borderId="19" xfId="0" applyNumberFormat="1" applyFont="1" applyFill="1" applyBorder="1" applyAlignment="1">
      <alignment horizontal="center" vertical="center" textRotation="180"/>
    </xf>
    <xf numFmtId="165" fontId="6" fillId="32" borderId="20" xfId="0" applyNumberFormat="1" applyFont="1" applyFill="1" applyBorder="1" applyAlignment="1">
      <alignment horizontal="center" vertical="center" textRotation="180"/>
    </xf>
    <xf numFmtId="165" fontId="6" fillId="32" borderId="21" xfId="0" applyNumberFormat="1" applyFont="1" applyFill="1" applyBorder="1" applyAlignment="1">
      <alignment horizontal="center" vertical="center" textRotation="180"/>
    </xf>
    <xf numFmtId="165" fontId="6" fillId="32" borderId="22" xfId="0" applyNumberFormat="1" applyFont="1" applyFill="1" applyBorder="1" applyAlignment="1">
      <alignment horizontal="center" vertical="center" textRotation="180"/>
    </xf>
    <xf numFmtId="165" fontId="6" fillId="32" borderId="23" xfId="0" applyNumberFormat="1" applyFont="1" applyFill="1" applyBorder="1" applyAlignment="1">
      <alignment horizontal="center" vertical="center" textRotation="180"/>
    </xf>
    <xf numFmtId="165" fontId="6" fillId="32" borderId="24" xfId="0" applyNumberFormat="1" applyFont="1" applyFill="1" applyBorder="1" applyAlignment="1">
      <alignment horizontal="center" vertical="center" textRotation="180"/>
    </xf>
    <xf numFmtId="165" fontId="6" fillId="33" borderId="15" xfId="0" applyNumberFormat="1" applyFont="1" applyFill="1" applyBorder="1" applyAlignment="1">
      <alignment horizontal="center" vertical="center" textRotation="180"/>
    </xf>
    <xf numFmtId="165" fontId="6" fillId="33" borderId="3" xfId="0" applyNumberFormat="1" applyFont="1" applyFill="1" applyBorder="1" applyAlignment="1">
      <alignment horizontal="center" vertical="center" textRotation="180"/>
    </xf>
    <xf numFmtId="165" fontId="6" fillId="33" borderId="17" xfId="0" applyNumberFormat="1" applyFont="1" applyFill="1" applyBorder="1" applyAlignment="1">
      <alignment horizontal="center" vertical="center" textRotation="180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99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129</xdr:row>
      <xdr:rowOff>95250</xdr:rowOff>
    </xdr:from>
    <xdr:to>
      <xdr:col>68</xdr:col>
      <xdr:colOff>114300</xdr:colOff>
      <xdr:row>132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3</xdr:row>
      <xdr:rowOff>0</xdr:rowOff>
    </xdr:from>
    <xdr:to>
      <xdr:col>128</xdr:col>
      <xdr:colOff>114300</xdr:colOff>
      <xdr:row>27</xdr:row>
      <xdr:rowOff>390525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0B2A27-CC6F-5D9F-12A8-F420DCF62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0" y="1371600"/>
          <a:ext cx="11544300" cy="1216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68</xdr:col>
      <xdr:colOff>0</xdr:colOff>
      <xdr:row>88</xdr:row>
      <xdr:rowOff>381000</xdr:rowOff>
    </xdr:from>
    <xdr:to>
      <xdr:col>129</xdr:col>
      <xdr:colOff>0</xdr:colOff>
      <xdr:row>113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04F8BC-4F62-733D-A0D1-7785631E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0" y="43738800"/>
          <a:ext cx="11620500" cy="12458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129</xdr:row>
      <xdr:rowOff>95250</xdr:rowOff>
    </xdr:from>
    <xdr:to>
      <xdr:col>68</xdr:col>
      <xdr:colOff>114300</xdr:colOff>
      <xdr:row>132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129</xdr:row>
      <xdr:rowOff>95250</xdr:rowOff>
    </xdr:from>
    <xdr:to>
      <xdr:col>68</xdr:col>
      <xdr:colOff>114300</xdr:colOff>
      <xdr:row>132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129</xdr:row>
      <xdr:rowOff>95250</xdr:rowOff>
    </xdr:from>
    <xdr:to>
      <xdr:col>68</xdr:col>
      <xdr:colOff>114300</xdr:colOff>
      <xdr:row>132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129</xdr:row>
      <xdr:rowOff>95250</xdr:rowOff>
    </xdr:from>
    <xdr:to>
      <xdr:col>68</xdr:col>
      <xdr:colOff>114300</xdr:colOff>
      <xdr:row>132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51"/>
  <sheetViews>
    <sheetView tabSelected="1" topLeftCell="A99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198">
        <v>2025</v>
      </c>
      <c r="B1" s="199"/>
      <c r="C1" s="202" t="s">
        <v>0</v>
      </c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3"/>
      <c r="DO1" s="203"/>
      <c r="DP1" s="204"/>
      <c r="DQ1" s="169" t="s">
        <v>1</v>
      </c>
      <c r="DR1" s="170"/>
      <c r="DS1" s="170"/>
      <c r="DT1" s="170"/>
      <c r="DU1" s="170"/>
      <c r="DV1" s="170"/>
      <c r="DW1" s="170"/>
      <c r="DX1" s="170"/>
      <c r="DY1" s="170"/>
      <c r="DZ1" s="171"/>
    </row>
    <row r="2" spans="1:182" s="5" customFormat="1" ht="36" customHeight="1" x14ac:dyDescent="0.2">
      <c r="A2" s="200"/>
      <c r="B2" s="201"/>
      <c r="C2" s="205" t="s">
        <v>2</v>
      </c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7"/>
      <c r="DQ2" s="169" t="s">
        <v>3</v>
      </c>
      <c r="DR2" s="170"/>
      <c r="DS2" s="170"/>
      <c r="DT2" s="170"/>
      <c r="DU2" s="170"/>
      <c r="DV2" s="170"/>
      <c r="DW2" s="170"/>
      <c r="DX2" s="170"/>
      <c r="DY2" s="170"/>
      <c r="DZ2" s="171"/>
      <c r="EA2" s="4"/>
    </row>
    <row r="3" spans="1:182" s="5" customFormat="1" ht="36" customHeight="1" x14ac:dyDescent="0.2">
      <c r="A3" s="163" t="s">
        <v>4</v>
      </c>
      <c r="B3" s="164"/>
      <c r="C3" s="18" t="s">
        <v>5</v>
      </c>
      <c r="D3" s="26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8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35" t="s">
        <v>11</v>
      </c>
      <c r="E4" s="36" t="s">
        <v>11</v>
      </c>
      <c r="F4" s="36" t="s">
        <v>11</v>
      </c>
      <c r="G4" s="36" t="s">
        <v>11</v>
      </c>
      <c r="H4" s="37" t="s">
        <v>11</v>
      </c>
      <c r="I4" s="43">
        <v>0.17899999999999999</v>
      </c>
      <c r="J4" s="36">
        <v>0.187</v>
      </c>
      <c r="K4" s="36">
        <v>0.188</v>
      </c>
      <c r="L4" s="36">
        <v>0.16900000000000001</v>
      </c>
      <c r="M4" s="37">
        <v>0.159</v>
      </c>
      <c r="N4" s="43">
        <v>0.17499999999999999</v>
      </c>
      <c r="O4" s="36" t="s">
        <v>11</v>
      </c>
      <c r="P4" s="36" t="s">
        <v>11</v>
      </c>
      <c r="Q4" s="36" t="s">
        <v>11</v>
      </c>
      <c r="R4" s="37" t="s">
        <v>11</v>
      </c>
      <c r="S4" s="43" t="s">
        <v>11</v>
      </c>
      <c r="T4" s="36" t="s">
        <v>11</v>
      </c>
      <c r="U4" s="36" t="s">
        <v>11</v>
      </c>
      <c r="V4" s="36" t="s">
        <v>11</v>
      </c>
      <c r="W4" s="37" t="s">
        <v>11</v>
      </c>
      <c r="X4" s="43" t="s">
        <v>11</v>
      </c>
      <c r="Y4" s="36" t="s">
        <v>11</v>
      </c>
      <c r="Z4" s="36" t="s">
        <v>11</v>
      </c>
      <c r="AA4" s="36" t="s">
        <v>11</v>
      </c>
      <c r="AB4" s="37" t="s">
        <v>11</v>
      </c>
      <c r="AC4" s="43" t="s">
        <v>11</v>
      </c>
      <c r="AD4" s="36" t="s">
        <v>11</v>
      </c>
      <c r="AE4" s="36" t="s">
        <v>11</v>
      </c>
      <c r="AF4" s="36">
        <v>0.185</v>
      </c>
      <c r="AG4" s="37">
        <v>0.20399999999999999</v>
      </c>
      <c r="AH4" s="43">
        <v>0.182</v>
      </c>
      <c r="AI4" s="36">
        <v>0.17699999999999999</v>
      </c>
      <c r="AJ4" s="36">
        <v>0.16900000000000001</v>
      </c>
      <c r="AK4" s="36">
        <v>0.17699999999999999</v>
      </c>
      <c r="AL4" s="37" t="s">
        <v>11</v>
      </c>
      <c r="AM4" s="43" t="s">
        <v>11</v>
      </c>
      <c r="AN4" s="36" t="s">
        <v>11</v>
      </c>
      <c r="AO4" s="36" t="s">
        <v>11</v>
      </c>
      <c r="AP4" s="36" t="s">
        <v>11</v>
      </c>
      <c r="AQ4" s="37" t="s">
        <v>11</v>
      </c>
      <c r="AR4" s="43" t="s">
        <v>11</v>
      </c>
      <c r="AS4" s="36" t="s">
        <v>11</v>
      </c>
      <c r="AT4" s="36" t="s">
        <v>11</v>
      </c>
      <c r="AU4" s="36" t="s">
        <v>11</v>
      </c>
      <c r="AV4" s="37" t="s">
        <v>11</v>
      </c>
      <c r="AW4" s="43" t="s">
        <v>11</v>
      </c>
      <c r="AX4" s="36" t="s">
        <v>11</v>
      </c>
      <c r="AY4" s="36" t="s">
        <v>11</v>
      </c>
      <c r="AZ4" s="36" t="s">
        <v>11</v>
      </c>
      <c r="BA4" s="37" t="s">
        <v>11</v>
      </c>
      <c r="BB4" s="43">
        <v>0.17</v>
      </c>
      <c r="BC4" s="36">
        <v>0.17699999999999999</v>
      </c>
      <c r="BD4" s="36">
        <v>0.17599999999999999</v>
      </c>
      <c r="BE4" s="36">
        <v>0.16600000000000001</v>
      </c>
      <c r="BF4" s="37">
        <v>0.17599999999999999</v>
      </c>
      <c r="BG4" s="43" t="s">
        <v>11</v>
      </c>
      <c r="BH4" s="36" t="s">
        <v>11</v>
      </c>
      <c r="BI4" s="36" t="s">
        <v>11</v>
      </c>
      <c r="BJ4" s="36" t="s">
        <v>11</v>
      </c>
      <c r="BK4" s="37" t="s">
        <v>11</v>
      </c>
      <c r="BL4" s="43" t="s">
        <v>11</v>
      </c>
      <c r="BM4" s="37" t="s">
        <v>11</v>
      </c>
      <c r="BN4" s="166">
        <f t="shared" ref="BN4:BN6" si="0">IFERROR(AVERAGE(D4:BM6),0)</f>
        <v>0.17616981132075474</v>
      </c>
      <c r="BO4" s="166">
        <f t="shared" ref="BO4:BO6" si="1">MIN(D4:BM6)</f>
        <v>0.159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65">
        <v>9.9000000000000005E-2</v>
      </c>
      <c r="B5" s="7" t="s">
        <v>12</v>
      </c>
      <c r="C5" s="11" t="s">
        <v>8</v>
      </c>
      <c r="D5" s="41" t="s">
        <v>11</v>
      </c>
      <c r="E5" s="22" t="s">
        <v>11</v>
      </c>
      <c r="F5" s="22" t="s">
        <v>11</v>
      </c>
      <c r="G5" s="22" t="s">
        <v>11</v>
      </c>
      <c r="H5" s="42" t="s">
        <v>11</v>
      </c>
      <c r="I5" s="45">
        <v>0.17399999999999999</v>
      </c>
      <c r="J5" s="22">
        <v>0.18</v>
      </c>
      <c r="K5" s="22">
        <v>0.17699999999999999</v>
      </c>
      <c r="L5" s="22">
        <v>0.18</v>
      </c>
      <c r="M5" s="42">
        <v>0.16500000000000001</v>
      </c>
      <c r="N5" s="45">
        <v>0.18</v>
      </c>
      <c r="O5" s="22" t="s">
        <v>11</v>
      </c>
      <c r="P5" s="22" t="s">
        <v>11</v>
      </c>
      <c r="Q5" s="22" t="s">
        <v>11</v>
      </c>
      <c r="R5" s="42" t="s">
        <v>11</v>
      </c>
      <c r="S5" s="45" t="s">
        <v>11</v>
      </c>
      <c r="T5" s="22" t="s">
        <v>11</v>
      </c>
      <c r="U5" s="22" t="s">
        <v>11</v>
      </c>
      <c r="V5" s="22" t="s">
        <v>11</v>
      </c>
      <c r="W5" s="42" t="s">
        <v>11</v>
      </c>
      <c r="X5" s="45" t="s">
        <v>11</v>
      </c>
      <c r="Y5" s="22" t="s">
        <v>11</v>
      </c>
      <c r="Z5" s="22" t="s">
        <v>11</v>
      </c>
      <c r="AA5" s="22" t="s">
        <v>11</v>
      </c>
      <c r="AB5" s="42" t="s">
        <v>11</v>
      </c>
      <c r="AC5" s="45" t="s">
        <v>11</v>
      </c>
      <c r="AD5" s="22" t="s">
        <v>11</v>
      </c>
      <c r="AE5" s="22" t="s">
        <v>11</v>
      </c>
      <c r="AF5" s="22">
        <v>0.183</v>
      </c>
      <c r="AG5" s="42">
        <v>0.16600000000000001</v>
      </c>
      <c r="AH5" s="45">
        <v>0.17199999999999999</v>
      </c>
      <c r="AI5" s="22">
        <v>0.18</v>
      </c>
      <c r="AJ5" s="22">
        <v>0.16700000000000001</v>
      </c>
      <c r="AK5" s="22">
        <v>0.18</v>
      </c>
      <c r="AL5" s="42" t="s">
        <v>11</v>
      </c>
      <c r="AM5" s="45" t="s">
        <v>11</v>
      </c>
      <c r="AN5" s="22" t="s">
        <v>11</v>
      </c>
      <c r="AO5" s="22" t="s">
        <v>11</v>
      </c>
      <c r="AP5" s="22" t="s">
        <v>11</v>
      </c>
      <c r="AQ5" s="42" t="s">
        <v>11</v>
      </c>
      <c r="AR5" s="45" t="s">
        <v>11</v>
      </c>
      <c r="AS5" s="22" t="s">
        <v>11</v>
      </c>
      <c r="AT5" s="22" t="s">
        <v>11</v>
      </c>
      <c r="AU5" s="22" t="s">
        <v>11</v>
      </c>
      <c r="AV5" s="42" t="s">
        <v>11</v>
      </c>
      <c r="AW5" s="45" t="s">
        <v>11</v>
      </c>
      <c r="AX5" s="22" t="s">
        <v>11</v>
      </c>
      <c r="AY5" s="22" t="s">
        <v>11</v>
      </c>
      <c r="AZ5" s="22" t="s">
        <v>11</v>
      </c>
      <c r="BA5" s="42" t="s">
        <v>11</v>
      </c>
      <c r="BB5" s="45">
        <v>0.182</v>
      </c>
      <c r="BC5" s="22">
        <v>0.17399999999999999</v>
      </c>
      <c r="BD5" s="22">
        <v>0.18099999999999999</v>
      </c>
      <c r="BE5" s="22">
        <v>0.17299999999999999</v>
      </c>
      <c r="BF5" s="42">
        <v>0.17699999999999999</v>
      </c>
      <c r="BG5" s="45">
        <v>0.18</v>
      </c>
      <c r="BH5" s="22" t="s">
        <v>11</v>
      </c>
      <c r="BI5" s="22" t="s">
        <v>11</v>
      </c>
      <c r="BJ5" s="22" t="s">
        <v>11</v>
      </c>
      <c r="BK5" s="42" t="s">
        <v>11</v>
      </c>
      <c r="BL5" s="45" t="s">
        <v>11</v>
      </c>
      <c r="BM5" s="42" t="s">
        <v>11</v>
      </c>
      <c r="BN5" s="167">
        <f t="shared" si="0"/>
        <v>0.17652000000000001</v>
      </c>
      <c r="BO5" s="167">
        <f t="shared" si="1"/>
        <v>0.16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65"/>
      <c r="B6" s="8" t="s">
        <v>13</v>
      </c>
      <c r="C6" s="12" t="s">
        <v>14</v>
      </c>
      <c r="D6" s="38" t="s">
        <v>11</v>
      </c>
      <c r="E6" s="39" t="s">
        <v>11</v>
      </c>
      <c r="F6" s="39" t="s">
        <v>11</v>
      </c>
      <c r="G6" s="39" t="s">
        <v>11</v>
      </c>
      <c r="H6" s="40" t="s">
        <v>11</v>
      </c>
      <c r="I6" s="44">
        <v>0.17599999999999999</v>
      </c>
      <c r="J6" s="39">
        <v>0.184</v>
      </c>
      <c r="K6" s="39">
        <v>0.17699999999999999</v>
      </c>
      <c r="L6" s="39">
        <v>0.17699999999999999</v>
      </c>
      <c r="M6" s="40">
        <v>0.16</v>
      </c>
      <c r="N6" s="44">
        <v>0.182</v>
      </c>
      <c r="O6" s="39" t="s">
        <v>11</v>
      </c>
      <c r="P6" s="39" t="s">
        <v>11</v>
      </c>
      <c r="Q6" s="39" t="s">
        <v>11</v>
      </c>
      <c r="R6" s="40" t="s">
        <v>11</v>
      </c>
      <c r="S6" s="44" t="s">
        <v>11</v>
      </c>
      <c r="T6" s="39" t="s">
        <v>11</v>
      </c>
      <c r="U6" s="39" t="s">
        <v>11</v>
      </c>
      <c r="V6" s="39" t="s">
        <v>11</v>
      </c>
      <c r="W6" s="40" t="s">
        <v>11</v>
      </c>
      <c r="X6" s="44" t="s">
        <v>11</v>
      </c>
      <c r="Y6" s="39" t="s">
        <v>11</v>
      </c>
      <c r="Z6" s="39" t="s">
        <v>11</v>
      </c>
      <c r="AA6" s="39" t="s">
        <v>11</v>
      </c>
      <c r="AB6" s="40" t="s">
        <v>11</v>
      </c>
      <c r="AC6" s="44" t="s">
        <v>11</v>
      </c>
      <c r="AD6" s="39" t="s">
        <v>11</v>
      </c>
      <c r="AE6" s="39" t="s">
        <v>11</v>
      </c>
      <c r="AF6" s="39">
        <v>0.17499999999999999</v>
      </c>
      <c r="AG6" s="40">
        <v>0.16400000000000001</v>
      </c>
      <c r="AH6" s="44">
        <v>0.17399999999999999</v>
      </c>
      <c r="AI6" s="39">
        <v>0.17599999999999999</v>
      </c>
      <c r="AJ6" s="39">
        <v>0.16500000000000001</v>
      </c>
      <c r="AK6" s="39">
        <v>0.17599999999999999</v>
      </c>
      <c r="AL6" s="40" t="s">
        <v>11</v>
      </c>
      <c r="AM6" s="44" t="s">
        <v>11</v>
      </c>
      <c r="AN6" s="39" t="s">
        <v>11</v>
      </c>
      <c r="AO6" s="39" t="s">
        <v>11</v>
      </c>
      <c r="AP6" s="39" t="s">
        <v>11</v>
      </c>
      <c r="AQ6" s="40" t="s">
        <v>11</v>
      </c>
      <c r="AR6" s="44" t="s">
        <v>11</v>
      </c>
      <c r="AS6" s="39" t="s">
        <v>11</v>
      </c>
      <c r="AT6" s="39" t="s">
        <v>11</v>
      </c>
      <c r="AU6" s="39" t="s">
        <v>11</v>
      </c>
      <c r="AV6" s="40" t="s">
        <v>11</v>
      </c>
      <c r="AW6" s="44" t="s">
        <v>11</v>
      </c>
      <c r="AX6" s="39" t="s">
        <v>11</v>
      </c>
      <c r="AY6" s="39" t="s">
        <v>11</v>
      </c>
      <c r="AZ6" s="39" t="s">
        <v>11</v>
      </c>
      <c r="BA6" s="40" t="s">
        <v>11</v>
      </c>
      <c r="BB6" s="44">
        <v>0.17799999999999999</v>
      </c>
      <c r="BC6" s="39">
        <v>0.17599999999999999</v>
      </c>
      <c r="BD6" s="39">
        <v>0.182</v>
      </c>
      <c r="BE6" s="39">
        <v>0.16700000000000001</v>
      </c>
      <c r="BF6" s="40">
        <v>0.17899999999999999</v>
      </c>
      <c r="BG6" s="44">
        <v>0.182</v>
      </c>
      <c r="BH6" s="39" t="s">
        <v>11</v>
      </c>
      <c r="BI6" s="39" t="s">
        <v>11</v>
      </c>
      <c r="BJ6" s="39" t="s">
        <v>11</v>
      </c>
      <c r="BK6" s="40" t="s">
        <v>11</v>
      </c>
      <c r="BL6" s="44" t="s">
        <v>11</v>
      </c>
      <c r="BM6" s="40" t="s">
        <v>11</v>
      </c>
      <c r="BN6" s="168">
        <f t="shared" si="0"/>
        <v>0.17704347826086952</v>
      </c>
      <c r="BO6" s="168">
        <f t="shared" si="1"/>
        <v>0.16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15</v>
      </c>
      <c r="C7" s="11" t="s">
        <v>10</v>
      </c>
      <c r="D7" s="35" t="s">
        <v>11</v>
      </c>
      <c r="E7" s="36" t="s">
        <v>11</v>
      </c>
      <c r="F7" s="36" t="s">
        <v>11</v>
      </c>
      <c r="G7" s="36" t="s">
        <v>11</v>
      </c>
      <c r="H7" s="37" t="s">
        <v>11</v>
      </c>
      <c r="I7" s="43">
        <v>0.17799999999999999</v>
      </c>
      <c r="J7" s="36">
        <v>0.17599999999999999</v>
      </c>
      <c r="K7" s="36">
        <v>0.17199999999999999</v>
      </c>
      <c r="L7" s="36">
        <v>0.17799999999999999</v>
      </c>
      <c r="M7" s="37" t="s">
        <v>16</v>
      </c>
      <c r="N7" s="43">
        <v>0.17399999999999999</v>
      </c>
      <c r="O7" s="36" t="s">
        <v>11</v>
      </c>
      <c r="P7" s="36" t="s">
        <v>11</v>
      </c>
      <c r="Q7" s="36" t="s">
        <v>11</v>
      </c>
      <c r="R7" s="37" t="s">
        <v>11</v>
      </c>
      <c r="S7" s="43" t="s">
        <v>11</v>
      </c>
      <c r="T7" s="36" t="s">
        <v>11</v>
      </c>
      <c r="U7" s="36" t="s">
        <v>11</v>
      </c>
      <c r="V7" s="36" t="s">
        <v>11</v>
      </c>
      <c r="W7" s="37" t="s">
        <v>11</v>
      </c>
      <c r="X7" s="43" t="s">
        <v>11</v>
      </c>
      <c r="Y7" s="36" t="s">
        <v>11</v>
      </c>
      <c r="Z7" s="36" t="s">
        <v>11</v>
      </c>
      <c r="AA7" s="36" t="s">
        <v>11</v>
      </c>
      <c r="AB7" s="37" t="s">
        <v>11</v>
      </c>
      <c r="AC7" s="43" t="s">
        <v>11</v>
      </c>
      <c r="AD7" s="36" t="s">
        <v>11</v>
      </c>
      <c r="AE7" s="36" t="s">
        <v>11</v>
      </c>
      <c r="AF7" s="36">
        <v>0.17799999999999999</v>
      </c>
      <c r="AG7" s="37" t="s">
        <v>16</v>
      </c>
      <c r="AH7" s="43">
        <v>0.183</v>
      </c>
      <c r="AI7" s="36">
        <v>0.18099999999999999</v>
      </c>
      <c r="AJ7" s="36" t="s">
        <v>16</v>
      </c>
      <c r="AK7" s="36">
        <v>0.188</v>
      </c>
      <c r="AL7" s="37" t="s">
        <v>11</v>
      </c>
      <c r="AM7" s="43" t="s">
        <v>11</v>
      </c>
      <c r="AN7" s="36" t="s">
        <v>11</v>
      </c>
      <c r="AO7" s="36" t="s">
        <v>11</v>
      </c>
      <c r="AP7" s="36" t="s">
        <v>11</v>
      </c>
      <c r="AQ7" s="37" t="s">
        <v>11</v>
      </c>
      <c r="AR7" s="43" t="s">
        <v>11</v>
      </c>
      <c r="AS7" s="36" t="s">
        <v>11</v>
      </c>
      <c r="AT7" s="36" t="s">
        <v>11</v>
      </c>
      <c r="AU7" s="36" t="s">
        <v>11</v>
      </c>
      <c r="AV7" s="37" t="s">
        <v>11</v>
      </c>
      <c r="AW7" s="43" t="s">
        <v>11</v>
      </c>
      <c r="AX7" s="36" t="s">
        <v>11</v>
      </c>
      <c r="AY7" s="36" t="s">
        <v>11</v>
      </c>
      <c r="AZ7" s="36" t="s">
        <v>11</v>
      </c>
      <c r="BA7" s="37" t="s">
        <v>11</v>
      </c>
      <c r="BB7" s="43">
        <v>0.19400000000000001</v>
      </c>
      <c r="BC7" s="36">
        <v>0.17100000000000001</v>
      </c>
      <c r="BD7" s="36">
        <v>0.17499999999999999</v>
      </c>
      <c r="BE7" s="36" t="s">
        <v>16</v>
      </c>
      <c r="BF7" s="37">
        <v>0.17699999999999999</v>
      </c>
      <c r="BG7" s="43">
        <v>0.18</v>
      </c>
      <c r="BH7" s="36" t="s">
        <v>11</v>
      </c>
      <c r="BI7" s="36" t="s">
        <v>11</v>
      </c>
      <c r="BJ7" s="36" t="s">
        <v>11</v>
      </c>
      <c r="BK7" s="37" t="s">
        <v>11</v>
      </c>
      <c r="BL7" s="43" t="s">
        <v>11</v>
      </c>
      <c r="BM7" s="37" t="s">
        <v>11</v>
      </c>
      <c r="BN7" s="166">
        <f t="shared" ref="BN7:BN9" si="2">IFERROR(AVERAGE(D7:BM9),0)</f>
        <v>0.17830952380952378</v>
      </c>
      <c r="BO7" s="166">
        <f t="shared" ref="BO7:BO9" si="3">MIN(D7:BM9)</f>
        <v>0.17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65">
        <v>9.9000000000000005E-2</v>
      </c>
      <c r="B8" s="7" t="s">
        <v>12</v>
      </c>
      <c r="C8" s="11" t="s">
        <v>8</v>
      </c>
      <c r="D8" s="41" t="s">
        <v>11</v>
      </c>
      <c r="E8" s="22" t="s">
        <v>11</v>
      </c>
      <c r="F8" s="22" t="s">
        <v>11</v>
      </c>
      <c r="G8" s="22" t="s">
        <v>11</v>
      </c>
      <c r="H8" s="42" t="s">
        <v>11</v>
      </c>
      <c r="I8" s="45">
        <v>0.17899999999999999</v>
      </c>
      <c r="J8" s="22">
        <v>0.17699999999999999</v>
      </c>
      <c r="K8" s="22">
        <v>0.17299999999999999</v>
      </c>
      <c r="L8" s="22">
        <v>0.184</v>
      </c>
      <c r="M8" s="42" t="s">
        <v>16</v>
      </c>
      <c r="N8" s="45">
        <v>0.18</v>
      </c>
      <c r="O8" s="22" t="s">
        <v>11</v>
      </c>
      <c r="P8" s="22" t="s">
        <v>11</v>
      </c>
      <c r="Q8" s="22" t="s">
        <v>11</v>
      </c>
      <c r="R8" s="42" t="s">
        <v>11</v>
      </c>
      <c r="S8" s="45" t="s">
        <v>11</v>
      </c>
      <c r="T8" s="22" t="s">
        <v>11</v>
      </c>
      <c r="U8" s="22" t="s">
        <v>11</v>
      </c>
      <c r="V8" s="22" t="s">
        <v>11</v>
      </c>
      <c r="W8" s="42" t="s">
        <v>11</v>
      </c>
      <c r="X8" s="45" t="s">
        <v>11</v>
      </c>
      <c r="Y8" s="22" t="s">
        <v>11</v>
      </c>
      <c r="Z8" s="22" t="s">
        <v>11</v>
      </c>
      <c r="AA8" s="22" t="s">
        <v>11</v>
      </c>
      <c r="AB8" s="42" t="s">
        <v>11</v>
      </c>
      <c r="AC8" s="45" t="s">
        <v>11</v>
      </c>
      <c r="AD8" s="22" t="s">
        <v>11</v>
      </c>
      <c r="AE8" s="22" t="s">
        <v>11</v>
      </c>
      <c r="AF8" s="22">
        <v>0.17599999999999999</v>
      </c>
      <c r="AG8" s="42" t="s">
        <v>16</v>
      </c>
      <c r="AH8" s="45">
        <v>0.17799999999999999</v>
      </c>
      <c r="AI8" s="22">
        <v>0.18</v>
      </c>
      <c r="AJ8" s="22" t="s">
        <v>16</v>
      </c>
      <c r="AK8" s="22">
        <v>0.18099999999999999</v>
      </c>
      <c r="AL8" s="42" t="s">
        <v>11</v>
      </c>
      <c r="AM8" s="45" t="s">
        <v>11</v>
      </c>
      <c r="AN8" s="22" t="s">
        <v>11</v>
      </c>
      <c r="AO8" s="22" t="s">
        <v>11</v>
      </c>
      <c r="AP8" s="22" t="s">
        <v>11</v>
      </c>
      <c r="AQ8" s="42" t="s">
        <v>11</v>
      </c>
      <c r="AR8" s="45" t="s">
        <v>11</v>
      </c>
      <c r="AS8" s="22" t="s">
        <v>11</v>
      </c>
      <c r="AT8" s="22" t="s">
        <v>11</v>
      </c>
      <c r="AU8" s="22" t="s">
        <v>11</v>
      </c>
      <c r="AV8" s="42" t="s">
        <v>11</v>
      </c>
      <c r="AW8" s="45" t="s">
        <v>11</v>
      </c>
      <c r="AX8" s="22" t="s">
        <v>11</v>
      </c>
      <c r="AY8" s="22" t="s">
        <v>11</v>
      </c>
      <c r="AZ8" s="22" t="s">
        <v>11</v>
      </c>
      <c r="BA8" s="42" t="s">
        <v>11</v>
      </c>
      <c r="BB8" s="45">
        <v>0.17</v>
      </c>
      <c r="BC8" s="22">
        <v>0.17100000000000001</v>
      </c>
      <c r="BD8" s="22">
        <v>0.18</v>
      </c>
      <c r="BE8" s="22" t="s">
        <v>16</v>
      </c>
      <c r="BF8" s="42">
        <v>0.17499999999999999</v>
      </c>
      <c r="BG8" s="45">
        <v>0.185</v>
      </c>
      <c r="BH8" s="22" t="s">
        <v>11</v>
      </c>
      <c r="BI8" s="22" t="s">
        <v>11</v>
      </c>
      <c r="BJ8" s="22" t="s">
        <v>11</v>
      </c>
      <c r="BK8" s="42" t="s">
        <v>11</v>
      </c>
      <c r="BL8" s="45" t="s">
        <v>11</v>
      </c>
      <c r="BM8" s="42" t="s">
        <v>11</v>
      </c>
      <c r="BN8" s="167">
        <f t="shared" si="2"/>
        <v>0.17786956521739128</v>
      </c>
      <c r="BO8" s="167">
        <f t="shared" si="3"/>
        <v>0.16900000000000001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65"/>
      <c r="B9" s="8" t="s">
        <v>13</v>
      </c>
      <c r="C9" s="12" t="s">
        <v>14</v>
      </c>
      <c r="D9" s="38" t="s">
        <v>11</v>
      </c>
      <c r="E9" s="39" t="s">
        <v>11</v>
      </c>
      <c r="F9" s="39" t="s">
        <v>11</v>
      </c>
      <c r="G9" s="39" t="s">
        <v>11</v>
      </c>
      <c r="H9" s="40" t="s">
        <v>11</v>
      </c>
      <c r="I9" s="44">
        <v>0.18</v>
      </c>
      <c r="J9" s="39">
        <v>0.17899999999999999</v>
      </c>
      <c r="K9" s="39">
        <v>0.17699999999999999</v>
      </c>
      <c r="L9" s="39">
        <v>0.17599999999999999</v>
      </c>
      <c r="M9" s="40" t="s">
        <v>16</v>
      </c>
      <c r="N9" s="44">
        <v>0.17799999999999999</v>
      </c>
      <c r="O9" s="39" t="s">
        <v>11</v>
      </c>
      <c r="P9" s="39" t="s">
        <v>11</v>
      </c>
      <c r="Q9" s="39" t="s">
        <v>11</v>
      </c>
      <c r="R9" s="40" t="s">
        <v>11</v>
      </c>
      <c r="S9" s="44" t="s">
        <v>11</v>
      </c>
      <c r="T9" s="39" t="s">
        <v>11</v>
      </c>
      <c r="U9" s="39" t="s">
        <v>11</v>
      </c>
      <c r="V9" s="39" t="s">
        <v>11</v>
      </c>
      <c r="W9" s="40" t="s">
        <v>11</v>
      </c>
      <c r="X9" s="44" t="s">
        <v>11</v>
      </c>
      <c r="Y9" s="39" t="s">
        <v>11</v>
      </c>
      <c r="Z9" s="39" t="s">
        <v>11</v>
      </c>
      <c r="AA9" s="39" t="s">
        <v>11</v>
      </c>
      <c r="AB9" s="40" t="s">
        <v>11</v>
      </c>
      <c r="AC9" s="44" t="s">
        <v>11</v>
      </c>
      <c r="AD9" s="39" t="s">
        <v>11</v>
      </c>
      <c r="AE9" s="39" t="s">
        <v>11</v>
      </c>
      <c r="AF9" s="39">
        <v>0.17699999999999999</v>
      </c>
      <c r="AG9" s="40" t="s">
        <v>16</v>
      </c>
      <c r="AH9" s="44">
        <v>0.17599999999999999</v>
      </c>
      <c r="AI9" s="39">
        <v>0.17499999999999999</v>
      </c>
      <c r="AJ9" s="39" t="s">
        <v>16</v>
      </c>
      <c r="AK9" s="39">
        <v>0.184</v>
      </c>
      <c r="AL9" s="40" t="s">
        <v>11</v>
      </c>
      <c r="AM9" s="44" t="s">
        <v>11</v>
      </c>
      <c r="AN9" s="39" t="s">
        <v>11</v>
      </c>
      <c r="AO9" s="39" t="s">
        <v>11</v>
      </c>
      <c r="AP9" s="39" t="s">
        <v>11</v>
      </c>
      <c r="AQ9" s="40" t="s">
        <v>11</v>
      </c>
      <c r="AR9" s="44" t="s">
        <v>11</v>
      </c>
      <c r="AS9" s="39" t="s">
        <v>11</v>
      </c>
      <c r="AT9" s="39" t="s">
        <v>11</v>
      </c>
      <c r="AU9" s="39" t="s">
        <v>11</v>
      </c>
      <c r="AV9" s="40" t="s">
        <v>11</v>
      </c>
      <c r="AW9" s="44" t="s">
        <v>11</v>
      </c>
      <c r="AX9" s="39" t="s">
        <v>11</v>
      </c>
      <c r="AY9" s="39" t="s">
        <v>11</v>
      </c>
      <c r="AZ9" s="39" t="s">
        <v>11</v>
      </c>
      <c r="BA9" s="40" t="s">
        <v>11</v>
      </c>
      <c r="BB9" s="44">
        <v>0.17599999999999999</v>
      </c>
      <c r="BC9" s="39">
        <v>0.17899999999999999</v>
      </c>
      <c r="BD9" s="39">
        <v>0.18099999999999999</v>
      </c>
      <c r="BE9" s="39" t="s">
        <v>16</v>
      </c>
      <c r="BF9" s="40">
        <v>0.17699999999999999</v>
      </c>
      <c r="BG9" s="44">
        <v>0.18</v>
      </c>
      <c r="BH9" s="39" t="s">
        <v>11</v>
      </c>
      <c r="BI9" s="39" t="s">
        <v>11</v>
      </c>
      <c r="BJ9" s="39" t="s">
        <v>11</v>
      </c>
      <c r="BK9" s="40" t="s">
        <v>11</v>
      </c>
      <c r="BL9" s="44" t="s">
        <v>11</v>
      </c>
      <c r="BM9" s="40" t="s">
        <v>11</v>
      </c>
      <c r="BN9" s="168">
        <f t="shared" si="2"/>
        <v>0.17730000000000004</v>
      </c>
      <c r="BO9" s="168">
        <f t="shared" si="3"/>
        <v>0.16200000000000001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35" t="s">
        <v>11</v>
      </c>
      <c r="E10" s="36" t="s">
        <v>11</v>
      </c>
      <c r="F10" s="36" t="s">
        <v>11</v>
      </c>
      <c r="G10" s="36" t="s">
        <v>11</v>
      </c>
      <c r="H10" s="37" t="s">
        <v>11</v>
      </c>
      <c r="I10" s="43">
        <v>0.16900000000000001</v>
      </c>
      <c r="J10" s="36">
        <v>0.182</v>
      </c>
      <c r="K10" s="36">
        <v>0.17599999999999999</v>
      </c>
      <c r="L10" s="36">
        <v>0.17799999999999999</v>
      </c>
      <c r="M10" s="37">
        <v>0.16900000000000001</v>
      </c>
      <c r="N10" s="43">
        <v>0.17499999999999999</v>
      </c>
      <c r="O10" s="36" t="s">
        <v>11</v>
      </c>
      <c r="P10" s="36" t="s">
        <v>11</v>
      </c>
      <c r="Q10" s="36" t="s">
        <v>11</v>
      </c>
      <c r="R10" s="37" t="s">
        <v>11</v>
      </c>
      <c r="S10" s="43" t="s">
        <v>11</v>
      </c>
      <c r="T10" s="36" t="s">
        <v>11</v>
      </c>
      <c r="U10" s="36" t="s">
        <v>11</v>
      </c>
      <c r="V10" s="36" t="s">
        <v>11</v>
      </c>
      <c r="W10" s="37" t="s">
        <v>11</v>
      </c>
      <c r="X10" s="43" t="s">
        <v>11</v>
      </c>
      <c r="Y10" s="36" t="s">
        <v>11</v>
      </c>
      <c r="Z10" s="36" t="s">
        <v>11</v>
      </c>
      <c r="AA10" s="36" t="s">
        <v>11</v>
      </c>
      <c r="AB10" s="37" t="s">
        <v>11</v>
      </c>
      <c r="AC10" s="43" t="s">
        <v>11</v>
      </c>
      <c r="AD10" s="36" t="s">
        <v>11</v>
      </c>
      <c r="AE10" s="36" t="s">
        <v>11</v>
      </c>
      <c r="AF10" s="36">
        <v>0.17899999999999999</v>
      </c>
      <c r="AG10" s="37">
        <v>0.16900000000000001</v>
      </c>
      <c r="AH10" s="43">
        <v>0.185</v>
      </c>
      <c r="AI10" s="36">
        <v>0.182</v>
      </c>
      <c r="AJ10" s="36">
        <v>0.17299999999999999</v>
      </c>
      <c r="AK10" s="36">
        <v>0.189</v>
      </c>
      <c r="AL10" s="37" t="s">
        <v>11</v>
      </c>
      <c r="AM10" s="43" t="s">
        <v>11</v>
      </c>
      <c r="AN10" s="36" t="s">
        <v>11</v>
      </c>
      <c r="AO10" s="36" t="s">
        <v>11</v>
      </c>
      <c r="AP10" s="36" t="s">
        <v>11</v>
      </c>
      <c r="AQ10" s="37" t="s">
        <v>11</v>
      </c>
      <c r="AR10" s="43" t="s">
        <v>11</v>
      </c>
      <c r="AS10" s="36" t="s">
        <v>11</v>
      </c>
      <c r="AT10" s="36" t="s">
        <v>11</v>
      </c>
      <c r="AU10" s="36" t="s">
        <v>11</v>
      </c>
      <c r="AV10" s="37" t="s">
        <v>11</v>
      </c>
      <c r="AW10" s="43" t="s">
        <v>11</v>
      </c>
      <c r="AX10" s="36" t="s">
        <v>11</v>
      </c>
      <c r="AY10" s="36" t="s">
        <v>11</v>
      </c>
      <c r="AZ10" s="36" t="s">
        <v>11</v>
      </c>
      <c r="BA10" s="37" t="s">
        <v>11</v>
      </c>
      <c r="BB10" s="43">
        <v>0.18099999999999999</v>
      </c>
      <c r="BC10" s="36">
        <v>0.17299999999999999</v>
      </c>
      <c r="BD10" s="36">
        <v>0.17699999999999999</v>
      </c>
      <c r="BE10" s="36">
        <v>0.17899999999999999</v>
      </c>
      <c r="BF10" s="37">
        <v>0.183</v>
      </c>
      <c r="BG10" s="43">
        <v>0.17899999999999999</v>
      </c>
      <c r="BH10" s="36" t="s">
        <v>11</v>
      </c>
      <c r="BI10" s="36" t="s">
        <v>11</v>
      </c>
      <c r="BJ10" s="36" t="s">
        <v>11</v>
      </c>
      <c r="BK10" s="37" t="s">
        <v>11</v>
      </c>
      <c r="BL10" s="43" t="s">
        <v>11</v>
      </c>
      <c r="BM10" s="37" t="s">
        <v>11</v>
      </c>
      <c r="BN10" s="166">
        <f t="shared" ref="BN10:BN12" si="4">IFERROR(AVERAGE(D10:BM12),0)</f>
        <v>0.17677777777777773</v>
      </c>
      <c r="BO10" s="166">
        <f t="shared" ref="BO10:BO12" si="5">MIN(D10:BM12)</f>
        <v>0.16200000000000001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65">
        <v>9.9000000000000005E-2</v>
      </c>
      <c r="B11" s="7" t="s">
        <v>18</v>
      </c>
      <c r="C11" s="11" t="s">
        <v>8</v>
      </c>
      <c r="D11" s="41" t="s">
        <v>11</v>
      </c>
      <c r="E11" s="22" t="s">
        <v>11</v>
      </c>
      <c r="F11" s="22" t="s">
        <v>11</v>
      </c>
      <c r="G11" s="22" t="s">
        <v>11</v>
      </c>
      <c r="H11" s="42" t="s">
        <v>11</v>
      </c>
      <c r="I11" s="45">
        <v>0.17100000000000001</v>
      </c>
      <c r="J11" s="22">
        <v>0.17499999999999999</v>
      </c>
      <c r="K11" s="22">
        <v>0.183</v>
      </c>
      <c r="L11" s="22">
        <v>0.183</v>
      </c>
      <c r="M11" s="42">
        <v>0.16200000000000001</v>
      </c>
      <c r="N11" s="45">
        <v>0.17399999999999999</v>
      </c>
      <c r="O11" s="22" t="s">
        <v>11</v>
      </c>
      <c r="P11" s="22" t="s">
        <v>11</v>
      </c>
      <c r="Q11" s="22" t="s">
        <v>11</v>
      </c>
      <c r="R11" s="42" t="s">
        <v>11</v>
      </c>
      <c r="S11" s="45" t="s">
        <v>11</v>
      </c>
      <c r="T11" s="22" t="s">
        <v>11</v>
      </c>
      <c r="U11" s="22" t="s">
        <v>11</v>
      </c>
      <c r="V11" s="22" t="s">
        <v>11</v>
      </c>
      <c r="W11" s="42" t="s">
        <v>11</v>
      </c>
      <c r="X11" s="45" t="s">
        <v>11</v>
      </c>
      <c r="Y11" s="22" t="s">
        <v>11</v>
      </c>
      <c r="Z11" s="22" t="s">
        <v>11</v>
      </c>
      <c r="AA11" s="22" t="s">
        <v>11</v>
      </c>
      <c r="AB11" s="42" t="s">
        <v>11</v>
      </c>
      <c r="AC11" s="45" t="s">
        <v>11</v>
      </c>
      <c r="AD11" s="22" t="s">
        <v>11</v>
      </c>
      <c r="AE11" s="22" t="s">
        <v>11</v>
      </c>
      <c r="AF11" s="22">
        <v>0.18099999999999999</v>
      </c>
      <c r="AG11" s="42">
        <v>0.17100000000000001</v>
      </c>
      <c r="AH11" s="45">
        <v>0.18</v>
      </c>
      <c r="AI11" s="22">
        <v>0.18</v>
      </c>
      <c r="AJ11" s="22">
        <v>0.16600000000000001</v>
      </c>
      <c r="AK11" s="22">
        <v>0.182</v>
      </c>
      <c r="AL11" s="42" t="s">
        <v>11</v>
      </c>
      <c r="AM11" s="45" t="s">
        <v>11</v>
      </c>
      <c r="AN11" s="22" t="s">
        <v>11</v>
      </c>
      <c r="AO11" s="22" t="s">
        <v>11</v>
      </c>
      <c r="AP11" s="22" t="s">
        <v>11</v>
      </c>
      <c r="AQ11" s="42" t="s">
        <v>11</v>
      </c>
      <c r="AR11" s="45" t="s">
        <v>11</v>
      </c>
      <c r="AS11" s="22" t="s">
        <v>11</v>
      </c>
      <c r="AT11" s="22" t="s">
        <v>11</v>
      </c>
      <c r="AU11" s="22" t="s">
        <v>11</v>
      </c>
      <c r="AV11" s="42" t="s">
        <v>11</v>
      </c>
      <c r="AW11" s="45" t="s">
        <v>11</v>
      </c>
      <c r="AX11" s="22" t="s">
        <v>11</v>
      </c>
      <c r="AY11" s="22" t="s">
        <v>11</v>
      </c>
      <c r="AZ11" s="22" t="s">
        <v>11</v>
      </c>
      <c r="BA11" s="42" t="s">
        <v>11</v>
      </c>
      <c r="BB11" s="45">
        <v>0.18099999999999999</v>
      </c>
      <c r="BC11" s="22">
        <v>0.17799999999999999</v>
      </c>
      <c r="BD11" s="22">
        <v>0.18099999999999999</v>
      </c>
      <c r="BE11" s="22">
        <v>0.16900000000000001</v>
      </c>
      <c r="BF11" s="42">
        <v>0.17599999999999999</v>
      </c>
      <c r="BG11" s="45">
        <v>0.17899999999999999</v>
      </c>
      <c r="BH11" s="22" t="s">
        <v>11</v>
      </c>
      <c r="BI11" s="22" t="s">
        <v>11</v>
      </c>
      <c r="BJ11" s="22" t="s">
        <v>11</v>
      </c>
      <c r="BK11" s="42" t="s">
        <v>11</v>
      </c>
      <c r="BL11" s="45" t="s">
        <v>11</v>
      </c>
      <c r="BM11" s="42" t="s">
        <v>11</v>
      </c>
      <c r="BN11" s="167">
        <f t="shared" si="4"/>
        <v>0.20667021276595751</v>
      </c>
      <c r="BO11" s="167">
        <f t="shared" si="5"/>
        <v>0.16200000000000001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65"/>
      <c r="B12" s="8" t="s">
        <v>13</v>
      </c>
      <c r="C12" s="12" t="s">
        <v>14</v>
      </c>
      <c r="D12" s="38" t="s">
        <v>11</v>
      </c>
      <c r="E12" s="39" t="s">
        <v>11</v>
      </c>
      <c r="F12" s="39" t="s">
        <v>11</v>
      </c>
      <c r="G12" s="39" t="s">
        <v>11</v>
      </c>
      <c r="H12" s="40" t="s">
        <v>11</v>
      </c>
      <c r="I12" s="44">
        <v>0.17699999999999999</v>
      </c>
      <c r="J12" s="39">
        <v>0.17899999999999999</v>
      </c>
      <c r="K12" s="39">
        <v>0.17199999999999999</v>
      </c>
      <c r="L12" s="39">
        <v>0.183</v>
      </c>
      <c r="M12" s="40">
        <v>0.16500000000000001</v>
      </c>
      <c r="N12" s="44">
        <v>0.17199999999999999</v>
      </c>
      <c r="O12" s="39" t="s">
        <v>11</v>
      </c>
      <c r="P12" s="39" t="s">
        <v>11</v>
      </c>
      <c r="Q12" s="39" t="s">
        <v>11</v>
      </c>
      <c r="R12" s="40" t="s">
        <v>11</v>
      </c>
      <c r="S12" s="44" t="s">
        <v>11</v>
      </c>
      <c r="T12" s="39" t="s">
        <v>11</v>
      </c>
      <c r="U12" s="39" t="s">
        <v>11</v>
      </c>
      <c r="V12" s="39" t="s">
        <v>11</v>
      </c>
      <c r="W12" s="40" t="s">
        <v>11</v>
      </c>
      <c r="X12" s="44" t="s">
        <v>11</v>
      </c>
      <c r="Y12" s="39" t="s">
        <v>11</v>
      </c>
      <c r="Z12" s="39" t="s">
        <v>11</v>
      </c>
      <c r="AA12" s="39" t="s">
        <v>11</v>
      </c>
      <c r="AB12" s="40" t="s">
        <v>11</v>
      </c>
      <c r="AC12" s="44" t="s">
        <v>11</v>
      </c>
      <c r="AD12" s="39" t="s">
        <v>11</v>
      </c>
      <c r="AE12" s="39" t="s">
        <v>11</v>
      </c>
      <c r="AF12" s="39">
        <v>0.17699999999999999</v>
      </c>
      <c r="AG12" s="40">
        <v>0.16800000000000001</v>
      </c>
      <c r="AH12" s="44">
        <v>0.16800000000000001</v>
      </c>
      <c r="AI12" s="39">
        <v>0.184</v>
      </c>
      <c r="AJ12" s="39">
        <v>0.17599999999999999</v>
      </c>
      <c r="AK12" s="39">
        <v>0.185</v>
      </c>
      <c r="AL12" s="40" t="s">
        <v>11</v>
      </c>
      <c r="AM12" s="44" t="s">
        <v>11</v>
      </c>
      <c r="AN12" s="39" t="s">
        <v>11</v>
      </c>
      <c r="AO12" s="39" t="s">
        <v>11</v>
      </c>
      <c r="AP12" s="39" t="s">
        <v>11</v>
      </c>
      <c r="AQ12" s="40" t="s">
        <v>11</v>
      </c>
      <c r="AR12" s="44" t="s">
        <v>11</v>
      </c>
      <c r="AS12" s="39" t="s">
        <v>11</v>
      </c>
      <c r="AT12" s="39" t="s">
        <v>11</v>
      </c>
      <c r="AU12" s="39" t="s">
        <v>11</v>
      </c>
      <c r="AV12" s="40" t="s">
        <v>11</v>
      </c>
      <c r="AW12" s="44" t="s">
        <v>11</v>
      </c>
      <c r="AX12" s="39" t="s">
        <v>11</v>
      </c>
      <c r="AY12" s="39" t="s">
        <v>11</v>
      </c>
      <c r="AZ12" s="39" t="s">
        <v>11</v>
      </c>
      <c r="BA12" s="40" t="s">
        <v>11</v>
      </c>
      <c r="BB12" s="44">
        <v>0.17399999999999999</v>
      </c>
      <c r="BC12" s="39">
        <v>0.17699999999999999</v>
      </c>
      <c r="BD12" s="39">
        <v>0.183</v>
      </c>
      <c r="BE12" s="39">
        <v>0.17699999999999999</v>
      </c>
      <c r="BF12" s="40">
        <v>0.18099999999999999</v>
      </c>
      <c r="BG12" s="44">
        <v>0.17799999999999999</v>
      </c>
      <c r="BH12" s="39" t="s">
        <v>11</v>
      </c>
      <c r="BI12" s="39" t="s">
        <v>11</v>
      </c>
      <c r="BJ12" s="39" t="s">
        <v>11</v>
      </c>
      <c r="BK12" s="40" t="s">
        <v>11</v>
      </c>
      <c r="BL12" s="44" t="s">
        <v>11</v>
      </c>
      <c r="BM12" s="40" t="s">
        <v>11</v>
      </c>
      <c r="BN12" s="168">
        <f t="shared" si="4"/>
        <v>0.21910370370370388</v>
      </c>
      <c r="BO12" s="168">
        <f t="shared" si="5"/>
        <v>0.16500000000000001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19</v>
      </c>
      <c r="B13" s="6"/>
      <c r="C13" s="11" t="s">
        <v>10</v>
      </c>
      <c r="D13" s="35">
        <v>0.219</v>
      </c>
      <c r="E13" s="36">
        <v>0.223</v>
      </c>
      <c r="F13" s="36">
        <v>0.219</v>
      </c>
      <c r="G13" s="36">
        <v>0.223</v>
      </c>
      <c r="H13" s="37">
        <v>0.219</v>
      </c>
      <c r="I13" s="43">
        <v>0.219</v>
      </c>
      <c r="J13" s="36">
        <v>0.222</v>
      </c>
      <c r="K13" s="36">
        <v>0.21199999999999999</v>
      </c>
      <c r="L13" s="36">
        <v>0.22700000000000001</v>
      </c>
      <c r="M13" s="37">
        <v>0.221</v>
      </c>
      <c r="N13" s="43">
        <v>0.218</v>
      </c>
      <c r="O13" s="36">
        <v>0.222</v>
      </c>
      <c r="P13" s="36">
        <v>0.222</v>
      </c>
      <c r="Q13" s="36">
        <v>0.216</v>
      </c>
      <c r="R13" s="37">
        <v>0.221</v>
      </c>
      <c r="S13" s="43">
        <v>0.22</v>
      </c>
      <c r="T13" s="36">
        <v>0.21299999999999999</v>
      </c>
      <c r="U13" s="36">
        <v>0.22700000000000001</v>
      </c>
      <c r="V13" s="36">
        <v>0.214</v>
      </c>
      <c r="W13" s="37">
        <v>0.219</v>
      </c>
      <c r="X13" s="43">
        <v>0.22500000000000001</v>
      </c>
      <c r="Y13" s="36">
        <v>0.221</v>
      </c>
      <c r="Z13" s="36">
        <v>0.223</v>
      </c>
      <c r="AA13" s="36">
        <v>0.217</v>
      </c>
      <c r="AB13" s="37">
        <v>0.218</v>
      </c>
      <c r="AC13" s="43">
        <v>0.22600000000000001</v>
      </c>
      <c r="AD13" s="36">
        <v>0.24199999999999999</v>
      </c>
      <c r="AE13" s="36">
        <v>0.224</v>
      </c>
      <c r="AF13" s="36">
        <v>0.23499999999999999</v>
      </c>
      <c r="AG13" s="37">
        <v>0.221</v>
      </c>
      <c r="AH13" s="43">
        <v>0.23499999999999999</v>
      </c>
      <c r="AI13" s="36">
        <v>0.23</v>
      </c>
      <c r="AJ13" s="36">
        <v>0.22</v>
      </c>
      <c r="AK13" s="36">
        <v>0.23599999999999999</v>
      </c>
      <c r="AL13" s="37">
        <v>0.22700000000000001</v>
      </c>
      <c r="AM13" s="43">
        <v>0.23100000000000001</v>
      </c>
      <c r="AN13" s="36">
        <v>0.24099999999999999</v>
      </c>
      <c r="AO13" s="36">
        <v>0.24099999999999999</v>
      </c>
      <c r="AP13" s="36" t="s">
        <v>20</v>
      </c>
      <c r="AQ13" s="37">
        <v>0.23</v>
      </c>
      <c r="AR13" s="43">
        <v>0.23599999999999999</v>
      </c>
      <c r="AS13" s="36">
        <v>0.224</v>
      </c>
      <c r="AT13" s="36">
        <v>0.23100000000000001</v>
      </c>
      <c r="AU13" s="36">
        <v>0.23100000000000001</v>
      </c>
      <c r="AV13" s="37">
        <v>0.23599999999999999</v>
      </c>
      <c r="AW13" s="43">
        <v>0.222</v>
      </c>
      <c r="AX13" s="36">
        <v>0.23200000000000001</v>
      </c>
      <c r="AY13" s="36">
        <v>0.23</v>
      </c>
      <c r="AZ13" s="36">
        <v>0.22900000000000001</v>
      </c>
      <c r="BA13" s="37">
        <v>0.22600000000000001</v>
      </c>
      <c r="BB13" s="43">
        <v>0.224</v>
      </c>
      <c r="BC13" s="36">
        <v>0.22500000000000001</v>
      </c>
      <c r="BD13" s="36">
        <v>0.23</v>
      </c>
      <c r="BE13" s="36" t="s">
        <v>20</v>
      </c>
      <c r="BF13" s="37">
        <v>0.23499999999999999</v>
      </c>
      <c r="BG13" s="43">
        <v>0.221</v>
      </c>
      <c r="BH13" s="36">
        <v>0.224</v>
      </c>
      <c r="BI13" s="36">
        <v>0.23599999999999999</v>
      </c>
      <c r="BJ13" s="36">
        <v>0.22600000000000001</v>
      </c>
      <c r="BK13" s="37">
        <v>0.222</v>
      </c>
      <c r="BL13" s="43" t="s">
        <v>20</v>
      </c>
      <c r="BM13" s="37" t="s">
        <v>20</v>
      </c>
      <c r="BN13" s="166">
        <f t="shared" ref="BN13:BN15" si="6">IFERROR(AVERAGE(D13:BM15),0)</f>
        <v>0.2257485714285713</v>
      </c>
      <c r="BO13" s="166">
        <f t="shared" ref="BO13:BO15" si="7">MIN(D13:BM15)</f>
        <v>0.20899999999999999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65">
        <v>8.3000000000000004E-2</v>
      </c>
      <c r="B14" s="7" t="s">
        <v>21</v>
      </c>
      <c r="C14" s="11" t="s">
        <v>8</v>
      </c>
      <c r="D14" s="41">
        <v>0.218</v>
      </c>
      <c r="E14" s="22">
        <v>0.222</v>
      </c>
      <c r="F14" s="22">
        <v>0.222</v>
      </c>
      <c r="G14" s="22">
        <v>0.222</v>
      </c>
      <c r="H14" s="42">
        <v>0.22800000000000001</v>
      </c>
      <c r="I14" s="45">
        <v>0.22600000000000001</v>
      </c>
      <c r="J14" s="22">
        <v>0.22</v>
      </c>
      <c r="K14" s="22">
        <v>0.214</v>
      </c>
      <c r="L14" s="22">
        <v>0.21299999999999999</v>
      </c>
      <c r="M14" s="42">
        <v>0.222</v>
      </c>
      <c r="N14" s="45">
        <v>0.219</v>
      </c>
      <c r="O14" s="22">
        <v>0.223</v>
      </c>
      <c r="P14" s="22">
        <v>0.22900000000000001</v>
      </c>
      <c r="Q14" s="22">
        <v>0.224</v>
      </c>
      <c r="R14" s="42">
        <v>0.215</v>
      </c>
      <c r="S14" s="45">
        <v>0.216</v>
      </c>
      <c r="T14" s="22">
        <v>0.216</v>
      </c>
      <c r="U14" s="22">
        <v>0.221</v>
      </c>
      <c r="V14" s="22">
        <v>0.224</v>
      </c>
      <c r="W14" s="42">
        <v>0.221</v>
      </c>
      <c r="X14" s="45">
        <v>0.22</v>
      </c>
      <c r="Y14" s="22">
        <v>0.22</v>
      </c>
      <c r="Z14" s="22">
        <v>0.224</v>
      </c>
      <c r="AA14" s="22">
        <v>0.219</v>
      </c>
      <c r="AB14" s="42">
        <v>0.219</v>
      </c>
      <c r="AC14" s="45">
        <v>0.23100000000000001</v>
      </c>
      <c r="AD14" s="22">
        <v>0.23</v>
      </c>
      <c r="AE14" s="22">
        <v>0.23200000000000001</v>
      </c>
      <c r="AF14" s="22">
        <v>0.224</v>
      </c>
      <c r="AG14" s="42">
        <v>0.24099999999999999</v>
      </c>
      <c r="AH14" s="45">
        <v>0.24099999999999999</v>
      </c>
      <c r="AI14" s="22">
        <v>0.23499999999999999</v>
      </c>
      <c r="AJ14" s="22">
        <v>0.22700000000000001</v>
      </c>
      <c r="AK14" s="22">
        <v>0.22700000000000001</v>
      </c>
      <c r="AL14" s="42">
        <v>0.23899999999999999</v>
      </c>
      <c r="AM14" s="45">
        <v>0.22900000000000001</v>
      </c>
      <c r="AN14" s="22">
        <v>0.224</v>
      </c>
      <c r="AO14" s="22" t="s">
        <v>20</v>
      </c>
      <c r="AP14" s="22">
        <v>0.22900000000000001</v>
      </c>
      <c r="AQ14" s="42">
        <v>0.22900000000000001</v>
      </c>
      <c r="AR14" s="45">
        <v>0.22700000000000001</v>
      </c>
      <c r="AS14" s="22">
        <v>0.23300000000000001</v>
      </c>
      <c r="AT14" s="22">
        <v>0.23799999999999999</v>
      </c>
      <c r="AU14" s="22">
        <v>0.22800000000000001</v>
      </c>
      <c r="AV14" s="42">
        <v>0.23</v>
      </c>
      <c r="AW14" s="45">
        <v>0.23100000000000001</v>
      </c>
      <c r="AX14" s="22">
        <v>0.224</v>
      </c>
      <c r="AY14" s="22">
        <v>0.224</v>
      </c>
      <c r="AZ14" s="22">
        <v>0.22700000000000001</v>
      </c>
      <c r="BA14" s="42">
        <v>0.22800000000000001</v>
      </c>
      <c r="BB14" s="45">
        <v>0.223</v>
      </c>
      <c r="BC14" s="22">
        <v>0.22900000000000001</v>
      </c>
      <c r="BD14" s="22">
        <v>0.224</v>
      </c>
      <c r="BE14" s="22" t="s">
        <v>20</v>
      </c>
      <c r="BF14" s="42">
        <v>0.223</v>
      </c>
      <c r="BG14" s="45">
        <v>0.22700000000000001</v>
      </c>
      <c r="BH14" s="22">
        <v>0.23400000000000001</v>
      </c>
      <c r="BI14" s="22">
        <v>0.22500000000000001</v>
      </c>
      <c r="BJ14" s="22">
        <v>0.22800000000000001</v>
      </c>
      <c r="BK14" s="42">
        <v>0.216</v>
      </c>
      <c r="BL14" s="45" t="s">
        <v>20</v>
      </c>
      <c r="BM14" s="42">
        <v>0.25</v>
      </c>
      <c r="BN14" s="167">
        <f t="shared" si="6"/>
        <v>0.22296089385474871</v>
      </c>
      <c r="BO14" s="167">
        <f t="shared" si="7"/>
        <v>0.20599999999999999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65"/>
      <c r="B15" s="8"/>
      <c r="C15" s="12" t="s">
        <v>14</v>
      </c>
      <c r="D15" s="38">
        <v>0.219</v>
      </c>
      <c r="E15" s="39">
        <v>0.22800000000000001</v>
      </c>
      <c r="F15" s="39">
        <v>0.21199999999999999</v>
      </c>
      <c r="G15" s="39">
        <v>0.22700000000000001</v>
      </c>
      <c r="H15" s="40">
        <v>0.221</v>
      </c>
      <c r="I15" s="44">
        <v>0.222</v>
      </c>
      <c r="J15" s="39">
        <v>0.214</v>
      </c>
      <c r="K15" s="39">
        <v>0.222</v>
      </c>
      <c r="L15" s="39">
        <v>0.214</v>
      </c>
      <c r="M15" s="40">
        <v>0.215</v>
      </c>
      <c r="N15" s="44">
        <v>0.221</v>
      </c>
      <c r="O15" s="39">
        <v>0.214</v>
      </c>
      <c r="P15" s="39">
        <v>0.22500000000000001</v>
      </c>
      <c r="Q15" s="39">
        <v>0.22600000000000001</v>
      </c>
      <c r="R15" s="40">
        <v>0.21099999999999999</v>
      </c>
      <c r="S15" s="44">
        <v>0.20899999999999999</v>
      </c>
      <c r="T15" s="39">
        <v>0.22</v>
      </c>
      <c r="U15" s="39">
        <v>0.214</v>
      </c>
      <c r="V15" s="39">
        <v>0.224</v>
      </c>
      <c r="W15" s="40">
        <v>0.22</v>
      </c>
      <c r="X15" s="44">
        <v>0.21</v>
      </c>
      <c r="Y15" s="39">
        <v>0.22500000000000001</v>
      </c>
      <c r="Z15" s="39">
        <v>0.22500000000000001</v>
      </c>
      <c r="AA15" s="39">
        <v>0.22</v>
      </c>
      <c r="AB15" s="40">
        <v>0.224</v>
      </c>
      <c r="AC15" s="44">
        <v>0.23200000000000001</v>
      </c>
      <c r="AD15" s="39">
        <v>0.24299999999999999</v>
      </c>
      <c r="AE15" s="39">
        <v>0.23899999999999999</v>
      </c>
      <c r="AF15" s="39">
        <v>0.224</v>
      </c>
      <c r="AG15" s="40">
        <v>0.23300000000000001</v>
      </c>
      <c r="AH15" s="44">
        <v>0.23</v>
      </c>
      <c r="AI15" s="39">
        <v>0.23400000000000001</v>
      </c>
      <c r="AJ15" s="39">
        <v>0.23300000000000001</v>
      </c>
      <c r="AK15" s="39">
        <v>0.23699999999999999</v>
      </c>
      <c r="AL15" s="40">
        <v>0.23799999999999999</v>
      </c>
      <c r="AM15" s="44">
        <v>0.23300000000000001</v>
      </c>
      <c r="AN15" s="39">
        <v>0.22600000000000001</v>
      </c>
      <c r="AO15" s="39" t="s">
        <v>20</v>
      </c>
      <c r="AP15" s="39">
        <v>0.224</v>
      </c>
      <c r="AQ15" s="40">
        <v>0.23</v>
      </c>
      <c r="AR15" s="44">
        <v>0.23400000000000001</v>
      </c>
      <c r="AS15" s="39">
        <v>0.23400000000000001</v>
      </c>
      <c r="AT15" s="39">
        <v>0.23300000000000001</v>
      </c>
      <c r="AU15" s="39">
        <v>0.22900000000000001</v>
      </c>
      <c r="AV15" s="40">
        <v>0.22700000000000001</v>
      </c>
      <c r="AW15" s="44">
        <v>0.22800000000000001</v>
      </c>
      <c r="AX15" s="39">
        <v>0.224</v>
      </c>
      <c r="AY15" s="39">
        <v>0.24199999999999999</v>
      </c>
      <c r="AZ15" s="39">
        <v>0.23799999999999999</v>
      </c>
      <c r="BA15" s="40">
        <v>0.22800000000000001</v>
      </c>
      <c r="BB15" s="44">
        <v>0.22600000000000001</v>
      </c>
      <c r="BC15" s="39">
        <v>0.222</v>
      </c>
      <c r="BD15" s="39" t="s">
        <v>20</v>
      </c>
      <c r="BE15" s="39">
        <v>0.22700000000000001</v>
      </c>
      <c r="BF15" s="40">
        <v>0.22500000000000001</v>
      </c>
      <c r="BG15" s="44">
        <v>0.23</v>
      </c>
      <c r="BH15" s="39">
        <v>0.22500000000000001</v>
      </c>
      <c r="BI15" s="39">
        <v>0.24199999999999999</v>
      </c>
      <c r="BJ15" s="39">
        <v>0.23100000000000001</v>
      </c>
      <c r="BK15" s="40" t="s">
        <v>20</v>
      </c>
      <c r="BL15" s="44">
        <v>0.22</v>
      </c>
      <c r="BM15" s="40" t="s">
        <v>20</v>
      </c>
      <c r="BN15" s="168">
        <f t="shared" si="6"/>
        <v>0.2202692307692308</v>
      </c>
      <c r="BO15" s="168">
        <f t="shared" si="7"/>
        <v>0.20599999999999999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19</v>
      </c>
      <c r="B16" s="6"/>
      <c r="C16" s="11" t="s">
        <v>10</v>
      </c>
      <c r="D16" s="35">
        <v>0.224</v>
      </c>
      <c r="E16" s="36">
        <v>0.21299999999999999</v>
      </c>
      <c r="F16" s="36">
        <v>0.219</v>
      </c>
      <c r="G16" s="36">
        <v>0.21099999999999999</v>
      </c>
      <c r="H16" s="37">
        <v>0.20699999999999999</v>
      </c>
      <c r="I16" s="43">
        <v>0.21099999999999999</v>
      </c>
      <c r="J16" s="36">
        <v>0.21299999999999999</v>
      </c>
      <c r="K16" s="36">
        <v>0.215</v>
      </c>
      <c r="L16" s="36">
        <v>0.215</v>
      </c>
      <c r="M16" s="37">
        <v>0.21199999999999999</v>
      </c>
      <c r="N16" s="43">
        <v>0.21</v>
      </c>
      <c r="O16" s="36">
        <v>0.216</v>
      </c>
      <c r="P16" s="36">
        <v>0.219</v>
      </c>
      <c r="Q16" s="36">
        <v>0.22600000000000001</v>
      </c>
      <c r="R16" s="37">
        <v>0.221</v>
      </c>
      <c r="S16" s="43">
        <v>0.216</v>
      </c>
      <c r="T16" s="36">
        <v>0.22</v>
      </c>
      <c r="U16" s="36">
        <v>0.218</v>
      </c>
      <c r="V16" s="36">
        <v>0.23</v>
      </c>
      <c r="W16" s="37">
        <v>0.20899999999999999</v>
      </c>
      <c r="X16" s="43">
        <v>0.221</v>
      </c>
      <c r="Y16" s="36">
        <v>0.22600000000000001</v>
      </c>
      <c r="Z16" s="36">
        <v>0.214</v>
      </c>
      <c r="AA16" s="36">
        <v>0.217</v>
      </c>
      <c r="AB16" s="37">
        <v>0.219</v>
      </c>
      <c r="AC16" s="43">
        <v>0.22</v>
      </c>
      <c r="AD16" s="36">
        <v>0.22800000000000001</v>
      </c>
      <c r="AE16" s="36">
        <v>0.22</v>
      </c>
      <c r="AF16" s="36">
        <v>0.214</v>
      </c>
      <c r="AG16" s="37">
        <v>0.224</v>
      </c>
      <c r="AH16" s="43">
        <v>0.22600000000000001</v>
      </c>
      <c r="AI16" s="36">
        <v>0.221</v>
      </c>
      <c r="AJ16" s="36">
        <v>0.223</v>
      </c>
      <c r="AK16" s="36">
        <v>0.224</v>
      </c>
      <c r="AL16" s="37">
        <v>0.222</v>
      </c>
      <c r="AM16" s="43">
        <v>0.22600000000000001</v>
      </c>
      <c r="AN16" s="36">
        <v>0.22</v>
      </c>
      <c r="AO16" s="36">
        <v>0.219</v>
      </c>
      <c r="AP16" s="36">
        <v>0.221</v>
      </c>
      <c r="AQ16" s="37">
        <v>0.21299999999999999</v>
      </c>
      <c r="AR16" s="43">
        <v>0.216</v>
      </c>
      <c r="AS16" s="36">
        <v>0.22</v>
      </c>
      <c r="AT16" s="36">
        <v>0.21</v>
      </c>
      <c r="AU16" s="36">
        <v>0.21199999999999999</v>
      </c>
      <c r="AV16" s="37">
        <v>0.218</v>
      </c>
      <c r="AW16" s="43">
        <v>0.215</v>
      </c>
      <c r="AX16" s="36">
        <v>0.21299999999999999</v>
      </c>
      <c r="AY16" s="36">
        <v>0.216</v>
      </c>
      <c r="AZ16" s="36">
        <v>0.21299999999999999</v>
      </c>
      <c r="BA16" s="37">
        <v>0.217</v>
      </c>
      <c r="BB16" s="43">
        <v>0.222</v>
      </c>
      <c r="BC16" s="36">
        <v>0.22500000000000001</v>
      </c>
      <c r="BD16" s="36">
        <v>0.216</v>
      </c>
      <c r="BE16" s="36">
        <v>0.216</v>
      </c>
      <c r="BF16" s="37">
        <v>0.217</v>
      </c>
      <c r="BG16" s="43">
        <v>0.20799999999999999</v>
      </c>
      <c r="BH16" s="36">
        <v>0.222</v>
      </c>
      <c r="BI16" s="36">
        <v>0.20599999999999999</v>
      </c>
      <c r="BJ16" s="36">
        <v>0.20899999999999999</v>
      </c>
      <c r="BK16" s="37">
        <v>0.21299999999999999</v>
      </c>
      <c r="BL16" s="43">
        <v>0.216</v>
      </c>
      <c r="BM16" s="37">
        <v>0.22</v>
      </c>
      <c r="BN16" s="166">
        <f t="shared" ref="BN16:BN18" si="8">IFERROR(AVERAGE(D16:BM18),0)</f>
        <v>0.21784946236559133</v>
      </c>
      <c r="BO16" s="166">
        <f t="shared" ref="BO16:BO18" si="9">MIN(D16:BM18)</f>
        <v>0.20599999999999999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65">
        <v>8.3000000000000004E-2</v>
      </c>
      <c r="B17" s="7" t="s">
        <v>22</v>
      </c>
      <c r="C17" s="11" t="s">
        <v>8</v>
      </c>
      <c r="D17" s="41">
        <v>0.221</v>
      </c>
      <c r="E17" s="22">
        <v>0.215</v>
      </c>
      <c r="F17" s="22">
        <v>0.216</v>
      </c>
      <c r="G17" s="22">
        <v>0.216</v>
      </c>
      <c r="H17" s="42">
        <v>0.217</v>
      </c>
      <c r="I17" s="45">
        <v>0.217</v>
      </c>
      <c r="J17" s="22">
        <v>0.214</v>
      </c>
      <c r="K17" s="22">
        <v>0.216</v>
      </c>
      <c r="L17" s="22">
        <v>0.215</v>
      </c>
      <c r="M17" s="42">
        <v>0.21199999999999999</v>
      </c>
      <c r="N17" s="45">
        <v>0.20599999999999999</v>
      </c>
      <c r="O17" s="22">
        <v>0.21199999999999999</v>
      </c>
      <c r="P17" s="22">
        <v>0.22500000000000001</v>
      </c>
      <c r="Q17" s="22">
        <v>0.22</v>
      </c>
      <c r="R17" s="42">
        <v>0.215</v>
      </c>
      <c r="S17" s="45">
        <v>0.21199999999999999</v>
      </c>
      <c r="T17" s="22">
        <v>0.216</v>
      </c>
      <c r="U17" s="22">
        <v>0.219</v>
      </c>
      <c r="V17" s="22">
        <v>0.221</v>
      </c>
      <c r="W17" s="42">
        <v>0.20799999999999999</v>
      </c>
      <c r="X17" s="45">
        <v>0.22</v>
      </c>
      <c r="Y17" s="22">
        <v>0.21199999999999999</v>
      </c>
      <c r="Z17" s="22">
        <v>0.217</v>
      </c>
      <c r="AA17" s="22">
        <v>0.22</v>
      </c>
      <c r="AB17" s="42">
        <v>0.219</v>
      </c>
      <c r="AC17" s="45">
        <v>0.22</v>
      </c>
      <c r="AD17" s="22">
        <v>0.23</v>
      </c>
      <c r="AE17" s="22">
        <v>0.22600000000000001</v>
      </c>
      <c r="AF17" s="22">
        <v>0.21099999999999999</v>
      </c>
      <c r="AG17" s="42">
        <v>0.219</v>
      </c>
      <c r="AH17" s="45">
        <v>0.218</v>
      </c>
      <c r="AI17" s="22">
        <v>0.22500000000000001</v>
      </c>
      <c r="AJ17" s="22">
        <v>0.221</v>
      </c>
      <c r="AK17" s="22">
        <v>0.22</v>
      </c>
      <c r="AL17" s="42">
        <v>0.22500000000000001</v>
      </c>
      <c r="AM17" s="45">
        <v>0.23</v>
      </c>
      <c r="AN17" s="22">
        <v>0.216</v>
      </c>
      <c r="AO17" s="22">
        <v>0.215</v>
      </c>
      <c r="AP17" s="22">
        <v>0.219</v>
      </c>
      <c r="AQ17" s="42">
        <v>0.218</v>
      </c>
      <c r="AR17" s="45">
        <v>0.222</v>
      </c>
      <c r="AS17" s="22">
        <v>0.217</v>
      </c>
      <c r="AT17" s="22">
        <v>0.217</v>
      </c>
      <c r="AU17" s="22">
        <v>0.214</v>
      </c>
      <c r="AV17" s="42">
        <v>0.221</v>
      </c>
      <c r="AW17" s="45">
        <v>0.219</v>
      </c>
      <c r="AX17" s="22">
        <v>0.218</v>
      </c>
      <c r="AY17" s="22">
        <v>0.215</v>
      </c>
      <c r="AZ17" s="22">
        <v>0.21</v>
      </c>
      <c r="BA17" s="42">
        <v>0.22</v>
      </c>
      <c r="BB17" s="45">
        <v>0.222</v>
      </c>
      <c r="BC17" s="22">
        <v>0.224</v>
      </c>
      <c r="BD17" s="22">
        <v>0.218</v>
      </c>
      <c r="BE17" s="22">
        <v>0.223</v>
      </c>
      <c r="BF17" s="42">
        <v>0.222</v>
      </c>
      <c r="BG17" s="45">
        <v>0.21099999999999999</v>
      </c>
      <c r="BH17" s="22">
        <v>0.21099999999999999</v>
      </c>
      <c r="BI17" s="22">
        <v>0.20699999999999999</v>
      </c>
      <c r="BJ17" s="22">
        <v>0.218</v>
      </c>
      <c r="BK17" s="42">
        <v>0.21299999999999999</v>
      </c>
      <c r="BL17" s="45">
        <v>0.22600000000000001</v>
      </c>
      <c r="BM17" s="42">
        <v>0.221</v>
      </c>
      <c r="BN17" s="167">
        <f t="shared" si="8"/>
        <v>0.21676344086021532</v>
      </c>
      <c r="BO17" s="167">
        <f t="shared" si="9"/>
        <v>0.20100000000000001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65"/>
      <c r="B18" s="8"/>
      <c r="C18" s="12" t="s">
        <v>14</v>
      </c>
      <c r="D18" s="38">
        <v>0.21199999999999999</v>
      </c>
      <c r="E18" s="39">
        <v>0.221</v>
      </c>
      <c r="F18" s="39">
        <v>0.217</v>
      </c>
      <c r="G18" s="39">
        <v>0.20899999999999999</v>
      </c>
      <c r="H18" s="40">
        <v>0.214</v>
      </c>
      <c r="I18" s="44">
        <v>0.20799999999999999</v>
      </c>
      <c r="J18" s="39">
        <v>0.21099999999999999</v>
      </c>
      <c r="K18" s="39">
        <v>0.20899999999999999</v>
      </c>
      <c r="L18" s="39">
        <v>0.215</v>
      </c>
      <c r="M18" s="40">
        <v>0.215</v>
      </c>
      <c r="N18" s="44">
        <v>0.21099999999999999</v>
      </c>
      <c r="O18" s="39">
        <v>0.20799999999999999</v>
      </c>
      <c r="P18" s="39">
        <v>0.217</v>
      </c>
      <c r="Q18" s="39">
        <v>0.218</v>
      </c>
      <c r="R18" s="40">
        <v>0.215</v>
      </c>
      <c r="S18" s="44">
        <v>0.214</v>
      </c>
      <c r="T18" s="39">
        <v>0.216</v>
      </c>
      <c r="U18" s="39">
        <v>0.222</v>
      </c>
      <c r="V18" s="39">
        <v>0.217</v>
      </c>
      <c r="W18" s="40">
        <v>0.21299999999999999</v>
      </c>
      <c r="X18" s="44">
        <v>0.22</v>
      </c>
      <c r="Y18" s="39">
        <v>0.217</v>
      </c>
      <c r="Z18" s="39">
        <v>0.21199999999999999</v>
      </c>
      <c r="AA18" s="39">
        <v>0.223</v>
      </c>
      <c r="AB18" s="40">
        <v>0.22600000000000001</v>
      </c>
      <c r="AC18" s="44">
        <v>0.223</v>
      </c>
      <c r="AD18" s="39">
        <v>0.222</v>
      </c>
      <c r="AE18" s="39">
        <v>0.22900000000000001</v>
      </c>
      <c r="AF18" s="39">
        <v>0.218</v>
      </c>
      <c r="AG18" s="40">
        <v>0.22</v>
      </c>
      <c r="AH18" s="44">
        <v>0.223</v>
      </c>
      <c r="AI18" s="39">
        <v>0.221</v>
      </c>
      <c r="AJ18" s="39">
        <v>0.222</v>
      </c>
      <c r="AK18" s="39">
        <v>0.215</v>
      </c>
      <c r="AL18" s="40">
        <v>0.215</v>
      </c>
      <c r="AM18" s="44">
        <v>0.215</v>
      </c>
      <c r="AN18" s="39">
        <v>0.22</v>
      </c>
      <c r="AO18" s="39">
        <v>0.221</v>
      </c>
      <c r="AP18" s="39">
        <v>0.21299999999999999</v>
      </c>
      <c r="AQ18" s="40">
        <v>0.222</v>
      </c>
      <c r="AR18" s="44">
        <v>0.221</v>
      </c>
      <c r="AS18" s="39">
        <v>0.224</v>
      </c>
      <c r="AT18" s="39">
        <v>0.218</v>
      </c>
      <c r="AU18" s="39">
        <v>0.224</v>
      </c>
      <c r="AV18" s="40">
        <v>0.22800000000000001</v>
      </c>
      <c r="AW18" s="44">
        <v>0.218</v>
      </c>
      <c r="AX18" s="39">
        <v>0.218</v>
      </c>
      <c r="AY18" s="39">
        <v>0.222</v>
      </c>
      <c r="AZ18" s="39">
        <v>0.214</v>
      </c>
      <c r="BA18" s="40">
        <v>0.223</v>
      </c>
      <c r="BB18" s="44">
        <v>0.22</v>
      </c>
      <c r="BC18" s="39">
        <v>0.219</v>
      </c>
      <c r="BD18" s="39">
        <v>0.218</v>
      </c>
      <c r="BE18" s="39">
        <v>0.218</v>
      </c>
      <c r="BF18" s="40">
        <v>0.221</v>
      </c>
      <c r="BG18" s="44">
        <v>0.221</v>
      </c>
      <c r="BH18" s="39">
        <v>0.22500000000000001</v>
      </c>
      <c r="BI18" s="39">
        <v>0.216</v>
      </c>
      <c r="BJ18" s="39">
        <v>0.223</v>
      </c>
      <c r="BK18" s="40">
        <v>0.221</v>
      </c>
      <c r="BL18" s="44">
        <v>0.22500000000000001</v>
      </c>
      <c r="BM18" s="40">
        <v>0.218</v>
      </c>
      <c r="BN18" s="168">
        <f t="shared" si="8"/>
        <v>0.21524193548387113</v>
      </c>
      <c r="BO18" s="168">
        <f t="shared" si="9"/>
        <v>0.193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19</v>
      </c>
      <c r="B19" s="6"/>
      <c r="C19" s="11" t="s">
        <v>10</v>
      </c>
      <c r="D19" s="35">
        <v>0.219</v>
      </c>
      <c r="E19" s="36">
        <v>0.22</v>
      </c>
      <c r="F19" s="36">
        <v>0.21299999999999999</v>
      </c>
      <c r="G19" s="36">
        <v>0.22</v>
      </c>
      <c r="H19" s="37">
        <v>0.219</v>
      </c>
      <c r="I19" s="43">
        <v>0.214</v>
      </c>
      <c r="J19" s="36">
        <v>0.20499999999999999</v>
      </c>
      <c r="K19" s="36">
        <v>0.216</v>
      </c>
      <c r="L19" s="36">
        <v>0.20399999999999999</v>
      </c>
      <c r="M19" s="37">
        <v>0.218</v>
      </c>
      <c r="N19" s="43">
        <v>0.216</v>
      </c>
      <c r="O19" s="36">
        <v>0.217</v>
      </c>
      <c r="P19" s="36">
        <v>0.215</v>
      </c>
      <c r="Q19" s="36">
        <v>0.21199999999999999</v>
      </c>
      <c r="R19" s="37">
        <v>0.216</v>
      </c>
      <c r="S19" s="43">
        <v>0.21199999999999999</v>
      </c>
      <c r="T19" s="36">
        <v>0.215</v>
      </c>
      <c r="U19" s="36">
        <v>0.219</v>
      </c>
      <c r="V19" s="36">
        <v>0.214</v>
      </c>
      <c r="W19" s="37">
        <v>0.218</v>
      </c>
      <c r="X19" s="43">
        <v>0.219</v>
      </c>
      <c r="Y19" s="36">
        <v>0.21199999999999999</v>
      </c>
      <c r="Z19" s="36">
        <v>0.216</v>
      </c>
      <c r="AA19" s="36">
        <v>0.22</v>
      </c>
      <c r="AB19" s="37">
        <v>0.219</v>
      </c>
      <c r="AC19" s="43">
        <v>0.219</v>
      </c>
      <c r="AD19" s="36">
        <v>0.219</v>
      </c>
      <c r="AE19" s="36">
        <v>0.22</v>
      </c>
      <c r="AF19" s="36">
        <v>0.21199999999999999</v>
      </c>
      <c r="AG19" s="37">
        <v>0.223</v>
      </c>
      <c r="AH19" s="43">
        <v>0.219</v>
      </c>
      <c r="AI19" s="36">
        <v>0.22</v>
      </c>
      <c r="AJ19" s="36">
        <v>0.218</v>
      </c>
      <c r="AK19" s="36">
        <v>0.219</v>
      </c>
      <c r="AL19" s="37">
        <v>0.219</v>
      </c>
      <c r="AM19" s="43">
        <v>0.216</v>
      </c>
      <c r="AN19" s="36">
        <v>0.21199999999999999</v>
      </c>
      <c r="AO19" s="36">
        <v>0.21099999999999999</v>
      </c>
      <c r="AP19" s="36">
        <v>0.21299999999999999</v>
      </c>
      <c r="AQ19" s="37">
        <v>0.21</v>
      </c>
      <c r="AR19" s="43">
        <v>0.21199999999999999</v>
      </c>
      <c r="AS19" s="36">
        <v>0.20699999999999999</v>
      </c>
      <c r="AT19" s="36">
        <v>0.20100000000000001</v>
      </c>
      <c r="AU19" s="36">
        <v>0.20399999999999999</v>
      </c>
      <c r="AV19" s="37">
        <v>0.20799999999999999</v>
      </c>
      <c r="AW19" s="43">
        <v>0.223</v>
      </c>
      <c r="AX19" s="36">
        <v>0.215</v>
      </c>
      <c r="AY19" s="36">
        <v>0.218</v>
      </c>
      <c r="AZ19" s="36">
        <v>0.216</v>
      </c>
      <c r="BA19" s="37">
        <v>0.21199999999999999</v>
      </c>
      <c r="BB19" s="43">
        <v>0.21299999999999999</v>
      </c>
      <c r="BC19" s="36">
        <v>0.216</v>
      </c>
      <c r="BD19" s="36">
        <v>0.215</v>
      </c>
      <c r="BE19" s="36">
        <v>0.20499999999999999</v>
      </c>
      <c r="BF19" s="37">
        <v>0.20699999999999999</v>
      </c>
      <c r="BG19" s="43">
        <v>0.20799999999999999</v>
      </c>
      <c r="BH19" s="36">
        <v>0.21</v>
      </c>
      <c r="BI19" s="36">
        <v>0.21199999999999999</v>
      </c>
      <c r="BJ19" s="36">
        <v>0.21</v>
      </c>
      <c r="BK19" s="37">
        <v>0.216</v>
      </c>
      <c r="BL19" s="43">
        <v>0.20300000000000001</v>
      </c>
      <c r="BM19" s="37">
        <v>0.21199999999999999</v>
      </c>
      <c r="BN19" s="166">
        <f t="shared" ref="BN19:BN21" si="10">IFERROR(AVERAGE(D19:BM21),0)</f>
        <v>0.21445161290322584</v>
      </c>
      <c r="BO19" s="166">
        <f t="shared" ref="BO19:BO21" si="11">MIN(D19:BM21)</f>
        <v>0.193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65">
        <v>8.3000000000000004E-2</v>
      </c>
      <c r="B20" s="7" t="s">
        <v>23</v>
      </c>
      <c r="C20" s="11" t="s">
        <v>8</v>
      </c>
      <c r="D20" s="41">
        <v>0.224</v>
      </c>
      <c r="E20" s="22">
        <v>0.21299999999999999</v>
      </c>
      <c r="F20" s="22">
        <v>0.20799999999999999</v>
      </c>
      <c r="G20" s="22">
        <v>0.215</v>
      </c>
      <c r="H20" s="42">
        <v>0.214</v>
      </c>
      <c r="I20" s="45">
        <v>0.20699999999999999</v>
      </c>
      <c r="J20" s="22">
        <v>0.21199999999999999</v>
      </c>
      <c r="K20" s="22">
        <v>0.193</v>
      </c>
      <c r="L20" s="22">
        <v>0.20399999999999999</v>
      </c>
      <c r="M20" s="42">
        <v>0.20899999999999999</v>
      </c>
      <c r="N20" s="45">
        <v>0.21</v>
      </c>
      <c r="O20" s="22">
        <v>0.20100000000000001</v>
      </c>
      <c r="P20" s="22">
        <v>0.20599999999999999</v>
      </c>
      <c r="Q20" s="22">
        <v>0.20799999999999999</v>
      </c>
      <c r="R20" s="42">
        <v>0.218</v>
      </c>
      <c r="S20" s="45">
        <v>0.217</v>
      </c>
      <c r="T20" s="22">
        <v>0.20499999999999999</v>
      </c>
      <c r="U20" s="22">
        <v>0.22</v>
      </c>
      <c r="V20" s="22">
        <v>0.21</v>
      </c>
      <c r="W20" s="42">
        <v>0.21</v>
      </c>
      <c r="X20" s="45">
        <v>0.221</v>
      </c>
      <c r="Y20" s="22">
        <v>0.219</v>
      </c>
      <c r="Z20" s="22">
        <v>0.216</v>
      </c>
      <c r="AA20" s="22">
        <v>0.223</v>
      </c>
      <c r="AB20" s="42">
        <v>0.214</v>
      </c>
      <c r="AC20" s="45">
        <v>0.216</v>
      </c>
      <c r="AD20" s="22">
        <v>0.219</v>
      </c>
      <c r="AE20" s="22">
        <v>0.217</v>
      </c>
      <c r="AF20" s="22">
        <v>0.217</v>
      </c>
      <c r="AG20" s="42">
        <v>0.221</v>
      </c>
      <c r="AH20" s="45">
        <v>0.216</v>
      </c>
      <c r="AI20" s="22">
        <v>0.222</v>
      </c>
      <c r="AJ20" s="22">
        <v>0.222</v>
      </c>
      <c r="AK20" s="22">
        <v>0.223</v>
      </c>
      <c r="AL20" s="42">
        <v>0.22</v>
      </c>
      <c r="AM20" s="45">
        <v>0.214</v>
      </c>
      <c r="AN20" s="22">
        <v>0.218</v>
      </c>
      <c r="AO20" s="22">
        <v>0.215</v>
      </c>
      <c r="AP20" s="22">
        <v>0.20499999999999999</v>
      </c>
      <c r="AQ20" s="42">
        <v>0.20100000000000001</v>
      </c>
      <c r="AR20" s="45">
        <v>0.21</v>
      </c>
      <c r="AS20" s="22">
        <v>0.20799999999999999</v>
      </c>
      <c r="AT20" s="22">
        <v>0.20699999999999999</v>
      </c>
      <c r="AU20" s="22">
        <v>0.22</v>
      </c>
      <c r="AV20" s="42">
        <v>0.20799999999999999</v>
      </c>
      <c r="AW20" s="45">
        <v>0.214</v>
      </c>
      <c r="AX20" s="22">
        <v>0.22</v>
      </c>
      <c r="AY20" s="22">
        <v>0.21199999999999999</v>
      </c>
      <c r="AZ20" s="22">
        <v>0.215</v>
      </c>
      <c r="BA20" s="42">
        <v>0.215</v>
      </c>
      <c r="BB20" s="45">
        <v>0.21199999999999999</v>
      </c>
      <c r="BC20" s="22">
        <v>0.216</v>
      </c>
      <c r="BD20" s="22">
        <v>0.21299999999999999</v>
      </c>
      <c r="BE20" s="22">
        <v>0.215</v>
      </c>
      <c r="BF20" s="42">
        <v>0.20599999999999999</v>
      </c>
      <c r="BG20" s="45">
        <v>0.20399999999999999</v>
      </c>
      <c r="BH20" s="22">
        <v>0.217</v>
      </c>
      <c r="BI20" s="22">
        <v>0.21199999999999999</v>
      </c>
      <c r="BJ20" s="22">
        <v>0.21199999999999999</v>
      </c>
      <c r="BK20" s="42">
        <v>0.21299999999999999</v>
      </c>
      <c r="BL20" s="45">
        <v>0.21199999999999999</v>
      </c>
      <c r="BM20" s="42">
        <v>0.216</v>
      </c>
      <c r="BN20" s="167">
        <f t="shared" si="10"/>
        <v>0.21353225806451634</v>
      </c>
      <c r="BO20" s="167">
        <f t="shared" si="11"/>
        <v>0.188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65"/>
      <c r="B21" s="8"/>
      <c r="C21" s="12" t="s">
        <v>14</v>
      </c>
      <c r="D21" s="38">
        <v>0.22800000000000001</v>
      </c>
      <c r="E21" s="39">
        <v>0.223</v>
      </c>
      <c r="F21" s="39">
        <v>0.215</v>
      </c>
      <c r="G21" s="39">
        <v>0.214</v>
      </c>
      <c r="H21" s="40">
        <v>0.214</v>
      </c>
      <c r="I21" s="44">
        <v>0.20899999999999999</v>
      </c>
      <c r="J21" s="39">
        <v>0.215</v>
      </c>
      <c r="K21" s="39">
        <v>0.20899999999999999</v>
      </c>
      <c r="L21" s="39">
        <v>0.21099999999999999</v>
      </c>
      <c r="M21" s="40">
        <v>0.219</v>
      </c>
      <c r="N21" s="44">
        <v>0.21</v>
      </c>
      <c r="O21" s="39">
        <v>0.20799999999999999</v>
      </c>
      <c r="P21" s="39">
        <v>0.214</v>
      </c>
      <c r="Q21" s="39">
        <v>0.215</v>
      </c>
      <c r="R21" s="40">
        <v>0.222</v>
      </c>
      <c r="S21" s="44">
        <v>0.221</v>
      </c>
      <c r="T21" s="39">
        <v>0.216</v>
      </c>
      <c r="U21" s="39">
        <v>0.21299999999999999</v>
      </c>
      <c r="V21" s="39">
        <v>0.218</v>
      </c>
      <c r="W21" s="40">
        <v>0.22600000000000001</v>
      </c>
      <c r="X21" s="44">
        <v>0.23100000000000001</v>
      </c>
      <c r="Y21" s="39">
        <v>0.216</v>
      </c>
      <c r="Z21" s="39">
        <v>0.219</v>
      </c>
      <c r="AA21" s="39">
        <v>0.22</v>
      </c>
      <c r="AB21" s="40">
        <v>0.21199999999999999</v>
      </c>
      <c r="AC21" s="44">
        <v>0.219</v>
      </c>
      <c r="AD21" s="39">
        <v>0.22600000000000001</v>
      </c>
      <c r="AE21" s="39">
        <v>0.216</v>
      </c>
      <c r="AF21" s="39">
        <v>0.224</v>
      </c>
      <c r="AG21" s="40">
        <v>0.219</v>
      </c>
      <c r="AH21" s="44">
        <v>0.22500000000000001</v>
      </c>
      <c r="AI21" s="39">
        <v>0.223</v>
      </c>
      <c r="AJ21" s="39">
        <v>0.221</v>
      </c>
      <c r="AK21" s="39">
        <v>0.217</v>
      </c>
      <c r="AL21" s="40">
        <v>0.224</v>
      </c>
      <c r="AM21" s="44">
        <v>0.21099999999999999</v>
      </c>
      <c r="AN21" s="39">
        <v>0.215</v>
      </c>
      <c r="AO21" s="39">
        <v>0.20699999999999999</v>
      </c>
      <c r="AP21" s="39">
        <v>0.21</v>
      </c>
      <c r="AQ21" s="40">
        <v>0.20399999999999999</v>
      </c>
      <c r="AR21" s="44">
        <v>0.21</v>
      </c>
      <c r="AS21" s="39">
        <v>0.219</v>
      </c>
      <c r="AT21" s="39">
        <v>0.20699999999999999</v>
      </c>
      <c r="AU21" s="39">
        <v>0.21</v>
      </c>
      <c r="AV21" s="40">
        <v>0.224</v>
      </c>
      <c r="AW21" s="44">
        <v>0.21299999999999999</v>
      </c>
      <c r="AX21" s="39">
        <v>0.21199999999999999</v>
      </c>
      <c r="AY21" s="39">
        <v>0.215</v>
      </c>
      <c r="AZ21" s="39">
        <v>0.217</v>
      </c>
      <c r="BA21" s="40">
        <v>0.214</v>
      </c>
      <c r="BB21" s="44">
        <v>0.21299999999999999</v>
      </c>
      <c r="BC21" s="39">
        <v>0.215</v>
      </c>
      <c r="BD21" s="39">
        <v>0.21199999999999999</v>
      </c>
      <c r="BE21" s="39">
        <v>0.20399999999999999</v>
      </c>
      <c r="BF21" s="40">
        <v>0.21099999999999999</v>
      </c>
      <c r="BG21" s="44">
        <v>0.20899999999999999</v>
      </c>
      <c r="BH21" s="39">
        <v>0.217</v>
      </c>
      <c r="BI21" s="39">
        <v>0.222</v>
      </c>
      <c r="BJ21" s="39">
        <v>0.222</v>
      </c>
      <c r="BK21" s="40">
        <v>0.221</v>
      </c>
      <c r="BL21" s="44">
        <v>0.20899999999999999</v>
      </c>
      <c r="BM21" s="40">
        <v>0.21199999999999999</v>
      </c>
      <c r="BN21" s="168">
        <f t="shared" si="10"/>
        <v>0.21304838709677423</v>
      </c>
      <c r="BO21" s="168">
        <f t="shared" si="11"/>
        <v>0.188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19</v>
      </c>
      <c r="B22" s="6"/>
      <c r="C22" s="11" t="s">
        <v>10</v>
      </c>
      <c r="D22" s="35">
        <v>0.21199999999999999</v>
      </c>
      <c r="E22" s="36">
        <v>0.22900000000000001</v>
      </c>
      <c r="F22" s="36">
        <v>0.222</v>
      </c>
      <c r="G22" s="36">
        <v>0.222</v>
      </c>
      <c r="H22" s="37">
        <v>0.218</v>
      </c>
      <c r="I22" s="43">
        <v>0.20799999999999999</v>
      </c>
      <c r="J22" s="36">
        <v>0.218</v>
      </c>
      <c r="K22" s="36">
        <v>0.193</v>
      </c>
      <c r="L22" s="36">
        <v>0.20799999999999999</v>
      </c>
      <c r="M22" s="37">
        <v>0.19600000000000001</v>
      </c>
      <c r="N22" s="43">
        <v>0.20499999999999999</v>
      </c>
      <c r="O22" s="36">
        <v>0.188</v>
      </c>
      <c r="P22" s="36">
        <v>0.20200000000000001</v>
      </c>
      <c r="Q22" s="36">
        <v>0.20799999999999999</v>
      </c>
      <c r="R22" s="37">
        <v>0.19400000000000001</v>
      </c>
      <c r="S22" s="43">
        <v>0.20799999999999999</v>
      </c>
      <c r="T22" s="36">
        <v>0.193</v>
      </c>
      <c r="U22" s="36">
        <v>0.21299999999999999</v>
      </c>
      <c r="V22" s="36">
        <v>0.20899999999999999</v>
      </c>
      <c r="W22" s="37">
        <v>0.216</v>
      </c>
      <c r="X22" s="43">
        <v>0.214</v>
      </c>
      <c r="Y22" s="36">
        <v>0.216</v>
      </c>
      <c r="Z22" s="36">
        <v>0.22</v>
      </c>
      <c r="AA22" s="36">
        <v>0.217</v>
      </c>
      <c r="AB22" s="37">
        <v>0.217</v>
      </c>
      <c r="AC22" s="43">
        <v>0.215</v>
      </c>
      <c r="AD22" s="36">
        <v>0.219</v>
      </c>
      <c r="AE22" s="36">
        <v>0.21199999999999999</v>
      </c>
      <c r="AF22" s="36">
        <v>0.221</v>
      </c>
      <c r="AG22" s="37">
        <v>0.20899999999999999</v>
      </c>
      <c r="AH22" s="43">
        <v>0.221</v>
      </c>
      <c r="AI22" s="36">
        <v>0.221</v>
      </c>
      <c r="AJ22" s="36">
        <v>0.215</v>
      </c>
      <c r="AK22" s="36">
        <v>0.217</v>
      </c>
      <c r="AL22" s="37">
        <v>0.218</v>
      </c>
      <c r="AM22" s="43">
        <v>0.215</v>
      </c>
      <c r="AN22" s="36">
        <v>0.21099999999999999</v>
      </c>
      <c r="AO22" s="36">
        <v>0.21299999999999999</v>
      </c>
      <c r="AP22" s="36">
        <v>0.219</v>
      </c>
      <c r="AQ22" s="37">
        <v>0.20200000000000001</v>
      </c>
      <c r="AR22" s="43">
        <v>0.21099999999999999</v>
      </c>
      <c r="AS22" s="36">
        <v>0.19800000000000001</v>
      </c>
      <c r="AT22" s="36">
        <v>0.20699999999999999</v>
      </c>
      <c r="AU22" s="36">
        <v>0.21199999999999999</v>
      </c>
      <c r="AV22" s="37">
        <v>0.20899999999999999</v>
      </c>
      <c r="AW22" s="43">
        <v>0.217</v>
      </c>
      <c r="AX22" s="36">
        <v>0.20899999999999999</v>
      </c>
      <c r="AY22" s="36">
        <v>0.215</v>
      </c>
      <c r="AZ22" s="36">
        <v>0.20499999999999999</v>
      </c>
      <c r="BA22" s="37">
        <v>0.21299999999999999</v>
      </c>
      <c r="BB22" s="43">
        <v>0.20300000000000001</v>
      </c>
      <c r="BC22" s="36">
        <v>0.20599999999999999</v>
      </c>
      <c r="BD22" s="36">
        <v>0.214</v>
      </c>
      <c r="BE22" s="36">
        <v>0.21199999999999999</v>
      </c>
      <c r="BF22" s="37">
        <v>0.21099999999999999</v>
      </c>
      <c r="BG22" s="43">
        <v>0.20899999999999999</v>
      </c>
      <c r="BH22" s="36">
        <v>0.20799999999999999</v>
      </c>
      <c r="BI22" s="36">
        <v>0.21299999999999999</v>
      </c>
      <c r="BJ22" s="36">
        <v>0.222</v>
      </c>
      <c r="BK22" s="37">
        <v>0.215</v>
      </c>
      <c r="BL22" s="43">
        <v>0.21299999999999999</v>
      </c>
      <c r="BM22" s="37">
        <v>0.214</v>
      </c>
      <c r="BN22" s="166">
        <f t="shared" ref="BN22:BN24" si="12">IFERROR(AVERAGE(D22:BM24),0)</f>
        <v>0.21177419354838714</v>
      </c>
      <c r="BO22" s="166">
        <f t="shared" ref="BO22:BO24" si="13">MIN(D22:BM24)</f>
        <v>0.188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65">
        <v>8.3000000000000004E-2</v>
      </c>
      <c r="B23" s="7" t="s">
        <v>24</v>
      </c>
      <c r="C23" s="11" t="s">
        <v>8</v>
      </c>
      <c r="D23" s="41">
        <v>0.224</v>
      </c>
      <c r="E23" s="22">
        <v>0.224</v>
      </c>
      <c r="F23" s="22">
        <v>0.217</v>
      </c>
      <c r="G23" s="22">
        <v>0.219</v>
      </c>
      <c r="H23" s="42">
        <v>0.20799999999999999</v>
      </c>
      <c r="I23" s="45">
        <v>0.20899999999999999</v>
      </c>
      <c r="J23" s="22">
        <v>0.21199999999999999</v>
      </c>
      <c r="K23" s="22">
        <v>0.20100000000000001</v>
      </c>
      <c r="L23" s="22">
        <v>0.217</v>
      </c>
      <c r="M23" s="42">
        <v>0.20300000000000001</v>
      </c>
      <c r="N23" s="45">
        <v>0.20699999999999999</v>
      </c>
      <c r="O23" s="22">
        <v>0.20399999999999999</v>
      </c>
      <c r="P23" s="22">
        <v>0.193</v>
      </c>
      <c r="Q23" s="22">
        <v>0.20899999999999999</v>
      </c>
      <c r="R23" s="42">
        <v>0.2</v>
      </c>
      <c r="S23" s="45">
        <v>0.219</v>
      </c>
      <c r="T23" s="22">
        <v>0.20100000000000001</v>
      </c>
      <c r="U23" s="22">
        <v>0.21</v>
      </c>
      <c r="V23" s="22">
        <v>0.21199999999999999</v>
      </c>
      <c r="W23" s="42">
        <v>0.214</v>
      </c>
      <c r="X23" s="45">
        <v>0.22500000000000001</v>
      </c>
      <c r="Y23" s="22">
        <v>0.214</v>
      </c>
      <c r="Z23" s="22">
        <v>0.214</v>
      </c>
      <c r="AA23" s="22">
        <v>0.214</v>
      </c>
      <c r="AB23" s="42">
        <v>0.219</v>
      </c>
      <c r="AC23" s="45">
        <v>0.214</v>
      </c>
      <c r="AD23" s="22">
        <v>0.217</v>
      </c>
      <c r="AE23" s="22">
        <v>0.21299999999999999</v>
      </c>
      <c r="AF23" s="22">
        <v>0.216</v>
      </c>
      <c r="AG23" s="42">
        <v>0.219</v>
      </c>
      <c r="AH23" s="45">
        <v>0.217</v>
      </c>
      <c r="AI23" s="22">
        <v>0.222</v>
      </c>
      <c r="AJ23" s="22">
        <v>0.21199999999999999</v>
      </c>
      <c r="AK23" s="22">
        <v>0.214</v>
      </c>
      <c r="AL23" s="42">
        <v>0.224</v>
      </c>
      <c r="AM23" s="45">
        <v>0.20699999999999999</v>
      </c>
      <c r="AN23" s="22">
        <v>0.215</v>
      </c>
      <c r="AO23" s="22">
        <v>0.19900000000000001</v>
      </c>
      <c r="AP23" s="22">
        <v>0.21099999999999999</v>
      </c>
      <c r="AQ23" s="42">
        <v>0.21099999999999999</v>
      </c>
      <c r="AR23" s="45">
        <v>0.21</v>
      </c>
      <c r="AS23" s="22">
        <v>0.20599999999999999</v>
      </c>
      <c r="AT23" s="22">
        <v>0.20200000000000001</v>
      </c>
      <c r="AU23" s="22">
        <v>0.20599999999999999</v>
      </c>
      <c r="AV23" s="42">
        <v>0.20300000000000001</v>
      </c>
      <c r="AW23" s="45">
        <v>0.216</v>
      </c>
      <c r="AX23" s="22">
        <v>0.217</v>
      </c>
      <c r="AY23" s="22">
        <v>0.20300000000000001</v>
      </c>
      <c r="AZ23" s="22">
        <v>0.20899999999999999</v>
      </c>
      <c r="BA23" s="42">
        <v>0.19900000000000001</v>
      </c>
      <c r="BB23" s="45">
        <v>0.21099999999999999</v>
      </c>
      <c r="BC23" s="22">
        <v>0.20399999999999999</v>
      </c>
      <c r="BD23" s="22">
        <v>0.216</v>
      </c>
      <c r="BE23" s="22">
        <v>0.219</v>
      </c>
      <c r="BF23" s="42">
        <v>0.21099999999999999</v>
      </c>
      <c r="BG23" s="45">
        <v>0.21099999999999999</v>
      </c>
      <c r="BH23" s="22">
        <v>0.21199999999999999</v>
      </c>
      <c r="BI23" s="22">
        <v>0.21</v>
      </c>
      <c r="BJ23" s="22">
        <v>0.224</v>
      </c>
      <c r="BK23" s="42">
        <v>0.21099999999999999</v>
      </c>
      <c r="BL23" s="45">
        <v>0.215</v>
      </c>
      <c r="BM23" s="42">
        <v>0.215</v>
      </c>
      <c r="BN23" s="167">
        <f t="shared" si="12"/>
        <v>0.21289393939393941</v>
      </c>
      <c r="BO23" s="167">
        <f t="shared" si="13"/>
        <v>0.193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65"/>
      <c r="B24" s="8"/>
      <c r="C24" s="12" t="s">
        <v>14</v>
      </c>
      <c r="D24" s="38">
        <v>0.217</v>
      </c>
      <c r="E24" s="39">
        <v>0.22</v>
      </c>
      <c r="F24" s="39">
        <v>0.214</v>
      </c>
      <c r="G24" s="39">
        <v>0.214</v>
      </c>
      <c r="H24" s="40">
        <v>0.217</v>
      </c>
      <c r="I24" s="44">
        <v>0.20899999999999999</v>
      </c>
      <c r="J24" s="39">
        <v>0.20799999999999999</v>
      </c>
      <c r="K24" s="39">
        <v>0.20599999999999999</v>
      </c>
      <c r="L24" s="39">
        <v>0.21299999999999999</v>
      </c>
      <c r="M24" s="40">
        <v>0.19900000000000001</v>
      </c>
      <c r="N24" s="44">
        <v>0.20100000000000001</v>
      </c>
      <c r="O24" s="39">
        <v>0.20300000000000001</v>
      </c>
      <c r="P24" s="39">
        <v>0.2</v>
      </c>
      <c r="Q24" s="39">
        <v>0.20699999999999999</v>
      </c>
      <c r="R24" s="40">
        <v>0.19400000000000001</v>
      </c>
      <c r="S24" s="44">
        <v>0.20100000000000001</v>
      </c>
      <c r="T24" s="39">
        <v>0.20300000000000001</v>
      </c>
      <c r="U24" s="39">
        <v>0.20899999999999999</v>
      </c>
      <c r="V24" s="39">
        <v>0.214</v>
      </c>
      <c r="W24" s="40">
        <v>0.217</v>
      </c>
      <c r="X24" s="44">
        <v>0.219</v>
      </c>
      <c r="Y24" s="39">
        <v>0.219</v>
      </c>
      <c r="Z24" s="39">
        <v>0.22</v>
      </c>
      <c r="AA24" s="39">
        <v>0.22</v>
      </c>
      <c r="AB24" s="40">
        <v>0.218</v>
      </c>
      <c r="AC24" s="44">
        <v>0.21299999999999999</v>
      </c>
      <c r="AD24" s="39">
        <v>0.222</v>
      </c>
      <c r="AE24" s="39">
        <v>0.21299999999999999</v>
      </c>
      <c r="AF24" s="39">
        <v>0.22500000000000001</v>
      </c>
      <c r="AG24" s="40">
        <v>0.217</v>
      </c>
      <c r="AH24" s="44">
        <v>0.218</v>
      </c>
      <c r="AI24" s="39">
        <v>0.217</v>
      </c>
      <c r="AJ24" s="39">
        <v>0.21099999999999999</v>
      </c>
      <c r="AK24" s="39">
        <v>0.216</v>
      </c>
      <c r="AL24" s="40">
        <v>0.219</v>
      </c>
      <c r="AM24" s="44">
        <v>0.214</v>
      </c>
      <c r="AN24" s="39">
        <v>0.21299999999999999</v>
      </c>
      <c r="AO24" s="39">
        <v>0.20699999999999999</v>
      </c>
      <c r="AP24" s="39">
        <v>0.222</v>
      </c>
      <c r="AQ24" s="40">
        <v>0.21199999999999999</v>
      </c>
      <c r="AR24" s="44">
        <v>0.20599999999999999</v>
      </c>
      <c r="AS24" s="39">
        <v>0.217</v>
      </c>
      <c r="AT24" s="39">
        <v>0.20300000000000001</v>
      </c>
      <c r="AU24" s="39">
        <v>0.21</v>
      </c>
      <c r="AV24" s="40">
        <v>0.21</v>
      </c>
      <c r="AW24" s="44">
        <v>0.219</v>
      </c>
      <c r="AX24" s="39">
        <v>0.218</v>
      </c>
      <c r="AY24" s="39">
        <v>0.20300000000000001</v>
      </c>
      <c r="AZ24" s="39">
        <v>0.20599999999999999</v>
      </c>
      <c r="BA24" s="40">
        <v>0.20699999999999999</v>
      </c>
      <c r="BB24" s="44">
        <v>0.20699999999999999</v>
      </c>
      <c r="BC24" s="39">
        <v>0.21099999999999999</v>
      </c>
      <c r="BD24" s="39">
        <v>0.21</v>
      </c>
      <c r="BE24" s="39">
        <v>0.21199999999999999</v>
      </c>
      <c r="BF24" s="40">
        <v>0.21099999999999999</v>
      </c>
      <c r="BG24" s="44">
        <v>0.216</v>
      </c>
      <c r="BH24" s="39">
        <v>0.216</v>
      </c>
      <c r="BI24" s="39">
        <v>0.21299999999999999</v>
      </c>
      <c r="BJ24" s="39">
        <v>0.21099999999999999</v>
      </c>
      <c r="BK24" s="40">
        <v>0.221</v>
      </c>
      <c r="BL24" s="44">
        <v>0.214</v>
      </c>
      <c r="BM24" s="40">
        <v>0.20799999999999999</v>
      </c>
      <c r="BN24" s="168">
        <f t="shared" si="12"/>
        <v>0.21500000000000008</v>
      </c>
      <c r="BO24" s="168">
        <f t="shared" si="13"/>
        <v>0.19400000000000001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19</v>
      </c>
      <c r="B25" s="6" t="s">
        <v>9</v>
      </c>
      <c r="C25" s="11" t="s">
        <v>10</v>
      </c>
      <c r="D25" s="35" t="s">
        <v>11</v>
      </c>
      <c r="E25" s="36">
        <v>0.23200000000000001</v>
      </c>
      <c r="F25" s="36">
        <v>0.23599999999999999</v>
      </c>
      <c r="G25" s="36">
        <v>0.23899999999999999</v>
      </c>
      <c r="H25" s="37">
        <v>0.221</v>
      </c>
      <c r="I25" s="43" t="s">
        <v>11</v>
      </c>
      <c r="J25" s="36" t="s">
        <v>11</v>
      </c>
      <c r="K25" s="36" t="s">
        <v>11</v>
      </c>
      <c r="L25" s="36" t="s">
        <v>11</v>
      </c>
      <c r="M25" s="37" t="s">
        <v>11</v>
      </c>
      <c r="N25" s="43" t="s">
        <v>11</v>
      </c>
      <c r="O25" s="36" t="s">
        <v>11</v>
      </c>
      <c r="P25" s="36" t="s">
        <v>11</v>
      </c>
      <c r="Q25" s="36" t="s">
        <v>11</v>
      </c>
      <c r="R25" s="37" t="s">
        <v>11</v>
      </c>
      <c r="S25" s="43" t="s">
        <v>11</v>
      </c>
      <c r="T25" s="36" t="s">
        <v>11</v>
      </c>
      <c r="U25" s="36" t="s">
        <v>11</v>
      </c>
      <c r="V25" s="36" t="s">
        <v>11</v>
      </c>
      <c r="W25" s="37" t="s">
        <v>11</v>
      </c>
      <c r="X25" s="43" t="s">
        <v>11</v>
      </c>
      <c r="Y25" s="36" t="s">
        <v>11</v>
      </c>
      <c r="Z25" s="36" t="s">
        <v>11</v>
      </c>
      <c r="AA25" s="36" t="s">
        <v>11</v>
      </c>
      <c r="AB25" s="37" t="s">
        <v>11</v>
      </c>
      <c r="AC25" s="43" t="s">
        <v>11</v>
      </c>
      <c r="AD25" s="36" t="s">
        <v>11</v>
      </c>
      <c r="AE25" s="36" t="s">
        <v>11</v>
      </c>
      <c r="AF25" s="36" t="s">
        <v>11</v>
      </c>
      <c r="AG25" s="37" t="s">
        <v>11</v>
      </c>
      <c r="AH25" s="43" t="s">
        <v>11</v>
      </c>
      <c r="AI25" s="36" t="s">
        <v>11</v>
      </c>
      <c r="AJ25" s="36" t="s">
        <v>11</v>
      </c>
      <c r="AK25" s="36" t="s">
        <v>11</v>
      </c>
      <c r="AL25" s="37" t="s">
        <v>11</v>
      </c>
      <c r="AM25" s="43" t="s">
        <v>11</v>
      </c>
      <c r="AN25" s="36" t="s">
        <v>11</v>
      </c>
      <c r="AO25" s="36" t="s">
        <v>11</v>
      </c>
      <c r="AP25" s="36" t="s">
        <v>11</v>
      </c>
      <c r="AQ25" s="37" t="s">
        <v>11</v>
      </c>
      <c r="AR25" s="43" t="s">
        <v>11</v>
      </c>
      <c r="AS25" s="36" t="s">
        <v>11</v>
      </c>
      <c r="AT25" s="36" t="s">
        <v>11</v>
      </c>
      <c r="AU25" s="36" t="s">
        <v>11</v>
      </c>
      <c r="AV25" s="37" t="s">
        <v>11</v>
      </c>
      <c r="AW25" s="43" t="s">
        <v>11</v>
      </c>
      <c r="AX25" s="36" t="s">
        <v>11</v>
      </c>
      <c r="AY25" s="36" t="s">
        <v>11</v>
      </c>
      <c r="AZ25" s="36" t="s">
        <v>11</v>
      </c>
      <c r="BA25" s="37" t="s">
        <v>11</v>
      </c>
      <c r="BB25" s="43" t="s">
        <v>11</v>
      </c>
      <c r="BC25" s="36" t="s">
        <v>11</v>
      </c>
      <c r="BD25" s="36" t="s">
        <v>11</v>
      </c>
      <c r="BE25" s="36" t="s">
        <v>11</v>
      </c>
      <c r="BF25" s="37" t="s">
        <v>11</v>
      </c>
      <c r="BG25" s="43" t="s">
        <v>11</v>
      </c>
      <c r="BH25" s="36" t="s">
        <v>11</v>
      </c>
      <c r="BI25" s="36">
        <v>0.221</v>
      </c>
      <c r="BJ25" s="36">
        <v>0.219</v>
      </c>
      <c r="BK25" s="37">
        <v>0.23400000000000001</v>
      </c>
      <c r="BL25" s="43">
        <v>0.22</v>
      </c>
      <c r="BM25" s="37" t="s">
        <v>11</v>
      </c>
      <c r="BN25" s="166">
        <f t="shared" ref="BN25:BN27" si="14">IFERROR(AVERAGE(D25:BM27),0)</f>
        <v>0.22520833333333337</v>
      </c>
      <c r="BO25" s="166">
        <f t="shared" ref="BO25:BO27" si="15">MIN(D25:BM27)</f>
        <v>0.214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65">
        <v>8.3000000000000004E-2</v>
      </c>
      <c r="B26" s="7" t="s">
        <v>12</v>
      </c>
      <c r="C26" s="11" t="s">
        <v>8</v>
      </c>
      <c r="D26" s="41" t="s">
        <v>11</v>
      </c>
      <c r="E26" s="22">
        <v>0.22700000000000001</v>
      </c>
      <c r="F26" s="22">
        <v>0.23300000000000001</v>
      </c>
      <c r="G26" s="22">
        <v>0.23300000000000001</v>
      </c>
      <c r="H26" s="42">
        <v>0.221</v>
      </c>
      <c r="I26" s="45" t="s">
        <v>11</v>
      </c>
      <c r="J26" s="22" t="s">
        <v>11</v>
      </c>
      <c r="K26" s="22" t="s">
        <v>11</v>
      </c>
      <c r="L26" s="22" t="s">
        <v>11</v>
      </c>
      <c r="M26" s="42" t="s">
        <v>11</v>
      </c>
      <c r="N26" s="45" t="s">
        <v>11</v>
      </c>
      <c r="O26" s="22" t="s">
        <v>11</v>
      </c>
      <c r="P26" s="22" t="s">
        <v>11</v>
      </c>
      <c r="Q26" s="22" t="s">
        <v>11</v>
      </c>
      <c r="R26" s="42" t="s">
        <v>11</v>
      </c>
      <c r="S26" s="45" t="s">
        <v>11</v>
      </c>
      <c r="T26" s="22" t="s">
        <v>11</v>
      </c>
      <c r="U26" s="22" t="s">
        <v>11</v>
      </c>
      <c r="V26" s="22" t="s">
        <v>11</v>
      </c>
      <c r="W26" s="42" t="s">
        <v>11</v>
      </c>
      <c r="X26" s="45" t="s">
        <v>11</v>
      </c>
      <c r="Y26" s="22" t="s">
        <v>11</v>
      </c>
      <c r="Z26" s="22" t="s">
        <v>11</v>
      </c>
      <c r="AA26" s="22" t="s">
        <v>11</v>
      </c>
      <c r="AB26" s="42" t="s">
        <v>11</v>
      </c>
      <c r="AC26" s="45" t="s">
        <v>11</v>
      </c>
      <c r="AD26" s="22" t="s">
        <v>11</v>
      </c>
      <c r="AE26" s="22" t="s">
        <v>11</v>
      </c>
      <c r="AF26" s="22" t="s">
        <v>11</v>
      </c>
      <c r="AG26" s="42" t="s">
        <v>11</v>
      </c>
      <c r="AH26" s="45" t="s">
        <v>11</v>
      </c>
      <c r="AI26" s="22" t="s">
        <v>11</v>
      </c>
      <c r="AJ26" s="22" t="s">
        <v>11</v>
      </c>
      <c r="AK26" s="22" t="s">
        <v>11</v>
      </c>
      <c r="AL26" s="42" t="s">
        <v>11</v>
      </c>
      <c r="AM26" s="45" t="s">
        <v>11</v>
      </c>
      <c r="AN26" s="22" t="s">
        <v>11</v>
      </c>
      <c r="AO26" s="22" t="s">
        <v>11</v>
      </c>
      <c r="AP26" s="22" t="s">
        <v>11</v>
      </c>
      <c r="AQ26" s="42" t="s">
        <v>11</v>
      </c>
      <c r="AR26" s="45" t="s">
        <v>11</v>
      </c>
      <c r="AS26" s="22" t="s">
        <v>11</v>
      </c>
      <c r="AT26" s="22" t="s">
        <v>11</v>
      </c>
      <c r="AU26" s="22" t="s">
        <v>11</v>
      </c>
      <c r="AV26" s="42" t="s">
        <v>11</v>
      </c>
      <c r="AW26" s="45" t="s">
        <v>11</v>
      </c>
      <c r="AX26" s="22" t="s">
        <v>11</v>
      </c>
      <c r="AY26" s="22" t="s">
        <v>11</v>
      </c>
      <c r="AZ26" s="22" t="s">
        <v>11</v>
      </c>
      <c r="BA26" s="42" t="s">
        <v>11</v>
      </c>
      <c r="BB26" s="45" t="s">
        <v>11</v>
      </c>
      <c r="BC26" s="22" t="s">
        <v>11</v>
      </c>
      <c r="BD26" s="22" t="s">
        <v>11</v>
      </c>
      <c r="BE26" s="22" t="s">
        <v>11</v>
      </c>
      <c r="BF26" s="42" t="s">
        <v>11</v>
      </c>
      <c r="BG26" s="45" t="s">
        <v>11</v>
      </c>
      <c r="BH26" s="22" t="s">
        <v>11</v>
      </c>
      <c r="BI26" s="22">
        <v>0.219</v>
      </c>
      <c r="BJ26" s="22">
        <v>0.222</v>
      </c>
      <c r="BK26" s="42">
        <v>0.22700000000000001</v>
      </c>
      <c r="BL26" s="45">
        <v>0.216</v>
      </c>
      <c r="BM26" s="42" t="s">
        <v>11</v>
      </c>
      <c r="BN26" s="167">
        <f t="shared" si="14"/>
        <v>0.22387500000000002</v>
      </c>
      <c r="BO26" s="167">
        <f t="shared" si="15"/>
        <v>0.214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65"/>
      <c r="B27" s="8" t="s">
        <v>25</v>
      </c>
      <c r="C27" s="12" t="s">
        <v>14</v>
      </c>
      <c r="D27" s="38" t="s">
        <v>11</v>
      </c>
      <c r="E27" s="39">
        <v>0.22600000000000001</v>
      </c>
      <c r="F27" s="39">
        <v>0.224</v>
      </c>
      <c r="G27" s="39">
        <v>0.223</v>
      </c>
      <c r="H27" s="40">
        <v>0.22</v>
      </c>
      <c r="I27" s="44" t="s">
        <v>11</v>
      </c>
      <c r="J27" s="39" t="s">
        <v>11</v>
      </c>
      <c r="K27" s="39" t="s">
        <v>11</v>
      </c>
      <c r="L27" s="39" t="s">
        <v>11</v>
      </c>
      <c r="M27" s="40" t="s">
        <v>11</v>
      </c>
      <c r="N27" s="44" t="s">
        <v>11</v>
      </c>
      <c r="O27" s="39" t="s">
        <v>11</v>
      </c>
      <c r="P27" s="39" t="s">
        <v>11</v>
      </c>
      <c r="Q27" s="39" t="s">
        <v>11</v>
      </c>
      <c r="R27" s="40" t="s">
        <v>11</v>
      </c>
      <c r="S27" s="44" t="s">
        <v>11</v>
      </c>
      <c r="T27" s="39" t="s">
        <v>11</v>
      </c>
      <c r="U27" s="39" t="s">
        <v>11</v>
      </c>
      <c r="V27" s="39" t="s">
        <v>11</v>
      </c>
      <c r="W27" s="40" t="s">
        <v>11</v>
      </c>
      <c r="X27" s="44" t="s">
        <v>11</v>
      </c>
      <c r="Y27" s="39" t="s">
        <v>11</v>
      </c>
      <c r="Z27" s="39" t="s">
        <v>11</v>
      </c>
      <c r="AA27" s="39" t="s">
        <v>11</v>
      </c>
      <c r="AB27" s="40" t="s">
        <v>11</v>
      </c>
      <c r="AC27" s="44" t="s">
        <v>11</v>
      </c>
      <c r="AD27" s="39" t="s">
        <v>11</v>
      </c>
      <c r="AE27" s="39" t="s">
        <v>11</v>
      </c>
      <c r="AF27" s="39" t="s">
        <v>11</v>
      </c>
      <c r="AG27" s="40" t="s">
        <v>11</v>
      </c>
      <c r="AH27" s="44" t="s">
        <v>11</v>
      </c>
      <c r="AI27" s="39" t="s">
        <v>11</v>
      </c>
      <c r="AJ27" s="39" t="s">
        <v>11</v>
      </c>
      <c r="AK27" s="39" t="s">
        <v>11</v>
      </c>
      <c r="AL27" s="40" t="s">
        <v>11</v>
      </c>
      <c r="AM27" s="44" t="s">
        <v>11</v>
      </c>
      <c r="AN27" s="39" t="s">
        <v>11</v>
      </c>
      <c r="AO27" s="39" t="s">
        <v>11</v>
      </c>
      <c r="AP27" s="39" t="s">
        <v>11</v>
      </c>
      <c r="AQ27" s="40" t="s">
        <v>11</v>
      </c>
      <c r="AR27" s="44" t="s">
        <v>11</v>
      </c>
      <c r="AS27" s="39" t="s">
        <v>11</v>
      </c>
      <c r="AT27" s="39" t="s">
        <v>11</v>
      </c>
      <c r="AU27" s="39" t="s">
        <v>11</v>
      </c>
      <c r="AV27" s="40" t="s">
        <v>11</v>
      </c>
      <c r="AW27" s="44" t="s">
        <v>11</v>
      </c>
      <c r="AX27" s="39" t="s">
        <v>11</v>
      </c>
      <c r="AY27" s="39" t="s">
        <v>11</v>
      </c>
      <c r="AZ27" s="39" t="s">
        <v>11</v>
      </c>
      <c r="BA27" s="40" t="s">
        <v>11</v>
      </c>
      <c r="BB27" s="44" t="s">
        <v>11</v>
      </c>
      <c r="BC27" s="39" t="s">
        <v>11</v>
      </c>
      <c r="BD27" s="39" t="s">
        <v>11</v>
      </c>
      <c r="BE27" s="39" t="s">
        <v>11</v>
      </c>
      <c r="BF27" s="40" t="s">
        <v>11</v>
      </c>
      <c r="BG27" s="44" t="s">
        <v>11</v>
      </c>
      <c r="BH27" s="39" t="s">
        <v>11</v>
      </c>
      <c r="BI27" s="39">
        <v>0.222</v>
      </c>
      <c r="BJ27" s="39">
        <v>0.22900000000000001</v>
      </c>
      <c r="BK27" s="40">
        <v>0.22700000000000001</v>
      </c>
      <c r="BL27" s="44">
        <v>0.214</v>
      </c>
      <c r="BM27" s="40" t="s">
        <v>11</v>
      </c>
      <c r="BN27" s="168">
        <f t="shared" si="14"/>
        <v>0.22262500000000005</v>
      </c>
      <c r="BO27" s="168">
        <f t="shared" si="15"/>
        <v>0.214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19</v>
      </c>
      <c r="B28" s="6" t="s">
        <v>15</v>
      </c>
      <c r="C28" s="11" t="s">
        <v>10</v>
      </c>
      <c r="D28" s="35" t="s">
        <v>11</v>
      </c>
      <c r="E28" s="36">
        <v>0.222</v>
      </c>
      <c r="F28" s="36">
        <v>0.22700000000000001</v>
      </c>
      <c r="G28" s="36">
        <v>0.222</v>
      </c>
      <c r="H28" s="37">
        <v>0.221</v>
      </c>
      <c r="I28" s="43" t="s">
        <v>11</v>
      </c>
      <c r="J28" s="36" t="s">
        <v>11</v>
      </c>
      <c r="K28" s="36" t="s">
        <v>11</v>
      </c>
      <c r="L28" s="36" t="s">
        <v>11</v>
      </c>
      <c r="M28" s="37" t="s">
        <v>11</v>
      </c>
      <c r="N28" s="43" t="s">
        <v>11</v>
      </c>
      <c r="O28" s="36" t="s">
        <v>11</v>
      </c>
      <c r="P28" s="36" t="s">
        <v>11</v>
      </c>
      <c r="Q28" s="36" t="s">
        <v>11</v>
      </c>
      <c r="R28" s="37" t="s">
        <v>11</v>
      </c>
      <c r="S28" s="43" t="s">
        <v>11</v>
      </c>
      <c r="T28" s="36" t="s">
        <v>11</v>
      </c>
      <c r="U28" s="36" t="s">
        <v>11</v>
      </c>
      <c r="V28" s="36" t="s">
        <v>11</v>
      </c>
      <c r="W28" s="37" t="s">
        <v>11</v>
      </c>
      <c r="X28" s="43" t="s">
        <v>11</v>
      </c>
      <c r="Y28" s="36" t="s">
        <v>11</v>
      </c>
      <c r="Z28" s="36" t="s">
        <v>11</v>
      </c>
      <c r="AA28" s="36" t="s">
        <v>11</v>
      </c>
      <c r="AB28" s="37" t="s">
        <v>11</v>
      </c>
      <c r="AC28" s="43" t="s">
        <v>11</v>
      </c>
      <c r="AD28" s="36" t="s">
        <v>11</v>
      </c>
      <c r="AE28" s="36" t="s">
        <v>11</v>
      </c>
      <c r="AF28" s="36" t="s">
        <v>11</v>
      </c>
      <c r="AG28" s="37" t="s">
        <v>11</v>
      </c>
      <c r="AH28" s="43" t="s">
        <v>11</v>
      </c>
      <c r="AI28" s="36" t="s">
        <v>11</v>
      </c>
      <c r="AJ28" s="36" t="s">
        <v>11</v>
      </c>
      <c r="AK28" s="36" t="s">
        <v>11</v>
      </c>
      <c r="AL28" s="37" t="s">
        <v>11</v>
      </c>
      <c r="AM28" s="43" t="s">
        <v>11</v>
      </c>
      <c r="AN28" s="36" t="s">
        <v>11</v>
      </c>
      <c r="AO28" s="36" t="s">
        <v>11</v>
      </c>
      <c r="AP28" s="36" t="s">
        <v>11</v>
      </c>
      <c r="AQ28" s="37" t="s">
        <v>11</v>
      </c>
      <c r="AR28" s="43" t="s">
        <v>11</v>
      </c>
      <c r="AS28" s="36" t="s">
        <v>11</v>
      </c>
      <c r="AT28" s="36" t="s">
        <v>11</v>
      </c>
      <c r="AU28" s="36" t="s">
        <v>11</v>
      </c>
      <c r="AV28" s="37" t="s">
        <v>11</v>
      </c>
      <c r="AW28" s="43" t="s">
        <v>11</v>
      </c>
      <c r="AX28" s="36" t="s">
        <v>11</v>
      </c>
      <c r="AY28" s="36" t="s">
        <v>11</v>
      </c>
      <c r="AZ28" s="36" t="s">
        <v>11</v>
      </c>
      <c r="BA28" s="37" t="s">
        <v>11</v>
      </c>
      <c r="BB28" s="43" t="s">
        <v>11</v>
      </c>
      <c r="BC28" s="36" t="s">
        <v>11</v>
      </c>
      <c r="BD28" s="36" t="s">
        <v>11</v>
      </c>
      <c r="BE28" s="36" t="s">
        <v>11</v>
      </c>
      <c r="BF28" s="37" t="s">
        <v>11</v>
      </c>
      <c r="BG28" s="43" t="s">
        <v>11</v>
      </c>
      <c r="BH28" s="36" t="s">
        <v>11</v>
      </c>
      <c r="BI28" s="36">
        <v>0.22</v>
      </c>
      <c r="BJ28" s="36">
        <v>0.24299999999999999</v>
      </c>
      <c r="BK28" s="37">
        <v>0.218</v>
      </c>
      <c r="BL28" s="43">
        <v>0.217</v>
      </c>
      <c r="BM28" s="37" t="s">
        <v>11</v>
      </c>
      <c r="BN28" s="166">
        <f t="shared" ref="BN28:BN30" si="16">IFERROR(AVERAGE(D28:BM30),0)</f>
        <v>0.222</v>
      </c>
      <c r="BO28" s="166">
        <f t="shared" ref="BO28:BO30" si="17">MIN(D28:BM30)</f>
        <v>0.217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65">
        <v>8.3000000000000004E-2</v>
      </c>
      <c r="B29" s="7" t="s">
        <v>12</v>
      </c>
      <c r="C29" s="11" t="s">
        <v>8</v>
      </c>
      <c r="D29" s="41" t="s">
        <v>11</v>
      </c>
      <c r="E29" s="22">
        <v>0.217</v>
      </c>
      <c r="F29" s="22">
        <v>0.22500000000000001</v>
      </c>
      <c r="G29" s="22">
        <v>0.221</v>
      </c>
      <c r="H29" s="42">
        <v>0.224</v>
      </c>
      <c r="I29" s="45" t="s">
        <v>11</v>
      </c>
      <c r="J29" s="22" t="s">
        <v>11</v>
      </c>
      <c r="K29" s="22" t="s">
        <v>11</v>
      </c>
      <c r="L29" s="22" t="s">
        <v>11</v>
      </c>
      <c r="M29" s="42" t="s">
        <v>11</v>
      </c>
      <c r="N29" s="45" t="s">
        <v>11</v>
      </c>
      <c r="O29" s="22" t="s">
        <v>11</v>
      </c>
      <c r="P29" s="22" t="s">
        <v>11</v>
      </c>
      <c r="Q29" s="22" t="s">
        <v>11</v>
      </c>
      <c r="R29" s="42" t="s">
        <v>11</v>
      </c>
      <c r="S29" s="45" t="s">
        <v>11</v>
      </c>
      <c r="T29" s="22" t="s">
        <v>11</v>
      </c>
      <c r="U29" s="22" t="s">
        <v>11</v>
      </c>
      <c r="V29" s="22" t="s">
        <v>11</v>
      </c>
      <c r="W29" s="42" t="s">
        <v>11</v>
      </c>
      <c r="X29" s="45" t="s">
        <v>11</v>
      </c>
      <c r="Y29" s="22" t="s">
        <v>11</v>
      </c>
      <c r="Z29" s="22" t="s">
        <v>11</v>
      </c>
      <c r="AA29" s="22" t="s">
        <v>11</v>
      </c>
      <c r="AB29" s="42" t="s">
        <v>11</v>
      </c>
      <c r="AC29" s="45" t="s">
        <v>11</v>
      </c>
      <c r="AD29" s="22" t="s">
        <v>11</v>
      </c>
      <c r="AE29" s="22" t="s">
        <v>11</v>
      </c>
      <c r="AF29" s="22" t="s">
        <v>11</v>
      </c>
      <c r="AG29" s="42" t="s">
        <v>11</v>
      </c>
      <c r="AH29" s="45" t="s">
        <v>11</v>
      </c>
      <c r="AI29" s="22" t="s">
        <v>11</v>
      </c>
      <c r="AJ29" s="22" t="s">
        <v>11</v>
      </c>
      <c r="AK29" s="22" t="s">
        <v>11</v>
      </c>
      <c r="AL29" s="42" t="s">
        <v>11</v>
      </c>
      <c r="AM29" s="45" t="s">
        <v>11</v>
      </c>
      <c r="AN29" s="22" t="s">
        <v>11</v>
      </c>
      <c r="AO29" s="22" t="s">
        <v>11</v>
      </c>
      <c r="AP29" s="22" t="s">
        <v>11</v>
      </c>
      <c r="AQ29" s="42" t="s">
        <v>11</v>
      </c>
      <c r="AR29" s="45" t="s">
        <v>11</v>
      </c>
      <c r="AS29" s="22" t="s">
        <v>11</v>
      </c>
      <c r="AT29" s="22" t="s">
        <v>11</v>
      </c>
      <c r="AU29" s="22" t="s">
        <v>11</v>
      </c>
      <c r="AV29" s="42" t="s">
        <v>11</v>
      </c>
      <c r="AW29" s="45" t="s">
        <v>11</v>
      </c>
      <c r="AX29" s="22" t="s">
        <v>11</v>
      </c>
      <c r="AY29" s="22" t="s">
        <v>11</v>
      </c>
      <c r="AZ29" s="22" t="s">
        <v>11</v>
      </c>
      <c r="BA29" s="42" t="s">
        <v>11</v>
      </c>
      <c r="BB29" s="45" t="s">
        <v>11</v>
      </c>
      <c r="BC29" s="22" t="s">
        <v>11</v>
      </c>
      <c r="BD29" s="22" t="s">
        <v>11</v>
      </c>
      <c r="BE29" s="22" t="s">
        <v>11</v>
      </c>
      <c r="BF29" s="42" t="s">
        <v>11</v>
      </c>
      <c r="BG29" s="45" t="s">
        <v>11</v>
      </c>
      <c r="BH29" s="22" t="s">
        <v>11</v>
      </c>
      <c r="BI29" s="22">
        <v>0.222</v>
      </c>
      <c r="BJ29" s="22">
        <v>0.219</v>
      </c>
      <c r="BK29" s="42">
        <v>0.22</v>
      </c>
      <c r="BL29" s="45">
        <v>0.22</v>
      </c>
      <c r="BM29" s="42" t="s">
        <v>11</v>
      </c>
      <c r="BN29" s="167">
        <f t="shared" si="16"/>
        <v>0.2220833333333333</v>
      </c>
      <c r="BO29" s="167">
        <f t="shared" si="17"/>
        <v>0.215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65"/>
      <c r="B30" s="8" t="s">
        <v>25</v>
      </c>
      <c r="C30" s="12" t="s">
        <v>14</v>
      </c>
      <c r="D30" s="38" t="s">
        <v>11</v>
      </c>
      <c r="E30" s="39">
        <v>0.217</v>
      </c>
      <c r="F30" s="39">
        <v>0.219</v>
      </c>
      <c r="G30" s="39">
        <v>0.223</v>
      </c>
      <c r="H30" s="40">
        <v>0.223</v>
      </c>
      <c r="I30" s="44" t="s">
        <v>11</v>
      </c>
      <c r="J30" s="39" t="s">
        <v>11</v>
      </c>
      <c r="K30" s="39" t="s">
        <v>11</v>
      </c>
      <c r="L30" s="39" t="s">
        <v>11</v>
      </c>
      <c r="M30" s="40" t="s">
        <v>11</v>
      </c>
      <c r="N30" s="44" t="s">
        <v>11</v>
      </c>
      <c r="O30" s="39" t="s">
        <v>11</v>
      </c>
      <c r="P30" s="39" t="s">
        <v>11</v>
      </c>
      <c r="Q30" s="39" t="s">
        <v>11</v>
      </c>
      <c r="R30" s="40" t="s">
        <v>11</v>
      </c>
      <c r="S30" s="44" t="s">
        <v>11</v>
      </c>
      <c r="T30" s="39" t="s">
        <v>11</v>
      </c>
      <c r="U30" s="39" t="s">
        <v>11</v>
      </c>
      <c r="V30" s="39" t="s">
        <v>11</v>
      </c>
      <c r="W30" s="40" t="s">
        <v>11</v>
      </c>
      <c r="X30" s="44" t="s">
        <v>11</v>
      </c>
      <c r="Y30" s="39" t="s">
        <v>11</v>
      </c>
      <c r="Z30" s="39" t="s">
        <v>11</v>
      </c>
      <c r="AA30" s="39" t="s">
        <v>11</v>
      </c>
      <c r="AB30" s="40" t="s">
        <v>11</v>
      </c>
      <c r="AC30" s="44" t="s">
        <v>11</v>
      </c>
      <c r="AD30" s="39" t="s">
        <v>11</v>
      </c>
      <c r="AE30" s="39" t="s">
        <v>11</v>
      </c>
      <c r="AF30" s="39" t="s">
        <v>11</v>
      </c>
      <c r="AG30" s="40" t="s">
        <v>11</v>
      </c>
      <c r="AH30" s="44" t="s">
        <v>11</v>
      </c>
      <c r="AI30" s="39" t="s">
        <v>11</v>
      </c>
      <c r="AJ30" s="39" t="s">
        <v>11</v>
      </c>
      <c r="AK30" s="39" t="s">
        <v>11</v>
      </c>
      <c r="AL30" s="40" t="s">
        <v>11</v>
      </c>
      <c r="AM30" s="44" t="s">
        <v>11</v>
      </c>
      <c r="AN30" s="39" t="s">
        <v>11</v>
      </c>
      <c r="AO30" s="39" t="s">
        <v>11</v>
      </c>
      <c r="AP30" s="39" t="s">
        <v>11</v>
      </c>
      <c r="AQ30" s="40" t="s">
        <v>11</v>
      </c>
      <c r="AR30" s="44" t="s">
        <v>11</v>
      </c>
      <c r="AS30" s="39" t="s">
        <v>11</v>
      </c>
      <c r="AT30" s="39" t="s">
        <v>11</v>
      </c>
      <c r="AU30" s="39" t="s">
        <v>11</v>
      </c>
      <c r="AV30" s="40" t="s">
        <v>11</v>
      </c>
      <c r="AW30" s="44" t="s">
        <v>11</v>
      </c>
      <c r="AX30" s="39" t="s">
        <v>11</v>
      </c>
      <c r="AY30" s="39" t="s">
        <v>11</v>
      </c>
      <c r="AZ30" s="39" t="s">
        <v>11</v>
      </c>
      <c r="BA30" s="40" t="s">
        <v>11</v>
      </c>
      <c r="BB30" s="44" t="s">
        <v>11</v>
      </c>
      <c r="BC30" s="39" t="s">
        <v>11</v>
      </c>
      <c r="BD30" s="39" t="s">
        <v>11</v>
      </c>
      <c r="BE30" s="39" t="s">
        <v>11</v>
      </c>
      <c r="BF30" s="40" t="s">
        <v>11</v>
      </c>
      <c r="BG30" s="44" t="s">
        <v>11</v>
      </c>
      <c r="BH30" s="39" t="s">
        <v>11</v>
      </c>
      <c r="BI30" s="39">
        <v>0.22500000000000001</v>
      </c>
      <c r="BJ30" s="39">
        <v>0.222</v>
      </c>
      <c r="BK30" s="40">
        <v>0.22</v>
      </c>
      <c r="BL30" s="44">
        <v>0.221</v>
      </c>
      <c r="BM30" s="40" t="s">
        <v>11</v>
      </c>
      <c r="BN30" s="168">
        <f t="shared" si="16"/>
        <v>0.22241666666666668</v>
      </c>
      <c r="BO30" s="168">
        <f t="shared" si="17"/>
        <v>0.21299999999999999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19</v>
      </c>
      <c r="B31" s="6" t="s">
        <v>26</v>
      </c>
      <c r="C31" s="11" t="s">
        <v>10</v>
      </c>
      <c r="D31" s="35" t="s">
        <v>11</v>
      </c>
      <c r="E31" s="36">
        <v>0.222</v>
      </c>
      <c r="F31" s="36">
        <v>0.23</v>
      </c>
      <c r="G31" s="36">
        <v>0.223</v>
      </c>
      <c r="H31" s="37">
        <v>0.215</v>
      </c>
      <c r="I31" s="43" t="s">
        <v>11</v>
      </c>
      <c r="J31" s="36" t="s">
        <v>11</v>
      </c>
      <c r="K31" s="36" t="s">
        <v>11</v>
      </c>
      <c r="L31" s="36" t="s">
        <v>11</v>
      </c>
      <c r="M31" s="37" t="s">
        <v>11</v>
      </c>
      <c r="N31" s="43" t="s">
        <v>11</v>
      </c>
      <c r="O31" s="36" t="s">
        <v>11</v>
      </c>
      <c r="P31" s="36" t="s">
        <v>11</v>
      </c>
      <c r="Q31" s="36" t="s">
        <v>11</v>
      </c>
      <c r="R31" s="37" t="s">
        <v>11</v>
      </c>
      <c r="S31" s="43" t="s">
        <v>11</v>
      </c>
      <c r="T31" s="36" t="s">
        <v>11</v>
      </c>
      <c r="U31" s="36" t="s">
        <v>11</v>
      </c>
      <c r="V31" s="36" t="s">
        <v>11</v>
      </c>
      <c r="W31" s="37" t="s">
        <v>11</v>
      </c>
      <c r="X31" s="43" t="s">
        <v>11</v>
      </c>
      <c r="Y31" s="36" t="s">
        <v>11</v>
      </c>
      <c r="Z31" s="36" t="s">
        <v>11</v>
      </c>
      <c r="AA31" s="36" t="s">
        <v>11</v>
      </c>
      <c r="AB31" s="37" t="s">
        <v>11</v>
      </c>
      <c r="AC31" s="43" t="s">
        <v>11</v>
      </c>
      <c r="AD31" s="36" t="s">
        <v>11</v>
      </c>
      <c r="AE31" s="36" t="s">
        <v>11</v>
      </c>
      <c r="AF31" s="36" t="s">
        <v>11</v>
      </c>
      <c r="AG31" s="37" t="s">
        <v>11</v>
      </c>
      <c r="AH31" s="43" t="s">
        <v>11</v>
      </c>
      <c r="AI31" s="36" t="s">
        <v>11</v>
      </c>
      <c r="AJ31" s="36" t="s">
        <v>11</v>
      </c>
      <c r="AK31" s="36" t="s">
        <v>11</v>
      </c>
      <c r="AL31" s="37" t="s">
        <v>11</v>
      </c>
      <c r="AM31" s="43" t="s">
        <v>11</v>
      </c>
      <c r="AN31" s="36" t="s">
        <v>11</v>
      </c>
      <c r="AO31" s="36" t="s">
        <v>11</v>
      </c>
      <c r="AP31" s="36" t="s">
        <v>11</v>
      </c>
      <c r="AQ31" s="37" t="s">
        <v>11</v>
      </c>
      <c r="AR31" s="43" t="s">
        <v>11</v>
      </c>
      <c r="AS31" s="36" t="s">
        <v>11</v>
      </c>
      <c r="AT31" s="36" t="s">
        <v>11</v>
      </c>
      <c r="AU31" s="36" t="s">
        <v>11</v>
      </c>
      <c r="AV31" s="37" t="s">
        <v>11</v>
      </c>
      <c r="AW31" s="43" t="s">
        <v>11</v>
      </c>
      <c r="AX31" s="36" t="s">
        <v>11</v>
      </c>
      <c r="AY31" s="36" t="s">
        <v>11</v>
      </c>
      <c r="AZ31" s="36" t="s">
        <v>11</v>
      </c>
      <c r="BA31" s="37" t="s">
        <v>11</v>
      </c>
      <c r="BB31" s="43" t="s">
        <v>11</v>
      </c>
      <c r="BC31" s="36" t="s">
        <v>11</v>
      </c>
      <c r="BD31" s="36" t="s">
        <v>11</v>
      </c>
      <c r="BE31" s="36" t="s">
        <v>11</v>
      </c>
      <c r="BF31" s="37" t="s">
        <v>11</v>
      </c>
      <c r="BG31" s="43" t="s">
        <v>11</v>
      </c>
      <c r="BH31" s="36" t="s">
        <v>11</v>
      </c>
      <c r="BI31" s="36">
        <v>0.22</v>
      </c>
      <c r="BJ31" s="36">
        <v>0.23300000000000001</v>
      </c>
      <c r="BK31" s="37">
        <v>0.23300000000000001</v>
      </c>
      <c r="BL31" s="43">
        <v>0.216</v>
      </c>
      <c r="BM31" s="37" t="s">
        <v>11</v>
      </c>
      <c r="BN31" s="166">
        <f t="shared" ref="BN31:BN33" si="18">IFERROR(AVERAGE(D31:BM33),0)</f>
        <v>0.22291666666666668</v>
      </c>
      <c r="BO31" s="166">
        <f t="shared" ref="BO31:BO33" si="19">MIN(D31:BM33)</f>
        <v>0.21299999999999999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65">
        <v>8.3000000000000004E-2</v>
      </c>
      <c r="B32" s="7" t="s">
        <v>12</v>
      </c>
      <c r="C32" s="11" t="s">
        <v>8</v>
      </c>
      <c r="D32" s="41" t="s">
        <v>11</v>
      </c>
      <c r="E32" s="22">
        <v>0.222</v>
      </c>
      <c r="F32" s="22">
        <v>0.22800000000000001</v>
      </c>
      <c r="G32" s="22">
        <v>0.22</v>
      </c>
      <c r="H32" s="42">
        <v>0.217</v>
      </c>
      <c r="I32" s="45" t="s">
        <v>11</v>
      </c>
      <c r="J32" s="22" t="s">
        <v>11</v>
      </c>
      <c r="K32" s="22" t="s">
        <v>11</v>
      </c>
      <c r="L32" s="22" t="s">
        <v>11</v>
      </c>
      <c r="M32" s="42" t="s">
        <v>11</v>
      </c>
      <c r="N32" s="45" t="s">
        <v>11</v>
      </c>
      <c r="O32" s="22" t="s">
        <v>11</v>
      </c>
      <c r="P32" s="22" t="s">
        <v>11</v>
      </c>
      <c r="Q32" s="22" t="s">
        <v>11</v>
      </c>
      <c r="R32" s="42" t="s">
        <v>11</v>
      </c>
      <c r="S32" s="45" t="s">
        <v>11</v>
      </c>
      <c r="T32" s="22" t="s">
        <v>11</v>
      </c>
      <c r="U32" s="22" t="s">
        <v>11</v>
      </c>
      <c r="V32" s="22" t="s">
        <v>11</v>
      </c>
      <c r="W32" s="42" t="s">
        <v>11</v>
      </c>
      <c r="X32" s="45" t="s">
        <v>11</v>
      </c>
      <c r="Y32" s="22" t="s">
        <v>11</v>
      </c>
      <c r="Z32" s="22" t="s">
        <v>11</v>
      </c>
      <c r="AA32" s="22" t="s">
        <v>11</v>
      </c>
      <c r="AB32" s="42" t="s">
        <v>11</v>
      </c>
      <c r="AC32" s="45" t="s">
        <v>11</v>
      </c>
      <c r="AD32" s="22" t="s">
        <v>11</v>
      </c>
      <c r="AE32" s="22" t="s">
        <v>11</v>
      </c>
      <c r="AF32" s="22" t="s">
        <v>11</v>
      </c>
      <c r="AG32" s="42" t="s">
        <v>11</v>
      </c>
      <c r="AH32" s="45" t="s">
        <v>11</v>
      </c>
      <c r="AI32" s="22" t="s">
        <v>11</v>
      </c>
      <c r="AJ32" s="22" t="s">
        <v>11</v>
      </c>
      <c r="AK32" s="22" t="s">
        <v>11</v>
      </c>
      <c r="AL32" s="42" t="s">
        <v>11</v>
      </c>
      <c r="AM32" s="45" t="s">
        <v>11</v>
      </c>
      <c r="AN32" s="22" t="s">
        <v>11</v>
      </c>
      <c r="AO32" s="22" t="s">
        <v>11</v>
      </c>
      <c r="AP32" s="22" t="s">
        <v>11</v>
      </c>
      <c r="AQ32" s="42" t="s">
        <v>11</v>
      </c>
      <c r="AR32" s="45" t="s">
        <v>11</v>
      </c>
      <c r="AS32" s="22" t="s">
        <v>11</v>
      </c>
      <c r="AT32" s="22" t="s">
        <v>11</v>
      </c>
      <c r="AU32" s="22" t="s">
        <v>11</v>
      </c>
      <c r="AV32" s="42" t="s">
        <v>11</v>
      </c>
      <c r="AW32" s="45" t="s">
        <v>11</v>
      </c>
      <c r="AX32" s="22" t="s">
        <v>11</v>
      </c>
      <c r="AY32" s="22" t="s">
        <v>11</v>
      </c>
      <c r="AZ32" s="22" t="s">
        <v>11</v>
      </c>
      <c r="BA32" s="42" t="s">
        <v>11</v>
      </c>
      <c r="BB32" s="45" t="s">
        <v>11</v>
      </c>
      <c r="BC32" s="22" t="s">
        <v>11</v>
      </c>
      <c r="BD32" s="22" t="s">
        <v>11</v>
      </c>
      <c r="BE32" s="22" t="s">
        <v>11</v>
      </c>
      <c r="BF32" s="42" t="s">
        <v>11</v>
      </c>
      <c r="BG32" s="45" t="s">
        <v>11</v>
      </c>
      <c r="BH32" s="22" t="s">
        <v>11</v>
      </c>
      <c r="BI32" s="22">
        <v>0.221</v>
      </c>
      <c r="BJ32" s="22">
        <v>0.22600000000000001</v>
      </c>
      <c r="BK32" s="42">
        <v>0.22900000000000001</v>
      </c>
      <c r="BL32" s="45">
        <v>0.21299999999999999</v>
      </c>
      <c r="BM32" s="42" t="s">
        <v>11</v>
      </c>
      <c r="BN32" s="167">
        <f t="shared" si="18"/>
        <v>0.21337179487179489</v>
      </c>
      <c r="BO32" s="167">
        <f t="shared" si="19"/>
        <v>0.183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65"/>
      <c r="B33" s="8" t="s">
        <v>25</v>
      </c>
      <c r="C33" s="12" t="s">
        <v>14</v>
      </c>
      <c r="D33" s="38" t="s">
        <v>11</v>
      </c>
      <c r="E33" s="39">
        <v>0.221</v>
      </c>
      <c r="F33" s="39">
        <v>0.22800000000000001</v>
      </c>
      <c r="G33" s="39">
        <v>0.23300000000000001</v>
      </c>
      <c r="H33" s="40">
        <v>0.217</v>
      </c>
      <c r="I33" s="44" t="s">
        <v>11</v>
      </c>
      <c r="J33" s="39" t="s">
        <v>11</v>
      </c>
      <c r="K33" s="39" t="s">
        <v>11</v>
      </c>
      <c r="L33" s="39" t="s">
        <v>11</v>
      </c>
      <c r="M33" s="40" t="s">
        <v>11</v>
      </c>
      <c r="N33" s="44" t="s">
        <v>11</v>
      </c>
      <c r="O33" s="39" t="s">
        <v>11</v>
      </c>
      <c r="P33" s="39" t="s">
        <v>11</v>
      </c>
      <c r="Q33" s="39" t="s">
        <v>11</v>
      </c>
      <c r="R33" s="40" t="s">
        <v>11</v>
      </c>
      <c r="S33" s="44" t="s">
        <v>11</v>
      </c>
      <c r="T33" s="39" t="s">
        <v>11</v>
      </c>
      <c r="U33" s="39" t="s">
        <v>11</v>
      </c>
      <c r="V33" s="39" t="s">
        <v>11</v>
      </c>
      <c r="W33" s="40" t="s">
        <v>11</v>
      </c>
      <c r="X33" s="44" t="s">
        <v>11</v>
      </c>
      <c r="Y33" s="39" t="s">
        <v>11</v>
      </c>
      <c r="Z33" s="39" t="s">
        <v>11</v>
      </c>
      <c r="AA33" s="39" t="s">
        <v>11</v>
      </c>
      <c r="AB33" s="40" t="s">
        <v>11</v>
      </c>
      <c r="AC33" s="44" t="s">
        <v>11</v>
      </c>
      <c r="AD33" s="39" t="s">
        <v>11</v>
      </c>
      <c r="AE33" s="39" t="s">
        <v>11</v>
      </c>
      <c r="AF33" s="39" t="s">
        <v>11</v>
      </c>
      <c r="AG33" s="40" t="s">
        <v>11</v>
      </c>
      <c r="AH33" s="44" t="s">
        <v>11</v>
      </c>
      <c r="AI33" s="39" t="s">
        <v>11</v>
      </c>
      <c r="AJ33" s="39" t="s">
        <v>11</v>
      </c>
      <c r="AK33" s="39" t="s">
        <v>11</v>
      </c>
      <c r="AL33" s="40" t="s">
        <v>11</v>
      </c>
      <c r="AM33" s="44" t="s">
        <v>11</v>
      </c>
      <c r="AN33" s="39" t="s">
        <v>11</v>
      </c>
      <c r="AO33" s="39" t="s">
        <v>11</v>
      </c>
      <c r="AP33" s="39" t="s">
        <v>11</v>
      </c>
      <c r="AQ33" s="40" t="s">
        <v>11</v>
      </c>
      <c r="AR33" s="44" t="s">
        <v>11</v>
      </c>
      <c r="AS33" s="39" t="s">
        <v>11</v>
      </c>
      <c r="AT33" s="39" t="s">
        <v>11</v>
      </c>
      <c r="AU33" s="39" t="s">
        <v>11</v>
      </c>
      <c r="AV33" s="40" t="s">
        <v>11</v>
      </c>
      <c r="AW33" s="44" t="s">
        <v>11</v>
      </c>
      <c r="AX33" s="39" t="s">
        <v>11</v>
      </c>
      <c r="AY33" s="39" t="s">
        <v>11</v>
      </c>
      <c r="AZ33" s="39" t="s">
        <v>11</v>
      </c>
      <c r="BA33" s="40" t="s">
        <v>11</v>
      </c>
      <c r="BB33" s="44" t="s">
        <v>11</v>
      </c>
      <c r="BC33" s="39" t="s">
        <v>11</v>
      </c>
      <c r="BD33" s="39" t="s">
        <v>11</v>
      </c>
      <c r="BE33" s="39" t="s">
        <v>11</v>
      </c>
      <c r="BF33" s="40" t="s">
        <v>11</v>
      </c>
      <c r="BG33" s="44" t="s">
        <v>11</v>
      </c>
      <c r="BH33" s="39" t="s">
        <v>11</v>
      </c>
      <c r="BI33" s="39">
        <v>0.223</v>
      </c>
      <c r="BJ33" s="39">
        <v>0.22600000000000001</v>
      </c>
      <c r="BK33" s="40">
        <v>0.22</v>
      </c>
      <c r="BL33" s="44">
        <v>0.214</v>
      </c>
      <c r="BM33" s="40" t="s">
        <v>11</v>
      </c>
      <c r="BN33" s="168">
        <f t="shared" si="18"/>
        <v>0.21134848484848484</v>
      </c>
      <c r="BO33" s="168">
        <f t="shared" si="19"/>
        <v>0.183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19</v>
      </c>
      <c r="B34" s="6"/>
      <c r="C34" s="11" t="s">
        <v>10</v>
      </c>
      <c r="D34" s="35">
        <v>0.20899999999999999</v>
      </c>
      <c r="E34" s="36">
        <v>0.22</v>
      </c>
      <c r="F34" s="36">
        <v>0.224</v>
      </c>
      <c r="G34" s="36">
        <v>0.22600000000000001</v>
      </c>
      <c r="H34" s="37">
        <v>0.219</v>
      </c>
      <c r="I34" s="43">
        <v>0.21199999999999999</v>
      </c>
      <c r="J34" s="36">
        <v>0.224</v>
      </c>
      <c r="K34" s="36">
        <v>0.20499999999999999</v>
      </c>
      <c r="L34" s="36">
        <v>0.216</v>
      </c>
      <c r="M34" s="37">
        <v>0.20899999999999999</v>
      </c>
      <c r="N34" s="43">
        <v>0.19800000000000001</v>
      </c>
      <c r="O34" s="36">
        <v>0.19</v>
      </c>
      <c r="P34" s="36">
        <v>0.19400000000000001</v>
      </c>
      <c r="Q34" s="36">
        <v>0.192</v>
      </c>
      <c r="R34" s="37">
        <v>0.19400000000000001</v>
      </c>
      <c r="S34" s="43">
        <v>0.19900000000000001</v>
      </c>
      <c r="T34" s="36">
        <v>0.183</v>
      </c>
      <c r="U34" s="36">
        <v>0.21</v>
      </c>
      <c r="V34" s="36">
        <v>0.19600000000000001</v>
      </c>
      <c r="W34" s="37">
        <v>0.20699999999999999</v>
      </c>
      <c r="X34" s="43">
        <v>0.20499999999999999</v>
      </c>
      <c r="Y34" s="36">
        <v>0.214</v>
      </c>
      <c r="Z34" s="36">
        <v>0.21299999999999999</v>
      </c>
      <c r="AA34" s="36">
        <v>0.218</v>
      </c>
      <c r="AB34" s="37">
        <v>0.216</v>
      </c>
      <c r="AC34" s="43">
        <v>0.223</v>
      </c>
      <c r="AD34" s="36">
        <v>0.22500000000000001</v>
      </c>
      <c r="AE34" s="36">
        <v>0.218</v>
      </c>
      <c r="AF34" s="36">
        <v>0.218</v>
      </c>
      <c r="AG34" s="37">
        <v>0.217</v>
      </c>
      <c r="AH34" s="43">
        <v>0.22700000000000001</v>
      </c>
      <c r="AI34" s="36">
        <v>0.22</v>
      </c>
      <c r="AJ34" s="36">
        <v>0.215</v>
      </c>
      <c r="AK34" s="36">
        <v>0.223</v>
      </c>
      <c r="AL34" s="37">
        <v>0.21199999999999999</v>
      </c>
      <c r="AM34" s="43">
        <v>0.20599999999999999</v>
      </c>
      <c r="AN34" s="36">
        <v>0.20799999999999999</v>
      </c>
      <c r="AO34" s="36">
        <v>0.21</v>
      </c>
      <c r="AP34" s="36">
        <v>0.214</v>
      </c>
      <c r="AQ34" s="37">
        <v>0.214</v>
      </c>
      <c r="AR34" s="43">
        <v>0.20899999999999999</v>
      </c>
      <c r="AS34" s="36">
        <v>0.216</v>
      </c>
      <c r="AT34" s="36">
        <v>0.19700000000000001</v>
      </c>
      <c r="AU34" s="36">
        <v>0.19500000000000001</v>
      </c>
      <c r="AV34" s="37">
        <v>0.217</v>
      </c>
      <c r="AW34" s="43">
        <v>0.21099999999999999</v>
      </c>
      <c r="AX34" s="36">
        <v>0.218</v>
      </c>
      <c r="AY34" s="36">
        <v>0.219</v>
      </c>
      <c r="AZ34" s="36">
        <v>0.20399999999999999</v>
      </c>
      <c r="BA34" s="37">
        <v>0.19700000000000001</v>
      </c>
      <c r="BB34" s="43">
        <v>0.20399999999999999</v>
      </c>
      <c r="BC34" s="36">
        <v>0.218</v>
      </c>
      <c r="BD34" s="36">
        <v>0.20899999999999999</v>
      </c>
      <c r="BE34" s="36">
        <v>0.20699999999999999</v>
      </c>
      <c r="BF34" s="37">
        <v>0.20799999999999999</v>
      </c>
      <c r="BG34" s="43">
        <v>0.221</v>
      </c>
      <c r="BH34" s="36">
        <v>0.20799999999999999</v>
      </c>
      <c r="BI34" s="36">
        <v>0.215</v>
      </c>
      <c r="BJ34" s="36">
        <v>0.216</v>
      </c>
      <c r="BK34" s="37">
        <v>0.22</v>
      </c>
      <c r="BL34" s="43">
        <v>0.219</v>
      </c>
      <c r="BM34" s="37">
        <v>0.214</v>
      </c>
      <c r="BN34" s="166">
        <f t="shared" ref="BN34:BN36" si="20">IFERROR(AVERAGE(D34:BM36),0)</f>
        <v>0.21138709677419382</v>
      </c>
      <c r="BO34" s="166">
        <f t="shared" ref="BO34:BO36" si="21">MIN(D34:BM36)</f>
        <v>0.183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65">
        <v>8.3000000000000004E-2</v>
      </c>
      <c r="B35" s="7" t="s">
        <v>27</v>
      </c>
      <c r="C35" s="11" t="s">
        <v>8</v>
      </c>
      <c r="D35" s="41">
        <v>0.21199999999999999</v>
      </c>
      <c r="E35" s="22">
        <v>0.21099999999999999</v>
      </c>
      <c r="F35" s="22">
        <v>0.22600000000000001</v>
      </c>
      <c r="G35" s="22">
        <v>0.222</v>
      </c>
      <c r="H35" s="42">
        <v>0.21299999999999999</v>
      </c>
      <c r="I35" s="45">
        <v>0.214</v>
      </c>
      <c r="J35" s="22">
        <v>0.20599999999999999</v>
      </c>
      <c r="K35" s="22">
        <v>0.20300000000000001</v>
      </c>
      <c r="L35" s="22">
        <v>0.20899999999999999</v>
      </c>
      <c r="M35" s="42">
        <v>0.193</v>
      </c>
      <c r="N35" s="45">
        <v>0.20699999999999999</v>
      </c>
      <c r="O35" s="22">
        <v>0.19700000000000001</v>
      </c>
      <c r="P35" s="22">
        <v>0.19800000000000001</v>
      </c>
      <c r="Q35" s="22">
        <v>0.2</v>
      </c>
      <c r="R35" s="42">
        <v>0.19900000000000001</v>
      </c>
      <c r="S35" s="45">
        <v>0.20200000000000001</v>
      </c>
      <c r="T35" s="22">
        <v>0.19</v>
      </c>
      <c r="U35" s="22">
        <v>0.21</v>
      </c>
      <c r="V35" s="22">
        <v>0.20200000000000001</v>
      </c>
      <c r="W35" s="42">
        <v>0.20300000000000001</v>
      </c>
      <c r="X35" s="45">
        <v>0.21099999999999999</v>
      </c>
      <c r="Y35" s="22">
        <v>0.214</v>
      </c>
      <c r="Z35" s="22">
        <v>0.218</v>
      </c>
      <c r="AA35" s="22">
        <v>0.21299999999999999</v>
      </c>
      <c r="AB35" s="42">
        <v>0.215</v>
      </c>
      <c r="AC35" s="45">
        <v>0.22500000000000001</v>
      </c>
      <c r="AD35" s="22">
        <v>0.218</v>
      </c>
      <c r="AE35" s="22">
        <v>0.22</v>
      </c>
      <c r="AF35" s="22">
        <v>0.214</v>
      </c>
      <c r="AG35" s="42">
        <v>0.21</v>
      </c>
      <c r="AH35" s="45">
        <v>0.22600000000000001</v>
      </c>
      <c r="AI35" s="22">
        <v>0.218</v>
      </c>
      <c r="AJ35" s="22">
        <v>0.214</v>
      </c>
      <c r="AK35" s="22">
        <v>0.221</v>
      </c>
      <c r="AL35" s="42">
        <v>0.20899999999999999</v>
      </c>
      <c r="AM35" s="45">
        <v>0.20799999999999999</v>
      </c>
      <c r="AN35" s="22">
        <v>0.20300000000000001</v>
      </c>
      <c r="AO35" s="22">
        <v>0.218</v>
      </c>
      <c r="AP35" s="22">
        <v>0.20899999999999999</v>
      </c>
      <c r="AQ35" s="42">
        <v>0.216</v>
      </c>
      <c r="AR35" s="45">
        <v>0.20899999999999999</v>
      </c>
      <c r="AS35" s="22">
        <v>0.20799999999999999</v>
      </c>
      <c r="AT35" s="22">
        <v>0.20699999999999999</v>
      </c>
      <c r="AU35" s="22">
        <v>0.20100000000000001</v>
      </c>
      <c r="AV35" s="42">
        <v>0.193</v>
      </c>
      <c r="AW35" s="45">
        <v>0.21199999999999999</v>
      </c>
      <c r="AX35" s="22">
        <v>0.20599999999999999</v>
      </c>
      <c r="AY35" s="22">
        <v>0.20499999999999999</v>
      </c>
      <c r="AZ35" s="22">
        <v>0.20200000000000001</v>
      </c>
      <c r="BA35" s="42">
        <v>0.20200000000000001</v>
      </c>
      <c r="BB35" s="45">
        <v>0.20899999999999999</v>
      </c>
      <c r="BC35" s="22">
        <v>0.21099999999999999</v>
      </c>
      <c r="BD35" s="22">
        <v>0.21</v>
      </c>
      <c r="BE35" s="22">
        <v>0.20699999999999999</v>
      </c>
      <c r="BF35" s="42">
        <v>0.21299999999999999</v>
      </c>
      <c r="BG35" s="45">
        <v>0.21199999999999999</v>
      </c>
      <c r="BH35" s="22">
        <v>0.217</v>
      </c>
      <c r="BI35" s="22">
        <v>0.223</v>
      </c>
      <c r="BJ35" s="22">
        <v>0.214</v>
      </c>
      <c r="BK35" s="42">
        <v>0.214</v>
      </c>
      <c r="BL35" s="45">
        <v>0.216</v>
      </c>
      <c r="BM35" s="42">
        <v>0.223</v>
      </c>
      <c r="BN35" s="167">
        <f t="shared" si="20"/>
        <v>0.21376373626373635</v>
      </c>
      <c r="BO35" s="167">
        <f t="shared" si="21"/>
        <v>0.187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65"/>
      <c r="B36" s="8"/>
      <c r="C36" s="12" t="s">
        <v>14</v>
      </c>
      <c r="D36" s="38">
        <v>0.216</v>
      </c>
      <c r="E36" s="39">
        <v>0.216</v>
      </c>
      <c r="F36" s="39">
        <v>0.22600000000000001</v>
      </c>
      <c r="G36" s="39">
        <v>0.22</v>
      </c>
      <c r="H36" s="40">
        <v>0.21199999999999999</v>
      </c>
      <c r="I36" s="44">
        <v>0.20899999999999999</v>
      </c>
      <c r="J36" s="39">
        <v>0.20899999999999999</v>
      </c>
      <c r="K36" s="39">
        <v>0.21299999999999999</v>
      </c>
      <c r="L36" s="39">
        <v>0.191</v>
      </c>
      <c r="M36" s="40">
        <v>0.19800000000000001</v>
      </c>
      <c r="N36" s="44">
        <v>0.20200000000000001</v>
      </c>
      <c r="O36" s="39">
        <v>0.187</v>
      </c>
      <c r="P36" s="39">
        <v>0.192</v>
      </c>
      <c r="Q36" s="39">
        <v>0.2</v>
      </c>
      <c r="R36" s="40">
        <v>0.191</v>
      </c>
      <c r="S36" s="44">
        <v>0.20399999999999999</v>
      </c>
      <c r="T36" s="39">
        <v>0.189</v>
      </c>
      <c r="U36" s="39">
        <v>0.19900000000000001</v>
      </c>
      <c r="V36" s="39">
        <v>0.19700000000000001</v>
      </c>
      <c r="W36" s="40">
        <v>0.219</v>
      </c>
      <c r="X36" s="44">
        <v>0.219</v>
      </c>
      <c r="Y36" s="39">
        <v>0.21199999999999999</v>
      </c>
      <c r="Z36" s="39">
        <v>0.218</v>
      </c>
      <c r="AA36" s="39">
        <v>0.20899999999999999</v>
      </c>
      <c r="AB36" s="40">
        <v>0.217</v>
      </c>
      <c r="AC36" s="44">
        <v>0.219</v>
      </c>
      <c r="AD36" s="39">
        <v>0.216</v>
      </c>
      <c r="AE36" s="39">
        <v>0.214</v>
      </c>
      <c r="AF36" s="39">
        <v>0.217</v>
      </c>
      <c r="AG36" s="40">
        <v>0.218</v>
      </c>
      <c r="AH36" s="44">
        <v>0.224</v>
      </c>
      <c r="AI36" s="39">
        <v>0.22900000000000001</v>
      </c>
      <c r="AJ36" s="39">
        <v>0.218</v>
      </c>
      <c r="AK36" s="39">
        <v>0.222</v>
      </c>
      <c r="AL36" s="40">
        <v>0.218</v>
      </c>
      <c r="AM36" s="44">
        <v>0.217</v>
      </c>
      <c r="AN36" s="39">
        <v>0.218</v>
      </c>
      <c r="AO36" s="39">
        <v>0.20499999999999999</v>
      </c>
      <c r="AP36" s="39">
        <v>0.215</v>
      </c>
      <c r="AQ36" s="40">
        <v>0.222</v>
      </c>
      <c r="AR36" s="44">
        <v>0.21299999999999999</v>
      </c>
      <c r="AS36" s="39">
        <v>0.21199999999999999</v>
      </c>
      <c r="AT36" s="39">
        <v>0.215</v>
      </c>
      <c r="AU36" s="39">
        <v>0.20899999999999999</v>
      </c>
      <c r="AV36" s="40">
        <v>0.20399999999999999</v>
      </c>
      <c r="AW36" s="44">
        <v>0.216</v>
      </c>
      <c r="AX36" s="39">
        <v>0.21199999999999999</v>
      </c>
      <c r="AY36" s="39">
        <v>0.217</v>
      </c>
      <c r="AZ36" s="39">
        <v>0.219</v>
      </c>
      <c r="BA36" s="40">
        <v>0.218</v>
      </c>
      <c r="BB36" s="44">
        <v>0.218</v>
      </c>
      <c r="BC36" s="39">
        <v>0.218</v>
      </c>
      <c r="BD36" s="39">
        <v>0.218</v>
      </c>
      <c r="BE36" s="39">
        <v>0.21199999999999999</v>
      </c>
      <c r="BF36" s="40">
        <v>0.218</v>
      </c>
      <c r="BG36" s="44">
        <v>0.219</v>
      </c>
      <c r="BH36" s="39">
        <v>0.217</v>
      </c>
      <c r="BI36" s="39">
        <v>0.22600000000000001</v>
      </c>
      <c r="BJ36" s="39">
        <v>0.219</v>
      </c>
      <c r="BK36" s="40">
        <v>0.217</v>
      </c>
      <c r="BL36" s="44">
        <v>0.22500000000000001</v>
      </c>
      <c r="BM36" s="40">
        <v>0.223</v>
      </c>
      <c r="BN36" s="168">
        <f t="shared" si="20"/>
        <v>0.21622727272727282</v>
      </c>
      <c r="BO36" s="168">
        <f t="shared" si="21"/>
        <v>0.187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19</v>
      </c>
      <c r="B37" s="6"/>
      <c r="C37" s="11" t="s">
        <v>10</v>
      </c>
      <c r="D37" s="35">
        <v>0.22600000000000001</v>
      </c>
      <c r="E37" s="36">
        <v>0.217</v>
      </c>
      <c r="F37" s="36">
        <v>0.24299999999999999</v>
      </c>
      <c r="G37" s="36">
        <v>0.22800000000000001</v>
      </c>
      <c r="H37" s="37">
        <v>0.223</v>
      </c>
      <c r="I37" s="43">
        <v>0.215</v>
      </c>
      <c r="J37" s="36">
        <v>0.216</v>
      </c>
      <c r="K37" s="36">
        <v>0.216</v>
      </c>
      <c r="L37" s="36">
        <v>0.20799999999999999</v>
      </c>
      <c r="M37" s="37">
        <v>0.20699999999999999</v>
      </c>
      <c r="N37" s="43">
        <v>0.21299999999999999</v>
      </c>
      <c r="O37" s="36">
        <v>0.20200000000000001</v>
      </c>
      <c r="P37" s="36" t="s">
        <v>20</v>
      </c>
      <c r="Q37" s="36">
        <v>0.189</v>
      </c>
      <c r="R37" s="37">
        <v>0.21</v>
      </c>
      <c r="S37" s="43">
        <v>0.214</v>
      </c>
      <c r="T37" s="36">
        <v>0.20699999999999999</v>
      </c>
      <c r="U37" s="36">
        <v>0.22600000000000001</v>
      </c>
      <c r="V37" s="36">
        <v>0.22500000000000001</v>
      </c>
      <c r="W37" s="37">
        <v>0.216</v>
      </c>
      <c r="X37" s="43">
        <v>0.22800000000000001</v>
      </c>
      <c r="Y37" s="36">
        <v>0.216</v>
      </c>
      <c r="Z37" s="36">
        <v>0.24199999999999999</v>
      </c>
      <c r="AA37" s="36">
        <v>0.22500000000000001</v>
      </c>
      <c r="AB37" s="37">
        <v>0.22700000000000001</v>
      </c>
      <c r="AC37" s="43">
        <v>0.22500000000000001</v>
      </c>
      <c r="AD37" s="36">
        <v>0.23300000000000001</v>
      </c>
      <c r="AE37" s="36">
        <v>0.23100000000000001</v>
      </c>
      <c r="AF37" s="36">
        <v>0.218</v>
      </c>
      <c r="AG37" s="37" t="s">
        <v>20</v>
      </c>
      <c r="AH37" s="43" t="s">
        <v>20</v>
      </c>
      <c r="AI37" s="36">
        <v>0.23799999999999999</v>
      </c>
      <c r="AJ37" s="36">
        <v>0.221</v>
      </c>
      <c r="AK37" s="36">
        <v>0.23100000000000001</v>
      </c>
      <c r="AL37" s="37">
        <v>0.215</v>
      </c>
      <c r="AM37" s="43">
        <v>0.22</v>
      </c>
      <c r="AN37" s="36">
        <v>0.21099999999999999</v>
      </c>
      <c r="AO37" s="36">
        <v>0.20300000000000001</v>
      </c>
      <c r="AP37" s="36">
        <v>0.20799999999999999</v>
      </c>
      <c r="AQ37" s="37">
        <v>0.219</v>
      </c>
      <c r="AR37" s="43">
        <v>0.20699999999999999</v>
      </c>
      <c r="AS37" s="36">
        <v>0.2</v>
      </c>
      <c r="AT37" s="36">
        <v>0.214</v>
      </c>
      <c r="AU37" s="36">
        <v>0.217</v>
      </c>
      <c r="AV37" s="37">
        <v>0.219</v>
      </c>
      <c r="AW37" s="43">
        <v>0.219</v>
      </c>
      <c r="AX37" s="36">
        <v>0.21099999999999999</v>
      </c>
      <c r="AY37" s="36">
        <v>0.224</v>
      </c>
      <c r="AZ37" s="36">
        <v>0.214</v>
      </c>
      <c r="BA37" s="37">
        <v>0.22500000000000001</v>
      </c>
      <c r="BB37" s="43">
        <v>0.222</v>
      </c>
      <c r="BC37" s="36">
        <v>0.21099999999999999</v>
      </c>
      <c r="BD37" s="36">
        <v>0.21</v>
      </c>
      <c r="BE37" s="36" t="s">
        <v>20</v>
      </c>
      <c r="BF37" s="37">
        <v>0.215</v>
      </c>
      <c r="BG37" s="43">
        <v>0.218</v>
      </c>
      <c r="BH37" s="36">
        <v>0.20899999999999999</v>
      </c>
      <c r="BI37" s="36">
        <v>0.221</v>
      </c>
      <c r="BJ37" s="36">
        <v>0.217</v>
      </c>
      <c r="BK37" s="37">
        <v>0.22800000000000001</v>
      </c>
      <c r="BL37" s="43">
        <v>0.23</v>
      </c>
      <c r="BM37" s="37">
        <v>0.22900000000000001</v>
      </c>
      <c r="BN37" s="166">
        <f t="shared" ref="BN37:BN39" si="22">IFERROR(AVERAGE(D37:BM39),0)</f>
        <v>0.2180935672514619</v>
      </c>
      <c r="BO37" s="166">
        <f t="shared" ref="BO37:BO39" si="23">MIN(D37:BM39)</f>
        <v>0.189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65">
        <v>8.3000000000000004E-2</v>
      </c>
      <c r="B38" s="7" t="s">
        <v>28</v>
      </c>
      <c r="C38" s="11" t="s">
        <v>8</v>
      </c>
      <c r="D38" s="41">
        <v>0.22</v>
      </c>
      <c r="E38" s="22" t="s">
        <v>20</v>
      </c>
      <c r="F38" s="22">
        <v>0.23400000000000001</v>
      </c>
      <c r="G38" s="22">
        <v>0.23300000000000001</v>
      </c>
      <c r="H38" s="42">
        <v>0.22800000000000001</v>
      </c>
      <c r="I38" s="45">
        <v>0.215</v>
      </c>
      <c r="J38" s="22">
        <v>0.20799999999999999</v>
      </c>
      <c r="K38" s="22">
        <v>0.20399999999999999</v>
      </c>
      <c r="L38" s="22">
        <v>0.218</v>
      </c>
      <c r="M38" s="42">
        <v>0.20399999999999999</v>
      </c>
      <c r="N38" s="45">
        <v>0.21</v>
      </c>
      <c r="O38" s="22">
        <v>0.20200000000000001</v>
      </c>
      <c r="P38" s="22" t="s">
        <v>20</v>
      </c>
      <c r="Q38" s="22">
        <v>0.20399999999999999</v>
      </c>
      <c r="R38" s="42">
        <v>0.20300000000000001</v>
      </c>
      <c r="S38" s="45">
        <v>0.218</v>
      </c>
      <c r="T38" s="22">
        <v>0.20599999999999999</v>
      </c>
      <c r="U38" s="22">
        <v>0.224</v>
      </c>
      <c r="V38" s="22">
        <v>0.222</v>
      </c>
      <c r="W38" s="42">
        <v>0.21199999999999999</v>
      </c>
      <c r="X38" s="45">
        <v>0.214</v>
      </c>
      <c r="Y38" s="22">
        <v>0.219</v>
      </c>
      <c r="Z38" s="22">
        <v>0.218</v>
      </c>
      <c r="AA38" s="22">
        <v>0.221</v>
      </c>
      <c r="AB38" s="42">
        <v>0.218</v>
      </c>
      <c r="AC38" s="45">
        <v>0.22</v>
      </c>
      <c r="AD38" s="22">
        <v>0.221</v>
      </c>
      <c r="AE38" s="22">
        <v>0.22600000000000001</v>
      </c>
      <c r="AF38" s="22">
        <v>0.23599999999999999</v>
      </c>
      <c r="AG38" s="42" t="s">
        <v>20</v>
      </c>
      <c r="AH38" s="45" t="s">
        <v>20</v>
      </c>
      <c r="AI38" s="22">
        <v>0.24199999999999999</v>
      </c>
      <c r="AJ38" s="22">
        <v>0.23200000000000001</v>
      </c>
      <c r="AK38" s="22">
        <v>0.24</v>
      </c>
      <c r="AL38" s="42">
        <v>0.23699999999999999</v>
      </c>
      <c r="AM38" s="45">
        <v>0.20599999999999999</v>
      </c>
      <c r="AN38" s="22">
        <v>0.21099999999999999</v>
      </c>
      <c r="AO38" s="22">
        <v>0.20899999999999999</v>
      </c>
      <c r="AP38" s="22" t="s">
        <v>20</v>
      </c>
      <c r="AQ38" s="42">
        <v>0.20100000000000001</v>
      </c>
      <c r="AR38" s="45">
        <v>0.23599999999999999</v>
      </c>
      <c r="AS38" s="22">
        <v>0.20699999999999999</v>
      </c>
      <c r="AT38" s="22">
        <v>0.22600000000000001</v>
      </c>
      <c r="AU38" s="22">
        <v>0.20599999999999999</v>
      </c>
      <c r="AV38" s="42">
        <v>0.2</v>
      </c>
      <c r="AW38" s="45">
        <v>0.20200000000000001</v>
      </c>
      <c r="AX38" s="22">
        <v>0.20699999999999999</v>
      </c>
      <c r="AY38" s="22">
        <v>0.221</v>
      </c>
      <c r="AZ38" s="22">
        <v>0.21299999999999999</v>
      </c>
      <c r="BA38" s="42">
        <v>0.219</v>
      </c>
      <c r="BB38" s="45">
        <v>0.221</v>
      </c>
      <c r="BC38" s="22">
        <v>0.20899999999999999</v>
      </c>
      <c r="BD38" s="22">
        <v>0.215</v>
      </c>
      <c r="BE38" s="22" t="s">
        <v>20</v>
      </c>
      <c r="BF38" s="42">
        <v>0.217</v>
      </c>
      <c r="BG38" s="45">
        <v>0.217</v>
      </c>
      <c r="BH38" s="22">
        <v>0.223</v>
      </c>
      <c r="BI38" s="22">
        <v>0.22800000000000001</v>
      </c>
      <c r="BJ38" s="22">
        <v>0.221</v>
      </c>
      <c r="BK38" s="42">
        <v>0.22</v>
      </c>
      <c r="BL38" s="45">
        <v>0.21299999999999999</v>
      </c>
      <c r="BM38" s="42">
        <v>0.22500000000000001</v>
      </c>
      <c r="BN38" s="167">
        <f t="shared" si="22"/>
        <v>0.21828571428571428</v>
      </c>
      <c r="BO38" s="167">
        <f t="shared" si="23"/>
        <v>0.19900000000000001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65"/>
      <c r="B39" s="8"/>
      <c r="C39" s="12" t="s">
        <v>14</v>
      </c>
      <c r="D39" s="38">
        <v>0.22500000000000001</v>
      </c>
      <c r="E39" s="39">
        <v>0.216</v>
      </c>
      <c r="F39" s="39">
        <v>0.23599999999999999</v>
      </c>
      <c r="G39" s="39">
        <v>0.23200000000000001</v>
      </c>
      <c r="H39" s="40">
        <v>0.221</v>
      </c>
      <c r="I39" s="44">
        <v>0.22</v>
      </c>
      <c r="J39" s="39">
        <v>0.20300000000000001</v>
      </c>
      <c r="K39" s="39">
        <v>0.21</v>
      </c>
      <c r="L39" s="39">
        <v>0.21099999999999999</v>
      </c>
      <c r="M39" s="40">
        <v>0.20399999999999999</v>
      </c>
      <c r="N39" s="44">
        <v>0.214</v>
      </c>
      <c r="O39" s="39">
        <v>0.21199999999999999</v>
      </c>
      <c r="P39" s="39" t="s">
        <v>20</v>
      </c>
      <c r="Q39" s="39">
        <v>0.20799999999999999</v>
      </c>
      <c r="R39" s="40">
        <v>0.21199999999999999</v>
      </c>
      <c r="S39" s="44">
        <v>0.20499999999999999</v>
      </c>
      <c r="T39" s="39">
        <v>0.20899999999999999</v>
      </c>
      <c r="U39" s="39">
        <v>0.219</v>
      </c>
      <c r="V39" s="39">
        <v>0.224</v>
      </c>
      <c r="W39" s="40">
        <v>0.20699999999999999</v>
      </c>
      <c r="X39" s="44">
        <v>0.23</v>
      </c>
      <c r="Y39" s="39">
        <v>0.222</v>
      </c>
      <c r="Z39" s="39">
        <v>0.218</v>
      </c>
      <c r="AA39" s="39">
        <v>0.22900000000000001</v>
      </c>
      <c r="AB39" s="40">
        <v>0.223</v>
      </c>
      <c r="AC39" s="44">
        <v>0.22800000000000001</v>
      </c>
      <c r="AD39" s="39">
        <v>0.218</v>
      </c>
      <c r="AE39" s="39">
        <v>0.223</v>
      </c>
      <c r="AF39" s="39">
        <v>0.22900000000000001</v>
      </c>
      <c r="AG39" s="40" t="s">
        <v>20</v>
      </c>
      <c r="AH39" s="44">
        <v>0.23200000000000001</v>
      </c>
      <c r="AI39" s="39" t="s">
        <v>20</v>
      </c>
      <c r="AJ39" s="39">
        <v>0.22900000000000001</v>
      </c>
      <c r="AK39" s="39">
        <v>0.216</v>
      </c>
      <c r="AL39" s="40">
        <v>0.217</v>
      </c>
      <c r="AM39" s="44">
        <v>0.21199999999999999</v>
      </c>
      <c r="AN39" s="39">
        <v>0.19900000000000001</v>
      </c>
      <c r="AO39" s="39">
        <v>0.20699999999999999</v>
      </c>
      <c r="AP39" s="39" t="s">
        <v>20</v>
      </c>
      <c r="AQ39" s="40">
        <v>0.22</v>
      </c>
      <c r="AR39" s="44">
        <v>0.21199999999999999</v>
      </c>
      <c r="AS39" s="39">
        <v>0.20799999999999999</v>
      </c>
      <c r="AT39" s="39">
        <v>0.23</v>
      </c>
      <c r="AU39" s="39">
        <v>0.20799999999999999</v>
      </c>
      <c r="AV39" s="40">
        <v>0.20200000000000001</v>
      </c>
      <c r="AW39" s="44">
        <v>0.216</v>
      </c>
      <c r="AX39" s="39">
        <v>0.21299999999999999</v>
      </c>
      <c r="AY39" s="39">
        <v>0.217</v>
      </c>
      <c r="AZ39" s="39">
        <v>0.21199999999999999</v>
      </c>
      <c r="BA39" s="40">
        <v>0.219</v>
      </c>
      <c r="BB39" s="44">
        <v>0.215</v>
      </c>
      <c r="BC39" s="39">
        <v>0.21299999999999999</v>
      </c>
      <c r="BD39" s="39">
        <v>0.22500000000000001</v>
      </c>
      <c r="BE39" s="39" t="s">
        <v>20</v>
      </c>
      <c r="BF39" s="40">
        <v>0.224</v>
      </c>
      <c r="BG39" s="44">
        <v>0.223</v>
      </c>
      <c r="BH39" s="39">
        <v>0.22900000000000001</v>
      </c>
      <c r="BI39" s="39">
        <v>0.23</v>
      </c>
      <c r="BJ39" s="39">
        <v>0.23300000000000001</v>
      </c>
      <c r="BK39" s="40">
        <v>0.22700000000000001</v>
      </c>
      <c r="BL39" s="44">
        <v>0.224</v>
      </c>
      <c r="BM39" s="40">
        <v>0.22</v>
      </c>
      <c r="BN39" s="168">
        <f t="shared" si="22"/>
        <v>0.21957971014492753</v>
      </c>
      <c r="BO39" s="168">
        <f t="shared" si="23"/>
        <v>0.19900000000000001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19</v>
      </c>
      <c r="B40" s="6" t="s">
        <v>9</v>
      </c>
      <c r="C40" s="11" t="s">
        <v>10</v>
      </c>
      <c r="D40" s="35" t="s">
        <v>11</v>
      </c>
      <c r="E40" s="36" t="s">
        <v>11</v>
      </c>
      <c r="F40" s="36" t="s">
        <v>11</v>
      </c>
      <c r="G40" s="36" t="s">
        <v>11</v>
      </c>
      <c r="H40" s="37" t="s">
        <v>11</v>
      </c>
      <c r="I40" s="43" t="s">
        <v>11</v>
      </c>
      <c r="J40" s="36" t="s">
        <v>11</v>
      </c>
      <c r="K40" s="36" t="s">
        <v>11</v>
      </c>
      <c r="L40" s="36" t="s">
        <v>11</v>
      </c>
      <c r="M40" s="37" t="s">
        <v>11</v>
      </c>
      <c r="N40" s="43" t="s">
        <v>11</v>
      </c>
      <c r="O40" s="36" t="s">
        <v>11</v>
      </c>
      <c r="P40" s="36" t="s">
        <v>11</v>
      </c>
      <c r="Q40" s="36" t="s">
        <v>11</v>
      </c>
      <c r="R40" s="37" t="s">
        <v>11</v>
      </c>
      <c r="S40" s="43" t="s">
        <v>11</v>
      </c>
      <c r="T40" s="36" t="s">
        <v>11</v>
      </c>
      <c r="U40" s="36" t="s">
        <v>11</v>
      </c>
      <c r="V40" s="36" t="s">
        <v>11</v>
      </c>
      <c r="W40" s="37" t="s">
        <v>11</v>
      </c>
      <c r="X40" s="43" t="s">
        <v>11</v>
      </c>
      <c r="Y40" s="36" t="s">
        <v>11</v>
      </c>
      <c r="Z40" s="36" t="s">
        <v>11</v>
      </c>
      <c r="AA40" s="36" t="s">
        <v>11</v>
      </c>
      <c r="AB40" s="37" t="s">
        <v>11</v>
      </c>
      <c r="AC40" s="43" t="s">
        <v>11</v>
      </c>
      <c r="AD40" s="36" t="s">
        <v>11</v>
      </c>
      <c r="AE40" s="36" t="s">
        <v>11</v>
      </c>
      <c r="AF40" s="36">
        <v>0.22900000000000001</v>
      </c>
      <c r="AG40" s="37">
        <v>0.22600000000000001</v>
      </c>
      <c r="AH40" s="43">
        <v>0.22900000000000001</v>
      </c>
      <c r="AI40" s="36">
        <v>0.23</v>
      </c>
      <c r="AJ40" s="36">
        <v>0.222</v>
      </c>
      <c r="AK40" s="36">
        <v>0.218</v>
      </c>
      <c r="AL40" s="37" t="s">
        <v>11</v>
      </c>
      <c r="AM40" s="43" t="s">
        <v>11</v>
      </c>
      <c r="AN40" s="36" t="s">
        <v>11</v>
      </c>
      <c r="AO40" s="36" t="s">
        <v>11</v>
      </c>
      <c r="AP40" s="36" t="s">
        <v>11</v>
      </c>
      <c r="AQ40" s="37" t="s">
        <v>11</v>
      </c>
      <c r="AR40" s="43" t="s">
        <v>11</v>
      </c>
      <c r="AS40" s="36" t="s">
        <v>11</v>
      </c>
      <c r="AT40" s="36" t="s">
        <v>11</v>
      </c>
      <c r="AU40" s="36" t="s">
        <v>11</v>
      </c>
      <c r="AV40" s="37" t="s">
        <v>11</v>
      </c>
      <c r="AW40" s="43" t="s">
        <v>11</v>
      </c>
      <c r="AX40" s="36" t="s">
        <v>11</v>
      </c>
      <c r="AY40" s="36" t="s">
        <v>11</v>
      </c>
      <c r="AZ40" s="36" t="s">
        <v>11</v>
      </c>
      <c r="BA40" s="37" t="s">
        <v>11</v>
      </c>
      <c r="BB40" s="43" t="s">
        <v>11</v>
      </c>
      <c r="BC40" s="36" t="s">
        <v>11</v>
      </c>
      <c r="BD40" s="36" t="s">
        <v>11</v>
      </c>
      <c r="BE40" s="36" t="s">
        <v>11</v>
      </c>
      <c r="BF40" s="37" t="s">
        <v>11</v>
      </c>
      <c r="BG40" s="43" t="s">
        <v>11</v>
      </c>
      <c r="BH40" s="36" t="s">
        <v>11</v>
      </c>
      <c r="BI40" s="36" t="s">
        <v>11</v>
      </c>
      <c r="BJ40" s="36" t="s">
        <v>11</v>
      </c>
      <c r="BK40" s="37" t="s">
        <v>11</v>
      </c>
      <c r="BL40" s="43" t="s">
        <v>11</v>
      </c>
      <c r="BM40" s="37" t="s">
        <v>11</v>
      </c>
      <c r="BN40" s="166">
        <f t="shared" ref="BN40:BN42" si="24">IFERROR(AVERAGE(D40:BM42),0)</f>
        <v>0.22594444444444445</v>
      </c>
      <c r="BO40" s="166">
        <f t="shared" ref="BO40:BO42" si="25">MIN(D40:BM42)</f>
        <v>0.218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65">
        <v>8.3000000000000004E-2</v>
      </c>
      <c r="B41" s="7" t="s">
        <v>12</v>
      </c>
      <c r="C41" s="11" t="s">
        <v>8</v>
      </c>
      <c r="D41" s="41" t="s">
        <v>11</v>
      </c>
      <c r="E41" s="22" t="s">
        <v>11</v>
      </c>
      <c r="F41" s="22" t="s">
        <v>11</v>
      </c>
      <c r="G41" s="22" t="s">
        <v>11</v>
      </c>
      <c r="H41" s="42" t="s">
        <v>11</v>
      </c>
      <c r="I41" s="45" t="s">
        <v>11</v>
      </c>
      <c r="J41" s="22" t="s">
        <v>11</v>
      </c>
      <c r="K41" s="22" t="s">
        <v>11</v>
      </c>
      <c r="L41" s="22" t="s">
        <v>11</v>
      </c>
      <c r="M41" s="42" t="s">
        <v>11</v>
      </c>
      <c r="N41" s="45" t="s">
        <v>11</v>
      </c>
      <c r="O41" s="22" t="s">
        <v>11</v>
      </c>
      <c r="P41" s="22" t="s">
        <v>11</v>
      </c>
      <c r="Q41" s="22" t="s">
        <v>11</v>
      </c>
      <c r="R41" s="42" t="s">
        <v>11</v>
      </c>
      <c r="S41" s="45" t="s">
        <v>11</v>
      </c>
      <c r="T41" s="22" t="s">
        <v>11</v>
      </c>
      <c r="U41" s="22" t="s">
        <v>11</v>
      </c>
      <c r="V41" s="22" t="s">
        <v>11</v>
      </c>
      <c r="W41" s="42" t="s">
        <v>11</v>
      </c>
      <c r="X41" s="45" t="s">
        <v>11</v>
      </c>
      <c r="Y41" s="22" t="s">
        <v>11</v>
      </c>
      <c r="Z41" s="22" t="s">
        <v>11</v>
      </c>
      <c r="AA41" s="22" t="s">
        <v>11</v>
      </c>
      <c r="AB41" s="42" t="s">
        <v>11</v>
      </c>
      <c r="AC41" s="45" t="s">
        <v>11</v>
      </c>
      <c r="AD41" s="22" t="s">
        <v>11</v>
      </c>
      <c r="AE41" s="22" t="s">
        <v>11</v>
      </c>
      <c r="AF41" s="22">
        <v>0.22700000000000001</v>
      </c>
      <c r="AG41" s="42">
        <v>0.23599999999999999</v>
      </c>
      <c r="AH41" s="45">
        <v>0.23200000000000001</v>
      </c>
      <c r="AI41" s="22">
        <v>0.222</v>
      </c>
      <c r="AJ41" s="22">
        <v>0.219</v>
      </c>
      <c r="AK41" s="22">
        <v>0.221</v>
      </c>
      <c r="AL41" s="42" t="s">
        <v>11</v>
      </c>
      <c r="AM41" s="45" t="s">
        <v>11</v>
      </c>
      <c r="AN41" s="22" t="s">
        <v>11</v>
      </c>
      <c r="AO41" s="22" t="s">
        <v>11</v>
      </c>
      <c r="AP41" s="22" t="s">
        <v>11</v>
      </c>
      <c r="AQ41" s="42" t="s">
        <v>11</v>
      </c>
      <c r="AR41" s="45" t="s">
        <v>11</v>
      </c>
      <c r="AS41" s="22" t="s">
        <v>11</v>
      </c>
      <c r="AT41" s="22" t="s">
        <v>11</v>
      </c>
      <c r="AU41" s="22" t="s">
        <v>11</v>
      </c>
      <c r="AV41" s="42" t="s">
        <v>11</v>
      </c>
      <c r="AW41" s="45" t="s">
        <v>11</v>
      </c>
      <c r="AX41" s="22" t="s">
        <v>11</v>
      </c>
      <c r="AY41" s="22" t="s">
        <v>11</v>
      </c>
      <c r="AZ41" s="22" t="s">
        <v>11</v>
      </c>
      <c r="BA41" s="42" t="s">
        <v>11</v>
      </c>
      <c r="BB41" s="45" t="s">
        <v>11</v>
      </c>
      <c r="BC41" s="22" t="s">
        <v>11</v>
      </c>
      <c r="BD41" s="22" t="s">
        <v>11</v>
      </c>
      <c r="BE41" s="22" t="s">
        <v>11</v>
      </c>
      <c r="BF41" s="42" t="s">
        <v>11</v>
      </c>
      <c r="BG41" s="45" t="s">
        <v>11</v>
      </c>
      <c r="BH41" s="22" t="s">
        <v>11</v>
      </c>
      <c r="BI41" s="22" t="s">
        <v>11</v>
      </c>
      <c r="BJ41" s="22" t="s">
        <v>11</v>
      </c>
      <c r="BK41" s="42" t="s">
        <v>11</v>
      </c>
      <c r="BL41" s="45" t="s">
        <v>11</v>
      </c>
      <c r="BM41" s="42" t="s">
        <v>11</v>
      </c>
      <c r="BN41" s="167">
        <f t="shared" si="24"/>
        <v>0.22488888888888889</v>
      </c>
      <c r="BO41" s="167">
        <f t="shared" si="25"/>
        <v>0.21199999999999999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65"/>
      <c r="B42" s="8" t="s">
        <v>29</v>
      </c>
      <c r="C42" s="12" t="s">
        <v>14</v>
      </c>
      <c r="D42" s="38" t="s">
        <v>11</v>
      </c>
      <c r="E42" s="39" t="s">
        <v>11</v>
      </c>
      <c r="F42" s="39" t="s">
        <v>11</v>
      </c>
      <c r="G42" s="39" t="s">
        <v>11</v>
      </c>
      <c r="H42" s="40" t="s">
        <v>11</v>
      </c>
      <c r="I42" s="44" t="s">
        <v>11</v>
      </c>
      <c r="J42" s="39" t="s">
        <v>11</v>
      </c>
      <c r="K42" s="39" t="s">
        <v>11</v>
      </c>
      <c r="L42" s="39" t="s">
        <v>11</v>
      </c>
      <c r="M42" s="40" t="s">
        <v>11</v>
      </c>
      <c r="N42" s="44" t="s">
        <v>11</v>
      </c>
      <c r="O42" s="39" t="s">
        <v>11</v>
      </c>
      <c r="P42" s="39" t="s">
        <v>11</v>
      </c>
      <c r="Q42" s="39" t="s">
        <v>11</v>
      </c>
      <c r="R42" s="40" t="s">
        <v>11</v>
      </c>
      <c r="S42" s="44" t="s">
        <v>11</v>
      </c>
      <c r="T42" s="39" t="s">
        <v>11</v>
      </c>
      <c r="U42" s="39" t="s">
        <v>11</v>
      </c>
      <c r="V42" s="39" t="s">
        <v>11</v>
      </c>
      <c r="W42" s="40" t="s">
        <v>11</v>
      </c>
      <c r="X42" s="44" t="s">
        <v>11</v>
      </c>
      <c r="Y42" s="39" t="s">
        <v>11</v>
      </c>
      <c r="Z42" s="39" t="s">
        <v>11</v>
      </c>
      <c r="AA42" s="39" t="s">
        <v>11</v>
      </c>
      <c r="AB42" s="40" t="s">
        <v>11</v>
      </c>
      <c r="AC42" s="44" t="s">
        <v>11</v>
      </c>
      <c r="AD42" s="39" t="s">
        <v>11</v>
      </c>
      <c r="AE42" s="39" t="s">
        <v>11</v>
      </c>
      <c r="AF42" s="39">
        <v>0.23400000000000001</v>
      </c>
      <c r="AG42" s="40">
        <v>0.224</v>
      </c>
      <c r="AH42" s="44">
        <v>0.22700000000000001</v>
      </c>
      <c r="AI42" s="39">
        <v>0.22500000000000001</v>
      </c>
      <c r="AJ42" s="39">
        <v>0.222</v>
      </c>
      <c r="AK42" s="39">
        <v>0.224</v>
      </c>
      <c r="AL42" s="40" t="s">
        <v>11</v>
      </c>
      <c r="AM42" s="44" t="s">
        <v>11</v>
      </c>
      <c r="AN42" s="39" t="s">
        <v>11</v>
      </c>
      <c r="AO42" s="39" t="s">
        <v>11</v>
      </c>
      <c r="AP42" s="39" t="s">
        <v>11</v>
      </c>
      <c r="AQ42" s="40" t="s">
        <v>11</v>
      </c>
      <c r="AR42" s="44" t="s">
        <v>11</v>
      </c>
      <c r="AS42" s="39" t="s">
        <v>11</v>
      </c>
      <c r="AT42" s="39" t="s">
        <v>11</v>
      </c>
      <c r="AU42" s="39" t="s">
        <v>11</v>
      </c>
      <c r="AV42" s="40" t="s">
        <v>11</v>
      </c>
      <c r="AW42" s="44" t="s">
        <v>11</v>
      </c>
      <c r="AX42" s="39" t="s">
        <v>11</v>
      </c>
      <c r="AY42" s="39" t="s">
        <v>11</v>
      </c>
      <c r="AZ42" s="39" t="s">
        <v>11</v>
      </c>
      <c r="BA42" s="40" t="s">
        <v>11</v>
      </c>
      <c r="BB42" s="44" t="s">
        <v>11</v>
      </c>
      <c r="BC42" s="39" t="s">
        <v>11</v>
      </c>
      <c r="BD42" s="39" t="s">
        <v>11</v>
      </c>
      <c r="BE42" s="39" t="s">
        <v>11</v>
      </c>
      <c r="BF42" s="40" t="s">
        <v>11</v>
      </c>
      <c r="BG42" s="44" t="s">
        <v>11</v>
      </c>
      <c r="BH42" s="39" t="s">
        <v>11</v>
      </c>
      <c r="BI42" s="39" t="s">
        <v>11</v>
      </c>
      <c r="BJ42" s="39" t="s">
        <v>11</v>
      </c>
      <c r="BK42" s="40" t="s">
        <v>11</v>
      </c>
      <c r="BL42" s="44" t="s">
        <v>11</v>
      </c>
      <c r="BM42" s="40" t="s">
        <v>11</v>
      </c>
      <c r="BN42" s="168">
        <f t="shared" si="24"/>
        <v>0.22500000000000003</v>
      </c>
      <c r="BO42" s="168">
        <f t="shared" si="25"/>
        <v>0.21199999999999999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19</v>
      </c>
      <c r="B43" s="6" t="s">
        <v>15</v>
      </c>
      <c r="C43" s="11" t="s">
        <v>10</v>
      </c>
      <c r="D43" s="35" t="s">
        <v>11</v>
      </c>
      <c r="E43" s="36" t="s">
        <v>11</v>
      </c>
      <c r="F43" s="36" t="s">
        <v>11</v>
      </c>
      <c r="G43" s="36" t="s">
        <v>11</v>
      </c>
      <c r="H43" s="37" t="s">
        <v>11</v>
      </c>
      <c r="I43" s="43" t="s">
        <v>11</v>
      </c>
      <c r="J43" s="36" t="s">
        <v>11</v>
      </c>
      <c r="K43" s="36" t="s">
        <v>11</v>
      </c>
      <c r="L43" s="36" t="s">
        <v>11</v>
      </c>
      <c r="M43" s="37" t="s">
        <v>11</v>
      </c>
      <c r="N43" s="43" t="s">
        <v>11</v>
      </c>
      <c r="O43" s="36" t="s">
        <v>11</v>
      </c>
      <c r="P43" s="36" t="s">
        <v>11</v>
      </c>
      <c r="Q43" s="36" t="s">
        <v>11</v>
      </c>
      <c r="R43" s="37" t="s">
        <v>11</v>
      </c>
      <c r="S43" s="43" t="s">
        <v>11</v>
      </c>
      <c r="T43" s="36" t="s">
        <v>11</v>
      </c>
      <c r="U43" s="36" t="s">
        <v>11</v>
      </c>
      <c r="V43" s="36" t="s">
        <v>11</v>
      </c>
      <c r="W43" s="37" t="s">
        <v>11</v>
      </c>
      <c r="X43" s="43" t="s">
        <v>11</v>
      </c>
      <c r="Y43" s="36" t="s">
        <v>11</v>
      </c>
      <c r="Z43" s="36" t="s">
        <v>11</v>
      </c>
      <c r="AA43" s="36" t="s">
        <v>11</v>
      </c>
      <c r="AB43" s="37" t="s">
        <v>11</v>
      </c>
      <c r="AC43" s="43" t="s">
        <v>11</v>
      </c>
      <c r="AD43" s="36" t="s">
        <v>11</v>
      </c>
      <c r="AE43" s="36" t="s">
        <v>11</v>
      </c>
      <c r="AF43" s="36">
        <v>0.222</v>
      </c>
      <c r="AG43" s="37">
        <v>0.23</v>
      </c>
      <c r="AH43" s="43">
        <v>0.224</v>
      </c>
      <c r="AI43" s="36">
        <v>0.22600000000000001</v>
      </c>
      <c r="AJ43" s="36">
        <v>0.221</v>
      </c>
      <c r="AK43" s="36">
        <v>0.21199999999999999</v>
      </c>
      <c r="AL43" s="37" t="s">
        <v>11</v>
      </c>
      <c r="AM43" s="43" t="s">
        <v>11</v>
      </c>
      <c r="AN43" s="36" t="s">
        <v>11</v>
      </c>
      <c r="AO43" s="36" t="s">
        <v>11</v>
      </c>
      <c r="AP43" s="36" t="s">
        <v>11</v>
      </c>
      <c r="AQ43" s="37" t="s">
        <v>11</v>
      </c>
      <c r="AR43" s="43" t="s">
        <v>11</v>
      </c>
      <c r="AS43" s="36" t="s">
        <v>11</v>
      </c>
      <c r="AT43" s="36" t="s">
        <v>11</v>
      </c>
      <c r="AU43" s="36" t="s">
        <v>11</v>
      </c>
      <c r="AV43" s="37" t="s">
        <v>11</v>
      </c>
      <c r="AW43" s="43" t="s">
        <v>11</v>
      </c>
      <c r="AX43" s="36" t="s">
        <v>11</v>
      </c>
      <c r="AY43" s="36" t="s">
        <v>11</v>
      </c>
      <c r="AZ43" s="36" t="s">
        <v>11</v>
      </c>
      <c r="BA43" s="37" t="s">
        <v>11</v>
      </c>
      <c r="BB43" s="43" t="s">
        <v>11</v>
      </c>
      <c r="BC43" s="36" t="s">
        <v>11</v>
      </c>
      <c r="BD43" s="36" t="s">
        <v>11</v>
      </c>
      <c r="BE43" s="36" t="s">
        <v>11</v>
      </c>
      <c r="BF43" s="37" t="s">
        <v>11</v>
      </c>
      <c r="BG43" s="43" t="s">
        <v>11</v>
      </c>
      <c r="BH43" s="36" t="s">
        <v>11</v>
      </c>
      <c r="BI43" s="36" t="s">
        <v>11</v>
      </c>
      <c r="BJ43" s="36" t="s">
        <v>11</v>
      </c>
      <c r="BK43" s="37" t="s">
        <v>11</v>
      </c>
      <c r="BL43" s="43" t="s">
        <v>11</v>
      </c>
      <c r="BM43" s="37" t="s">
        <v>11</v>
      </c>
      <c r="BN43" s="166">
        <f t="shared" ref="BN43:BN45" si="26">IFERROR(AVERAGE(D43:BM45),0)</f>
        <v>0.22488888888888889</v>
      </c>
      <c r="BO43" s="166">
        <f t="shared" ref="BO43:BO45" si="27">MIN(D43:BM45)</f>
        <v>0.21199999999999999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65">
        <v>8.3000000000000004E-2</v>
      </c>
      <c r="B44" s="7" t="s">
        <v>12</v>
      </c>
      <c r="C44" s="11" t="s">
        <v>8</v>
      </c>
      <c r="D44" s="41" t="s">
        <v>11</v>
      </c>
      <c r="E44" s="22" t="s">
        <v>11</v>
      </c>
      <c r="F44" s="22" t="s">
        <v>11</v>
      </c>
      <c r="G44" s="22" t="s">
        <v>11</v>
      </c>
      <c r="H44" s="42" t="s">
        <v>11</v>
      </c>
      <c r="I44" s="45" t="s">
        <v>11</v>
      </c>
      <c r="J44" s="22" t="s">
        <v>11</v>
      </c>
      <c r="K44" s="22" t="s">
        <v>11</v>
      </c>
      <c r="L44" s="22" t="s">
        <v>11</v>
      </c>
      <c r="M44" s="42" t="s">
        <v>11</v>
      </c>
      <c r="N44" s="45" t="s">
        <v>11</v>
      </c>
      <c r="O44" s="22" t="s">
        <v>11</v>
      </c>
      <c r="P44" s="22" t="s">
        <v>11</v>
      </c>
      <c r="Q44" s="22" t="s">
        <v>11</v>
      </c>
      <c r="R44" s="42" t="s">
        <v>11</v>
      </c>
      <c r="S44" s="45" t="s">
        <v>11</v>
      </c>
      <c r="T44" s="22" t="s">
        <v>11</v>
      </c>
      <c r="U44" s="22" t="s">
        <v>11</v>
      </c>
      <c r="V44" s="22" t="s">
        <v>11</v>
      </c>
      <c r="W44" s="42" t="s">
        <v>11</v>
      </c>
      <c r="X44" s="45" t="s">
        <v>11</v>
      </c>
      <c r="Y44" s="22" t="s">
        <v>11</v>
      </c>
      <c r="Z44" s="22" t="s">
        <v>11</v>
      </c>
      <c r="AA44" s="22" t="s">
        <v>11</v>
      </c>
      <c r="AB44" s="42" t="s">
        <v>11</v>
      </c>
      <c r="AC44" s="45" t="s">
        <v>11</v>
      </c>
      <c r="AD44" s="22" t="s">
        <v>11</v>
      </c>
      <c r="AE44" s="22" t="s">
        <v>11</v>
      </c>
      <c r="AF44" s="22">
        <v>0.22700000000000001</v>
      </c>
      <c r="AG44" s="42">
        <v>0.22800000000000001</v>
      </c>
      <c r="AH44" s="45">
        <v>0.22600000000000001</v>
      </c>
      <c r="AI44" s="22">
        <v>0.22700000000000001</v>
      </c>
      <c r="AJ44" s="22">
        <v>0.224</v>
      </c>
      <c r="AK44" s="22">
        <v>0.22700000000000001</v>
      </c>
      <c r="AL44" s="42" t="s">
        <v>11</v>
      </c>
      <c r="AM44" s="45" t="s">
        <v>11</v>
      </c>
      <c r="AN44" s="22" t="s">
        <v>11</v>
      </c>
      <c r="AO44" s="22" t="s">
        <v>11</v>
      </c>
      <c r="AP44" s="22" t="s">
        <v>11</v>
      </c>
      <c r="AQ44" s="42" t="s">
        <v>11</v>
      </c>
      <c r="AR44" s="45" t="s">
        <v>11</v>
      </c>
      <c r="AS44" s="22" t="s">
        <v>11</v>
      </c>
      <c r="AT44" s="22" t="s">
        <v>11</v>
      </c>
      <c r="AU44" s="22" t="s">
        <v>11</v>
      </c>
      <c r="AV44" s="42" t="s">
        <v>11</v>
      </c>
      <c r="AW44" s="45" t="s">
        <v>11</v>
      </c>
      <c r="AX44" s="22" t="s">
        <v>11</v>
      </c>
      <c r="AY44" s="22" t="s">
        <v>11</v>
      </c>
      <c r="AZ44" s="22" t="s">
        <v>11</v>
      </c>
      <c r="BA44" s="42" t="s">
        <v>11</v>
      </c>
      <c r="BB44" s="45" t="s">
        <v>11</v>
      </c>
      <c r="BC44" s="22" t="s">
        <v>11</v>
      </c>
      <c r="BD44" s="22" t="s">
        <v>11</v>
      </c>
      <c r="BE44" s="22" t="s">
        <v>11</v>
      </c>
      <c r="BF44" s="42" t="s">
        <v>11</v>
      </c>
      <c r="BG44" s="45" t="s">
        <v>11</v>
      </c>
      <c r="BH44" s="22" t="s">
        <v>11</v>
      </c>
      <c r="BI44" s="22" t="s">
        <v>11</v>
      </c>
      <c r="BJ44" s="22" t="s">
        <v>11</v>
      </c>
      <c r="BK44" s="42" t="s">
        <v>11</v>
      </c>
      <c r="BL44" s="45" t="s">
        <v>11</v>
      </c>
      <c r="BM44" s="42" t="s">
        <v>11</v>
      </c>
      <c r="BN44" s="167">
        <f t="shared" si="26"/>
        <v>0.22633333333333339</v>
      </c>
      <c r="BO44" s="167">
        <f t="shared" si="27"/>
        <v>0.218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65"/>
      <c r="B45" s="8" t="s">
        <v>30</v>
      </c>
      <c r="C45" s="12" t="s">
        <v>14</v>
      </c>
      <c r="D45" s="38" t="s">
        <v>11</v>
      </c>
      <c r="E45" s="39" t="s">
        <v>11</v>
      </c>
      <c r="F45" s="39" t="s">
        <v>11</v>
      </c>
      <c r="G45" s="39" t="s">
        <v>11</v>
      </c>
      <c r="H45" s="40" t="s">
        <v>11</v>
      </c>
      <c r="I45" s="44" t="s">
        <v>11</v>
      </c>
      <c r="J45" s="39" t="s">
        <v>11</v>
      </c>
      <c r="K45" s="39" t="s">
        <v>11</v>
      </c>
      <c r="L45" s="39" t="s">
        <v>11</v>
      </c>
      <c r="M45" s="40" t="s">
        <v>11</v>
      </c>
      <c r="N45" s="44" t="s">
        <v>11</v>
      </c>
      <c r="O45" s="39" t="s">
        <v>11</v>
      </c>
      <c r="P45" s="39" t="s">
        <v>11</v>
      </c>
      <c r="Q45" s="39" t="s">
        <v>11</v>
      </c>
      <c r="R45" s="40" t="s">
        <v>11</v>
      </c>
      <c r="S45" s="44" t="s">
        <v>11</v>
      </c>
      <c r="T45" s="39" t="s">
        <v>11</v>
      </c>
      <c r="U45" s="39" t="s">
        <v>11</v>
      </c>
      <c r="V45" s="39" t="s">
        <v>11</v>
      </c>
      <c r="W45" s="40" t="s">
        <v>11</v>
      </c>
      <c r="X45" s="44" t="s">
        <v>11</v>
      </c>
      <c r="Y45" s="39" t="s">
        <v>11</v>
      </c>
      <c r="Z45" s="39" t="s">
        <v>11</v>
      </c>
      <c r="AA45" s="39" t="s">
        <v>11</v>
      </c>
      <c r="AB45" s="40" t="s">
        <v>11</v>
      </c>
      <c r="AC45" s="44" t="s">
        <v>11</v>
      </c>
      <c r="AD45" s="39" t="s">
        <v>11</v>
      </c>
      <c r="AE45" s="39" t="s">
        <v>11</v>
      </c>
      <c r="AF45" s="39">
        <v>0.23200000000000001</v>
      </c>
      <c r="AG45" s="40">
        <v>0.223</v>
      </c>
      <c r="AH45" s="44">
        <v>0.22500000000000001</v>
      </c>
      <c r="AI45" s="39">
        <v>0.22900000000000001</v>
      </c>
      <c r="AJ45" s="39">
        <v>0.219</v>
      </c>
      <c r="AK45" s="39">
        <v>0.22600000000000001</v>
      </c>
      <c r="AL45" s="40" t="s">
        <v>11</v>
      </c>
      <c r="AM45" s="44" t="s">
        <v>11</v>
      </c>
      <c r="AN45" s="39" t="s">
        <v>11</v>
      </c>
      <c r="AO45" s="39" t="s">
        <v>11</v>
      </c>
      <c r="AP45" s="39" t="s">
        <v>11</v>
      </c>
      <c r="AQ45" s="40" t="s">
        <v>11</v>
      </c>
      <c r="AR45" s="44" t="s">
        <v>11</v>
      </c>
      <c r="AS45" s="39" t="s">
        <v>11</v>
      </c>
      <c r="AT45" s="39" t="s">
        <v>11</v>
      </c>
      <c r="AU45" s="39" t="s">
        <v>11</v>
      </c>
      <c r="AV45" s="40" t="s">
        <v>11</v>
      </c>
      <c r="AW45" s="44" t="s">
        <v>11</v>
      </c>
      <c r="AX45" s="39" t="s">
        <v>11</v>
      </c>
      <c r="AY45" s="39" t="s">
        <v>11</v>
      </c>
      <c r="AZ45" s="39" t="s">
        <v>11</v>
      </c>
      <c r="BA45" s="40" t="s">
        <v>11</v>
      </c>
      <c r="BB45" s="44" t="s">
        <v>11</v>
      </c>
      <c r="BC45" s="39" t="s">
        <v>11</v>
      </c>
      <c r="BD45" s="39" t="s">
        <v>11</v>
      </c>
      <c r="BE45" s="39" t="s">
        <v>11</v>
      </c>
      <c r="BF45" s="40" t="s">
        <v>11</v>
      </c>
      <c r="BG45" s="44" t="s">
        <v>11</v>
      </c>
      <c r="BH45" s="39" t="s">
        <v>11</v>
      </c>
      <c r="BI45" s="39" t="s">
        <v>11</v>
      </c>
      <c r="BJ45" s="39" t="s">
        <v>11</v>
      </c>
      <c r="BK45" s="40" t="s">
        <v>11</v>
      </c>
      <c r="BL45" s="44" t="s">
        <v>11</v>
      </c>
      <c r="BM45" s="40" t="s">
        <v>11</v>
      </c>
      <c r="BN45" s="168">
        <f t="shared" si="26"/>
        <v>0.22644444444444448</v>
      </c>
      <c r="BO45" s="168">
        <f t="shared" si="27"/>
        <v>0.218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19</v>
      </c>
      <c r="B46" s="6" t="s">
        <v>17</v>
      </c>
      <c r="C46" s="11" t="s">
        <v>10</v>
      </c>
      <c r="D46" s="35" t="s">
        <v>11</v>
      </c>
      <c r="E46" s="36" t="s">
        <v>11</v>
      </c>
      <c r="F46" s="36" t="s">
        <v>11</v>
      </c>
      <c r="G46" s="36" t="s">
        <v>11</v>
      </c>
      <c r="H46" s="37" t="s">
        <v>11</v>
      </c>
      <c r="I46" s="43" t="s">
        <v>11</v>
      </c>
      <c r="J46" s="36" t="s">
        <v>11</v>
      </c>
      <c r="K46" s="36" t="s">
        <v>11</v>
      </c>
      <c r="L46" s="36" t="s">
        <v>11</v>
      </c>
      <c r="M46" s="37" t="s">
        <v>11</v>
      </c>
      <c r="N46" s="43" t="s">
        <v>11</v>
      </c>
      <c r="O46" s="36" t="s">
        <v>11</v>
      </c>
      <c r="P46" s="36" t="s">
        <v>11</v>
      </c>
      <c r="Q46" s="36" t="s">
        <v>11</v>
      </c>
      <c r="R46" s="37" t="s">
        <v>11</v>
      </c>
      <c r="S46" s="43" t="s">
        <v>11</v>
      </c>
      <c r="T46" s="36" t="s">
        <v>11</v>
      </c>
      <c r="U46" s="36" t="s">
        <v>11</v>
      </c>
      <c r="V46" s="36" t="s">
        <v>11</v>
      </c>
      <c r="W46" s="37" t="s">
        <v>11</v>
      </c>
      <c r="X46" s="43" t="s">
        <v>11</v>
      </c>
      <c r="Y46" s="36" t="s">
        <v>11</v>
      </c>
      <c r="Z46" s="36" t="s">
        <v>11</v>
      </c>
      <c r="AA46" s="36" t="s">
        <v>11</v>
      </c>
      <c r="AB46" s="37" t="s">
        <v>11</v>
      </c>
      <c r="AC46" s="43" t="s">
        <v>11</v>
      </c>
      <c r="AD46" s="36" t="s">
        <v>11</v>
      </c>
      <c r="AE46" s="36" t="s">
        <v>11</v>
      </c>
      <c r="AF46" s="36">
        <v>0.22500000000000001</v>
      </c>
      <c r="AG46" s="37">
        <v>0.22</v>
      </c>
      <c r="AH46" s="43">
        <v>0.23300000000000001</v>
      </c>
      <c r="AI46" s="36">
        <v>0.23799999999999999</v>
      </c>
      <c r="AJ46" s="36">
        <v>0.218</v>
      </c>
      <c r="AK46" s="36">
        <v>0.22700000000000001</v>
      </c>
      <c r="AL46" s="37" t="s">
        <v>11</v>
      </c>
      <c r="AM46" s="43" t="s">
        <v>11</v>
      </c>
      <c r="AN46" s="36" t="s">
        <v>11</v>
      </c>
      <c r="AO46" s="36" t="s">
        <v>11</v>
      </c>
      <c r="AP46" s="36" t="s">
        <v>11</v>
      </c>
      <c r="AQ46" s="37" t="s">
        <v>11</v>
      </c>
      <c r="AR46" s="43" t="s">
        <v>11</v>
      </c>
      <c r="AS46" s="36" t="s">
        <v>11</v>
      </c>
      <c r="AT46" s="36" t="s">
        <v>11</v>
      </c>
      <c r="AU46" s="36" t="s">
        <v>11</v>
      </c>
      <c r="AV46" s="37" t="s">
        <v>11</v>
      </c>
      <c r="AW46" s="43" t="s">
        <v>11</v>
      </c>
      <c r="AX46" s="36" t="s">
        <v>11</v>
      </c>
      <c r="AY46" s="36" t="s">
        <v>11</v>
      </c>
      <c r="AZ46" s="36" t="s">
        <v>11</v>
      </c>
      <c r="BA46" s="37" t="s">
        <v>11</v>
      </c>
      <c r="BB46" s="43" t="s">
        <v>11</v>
      </c>
      <c r="BC46" s="36" t="s">
        <v>11</v>
      </c>
      <c r="BD46" s="36" t="s">
        <v>11</v>
      </c>
      <c r="BE46" s="36" t="s">
        <v>11</v>
      </c>
      <c r="BF46" s="37" t="s">
        <v>11</v>
      </c>
      <c r="BG46" s="43" t="s">
        <v>11</v>
      </c>
      <c r="BH46" s="36" t="s">
        <v>11</v>
      </c>
      <c r="BI46" s="36" t="s">
        <v>11</v>
      </c>
      <c r="BJ46" s="36" t="s">
        <v>11</v>
      </c>
      <c r="BK46" s="37" t="s">
        <v>11</v>
      </c>
      <c r="BL46" s="43" t="s">
        <v>11</v>
      </c>
      <c r="BM46" s="37" t="s">
        <v>11</v>
      </c>
      <c r="BN46" s="166">
        <f t="shared" ref="BN46:BN48" si="28">IFERROR(AVERAGE(D46:BM48),0)</f>
        <v>0.22716666666666674</v>
      </c>
      <c r="BO46" s="166">
        <f t="shared" ref="BO46:BO48" si="29">MIN(D46:BM48)</f>
        <v>0.218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65">
        <v>8.3000000000000004E-2</v>
      </c>
      <c r="B47" s="7" t="s">
        <v>12</v>
      </c>
      <c r="C47" s="11" t="s">
        <v>8</v>
      </c>
      <c r="D47" s="41" t="s">
        <v>11</v>
      </c>
      <c r="E47" s="22" t="s">
        <v>11</v>
      </c>
      <c r="F47" s="22" t="s">
        <v>11</v>
      </c>
      <c r="G47" s="22" t="s">
        <v>11</v>
      </c>
      <c r="H47" s="42" t="s">
        <v>11</v>
      </c>
      <c r="I47" s="45" t="s">
        <v>11</v>
      </c>
      <c r="J47" s="22" t="s">
        <v>11</v>
      </c>
      <c r="K47" s="22" t="s">
        <v>11</v>
      </c>
      <c r="L47" s="22" t="s">
        <v>11</v>
      </c>
      <c r="M47" s="42" t="s">
        <v>11</v>
      </c>
      <c r="N47" s="45" t="s">
        <v>11</v>
      </c>
      <c r="O47" s="22" t="s">
        <v>11</v>
      </c>
      <c r="P47" s="22" t="s">
        <v>11</v>
      </c>
      <c r="Q47" s="22" t="s">
        <v>11</v>
      </c>
      <c r="R47" s="42" t="s">
        <v>11</v>
      </c>
      <c r="S47" s="45" t="s">
        <v>11</v>
      </c>
      <c r="T47" s="22" t="s">
        <v>11</v>
      </c>
      <c r="U47" s="22" t="s">
        <v>11</v>
      </c>
      <c r="V47" s="22" t="s">
        <v>11</v>
      </c>
      <c r="W47" s="42" t="s">
        <v>11</v>
      </c>
      <c r="X47" s="45" t="s">
        <v>11</v>
      </c>
      <c r="Y47" s="22" t="s">
        <v>11</v>
      </c>
      <c r="Z47" s="22" t="s">
        <v>11</v>
      </c>
      <c r="AA47" s="22" t="s">
        <v>11</v>
      </c>
      <c r="AB47" s="42" t="s">
        <v>11</v>
      </c>
      <c r="AC47" s="45" t="s">
        <v>11</v>
      </c>
      <c r="AD47" s="22" t="s">
        <v>11</v>
      </c>
      <c r="AE47" s="22" t="s">
        <v>11</v>
      </c>
      <c r="AF47" s="22">
        <v>0.22500000000000001</v>
      </c>
      <c r="AG47" s="42">
        <v>0.22600000000000001</v>
      </c>
      <c r="AH47" s="45">
        <v>0.22800000000000001</v>
      </c>
      <c r="AI47" s="22">
        <v>0.22900000000000001</v>
      </c>
      <c r="AJ47" s="22">
        <v>0.221</v>
      </c>
      <c r="AK47" s="22">
        <v>0.23200000000000001</v>
      </c>
      <c r="AL47" s="42" t="s">
        <v>11</v>
      </c>
      <c r="AM47" s="45" t="s">
        <v>11</v>
      </c>
      <c r="AN47" s="22" t="s">
        <v>11</v>
      </c>
      <c r="AO47" s="22" t="s">
        <v>11</v>
      </c>
      <c r="AP47" s="22" t="s">
        <v>11</v>
      </c>
      <c r="AQ47" s="42" t="s">
        <v>11</v>
      </c>
      <c r="AR47" s="45" t="s">
        <v>11</v>
      </c>
      <c r="AS47" s="22" t="s">
        <v>11</v>
      </c>
      <c r="AT47" s="22" t="s">
        <v>11</v>
      </c>
      <c r="AU47" s="22" t="s">
        <v>11</v>
      </c>
      <c r="AV47" s="42" t="s">
        <v>11</v>
      </c>
      <c r="AW47" s="45" t="s">
        <v>11</v>
      </c>
      <c r="AX47" s="22" t="s">
        <v>11</v>
      </c>
      <c r="AY47" s="22" t="s">
        <v>11</v>
      </c>
      <c r="AZ47" s="22" t="s">
        <v>11</v>
      </c>
      <c r="BA47" s="42" t="s">
        <v>11</v>
      </c>
      <c r="BB47" s="45" t="s">
        <v>11</v>
      </c>
      <c r="BC47" s="22" t="s">
        <v>11</v>
      </c>
      <c r="BD47" s="22" t="s">
        <v>11</v>
      </c>
      <c r="BE47" s="22" t="s">
        <v>11</v>
      </c>
      <c r="BF47" s="42" t="s">
        <v>11</v>
      </c>
      <c r="BG47" s="45" t="s">
        <v>11</v>
      </c>
      <c r="BH47" s="22" t="s">
        <v>11</v>
      </c>
      <c r="BI47" s="22" t="s">
        <v>11</v>
      </c>
      <c r="BJ47" s="22" t="s">
        <v>11</v>
      </c>
      <c r="BK47" s="42" t="s">
        <v>11</v>
      </c>
      <c r="BL47" s="45" t="s">
        <v>11</v>
      </c>
      <c r="BM47" s="42" t="s">
        <v>11</v>
      </c>
      <c r="BN47" s="167">
        <f t="shared" si="28"/>
        <v>0.22694444444444445</v>
      </c>
      <c r="BO47" s="167">
        <f t="shared" si="29"/>
        <v>0.21099999999999999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65"/>
      <c r="B48" s="8" t="s">
        <v>30</v>
      </c>
      <c r="C48" s="12" t="s">
        <v>14</v>
      </c>
      <c r="D48" s="38" t="s">
        <v>11</v>
      </c>
      <c r="E48" s="39" t="s">
        <v>11</v>
      </c>
      <c r="F48" s="39" t="s">
        <v>11</v>
      </c>
      <c r="G48" s="39" t="s">
        <v>11</v>
      </c>
      <c r="H48" s="40" t="s">
        <v>11</v>
      </c>
      <c r="I48" s="44" t="s">
        <v>11</v>
      </c>
      <c r="J48" s="39" t="s">
        <v>11</v>
      </c>
      <c r="K48" s="39" t="s">
        <v>11</v>
      </c>
      <c r="L48" s="39" t="s">
        <v>11</v>
      </c>
      <c r="M48" s="40" t="s">
        <v>11</v>
      </c>
      <c r="N48" s="44" t="s">
        <v>11</v>
      </c>
      <c r="O48" s="39" t="s">
        <v>11</v>
      </c>
      <c r="P48" s="39" t="s">
        <v>11</v>
      </c>
      <c r="Q48" s="39" t="s">
        <v>11</v>
      </c>
      <c r="R48" s="40" t="s">
        <v>11</v>
      </c>
      <c r="S48" s="44" t="s">
        <v>11</v>
      </c>
      <c r="T48" s="39" t="s">
        <v>11</v>
      </c>
      <c r="U48" s="39" t="s">
        <v>11</v>
      </c>
      <c r="V48" s="39" t="s">
        <v>11</v>
      </c>
      <c r="W48" s="40" t="s">
        <v>11</v>
      </c>
      <c r="X48" s="44" t="s">
        <v>11</v>
      </c>
      <c r="Y48" s="39" t="s">
        <v>11</v>
      </c>
      <c r="Z48" s="39" t="s">
        <v>11</v>
      </c>
      <c r="AA48" s="39" t="s">
        <v>11</v>
      </c>
      <c r="AB48" s="40" t="s">
        <v>11</v>
      </c>
      <c r="AC48" s="44" t="s">
        <v>11</v>
      </c>
      <c r="AD48" s="39" t="s">
        <v>11</v>
      </c>
      <c r="AE48" s="39" t="s">
        <v>11</v>
      </c>
      <c r="AF48" s="39">
        <v>0.22800000000000001</v>
      </c>
      <c r="AG48" s="40">
        <v>0.22500000000000001</v>
      </c>
      <c r="AH48" s="44">
        <v>0.23200000000000001</v>
      </c>
      <c r="AI48" s="39">
        <v>0.23300000000000001</v>
      </c>
      <c r="AJ48" s="39">
        <v>0.224</v>
      </c>
      <c r="AK48" s="39">
        <v>0.22500000000000001</v>
      </c>
      <c r="AL48" s="40" t="s">
        <v>11</v>
      </c>
      <c r="AM48" s="44" t="s">
        <v>11</v>
      </c>
      <c r="AN48" s="39" t="s">
        <v>11</v>
      </c>
      <c r="AO48" s="39" t="s">
        <v>11</v>
      </c>
      <c r="AP48" s="39" t="s">
        <v>11</v>
      </c>
      <c r="AQ48" s="40" t="s">
        <v>11</v>
      </c>
      <c r="AR48" s="44" t="s">
        <v>11</v>
      </c>
      <c r="AS48" s="39" t="s">
        <v>11</v>
      </c>
      <c r="AT48" s="39" t="s">
        <v>11</v>
      </c>
      <c r="AU48" s="39" t="s">
        <v>11</v>
      </c>
      <c r="AV48" s="40" t="s">
        <v>11</v>
      </c>
      <c r="AW48" s="44" t="s">
        <v>11</v>
      </c>
      <c r="AX48" s="39" t="s">
        <v>11</v>
      </c>
      <c r="AY48" s="39" t="s">
        <v>11</v>
      </c>
      <c r="AZ48" s="39" t="s">
        <v>11</v>
      </c>
      <c r="BA48" s="40" t="s">
        <v>11</v>
      </c>
      <c r="BB48" s="44" t="s">
        <v>11</v>
      </c>
      <c r="BC48" s="39" t="s">
        <v>11</v>
      </c>
      <c r="BD48" s="39" t="s">
        <v>11</v>
      </c>
      <c r="BE48" s="39" t="s">
        <v>11</v>
      </c>
      <c r="BF48" s="40" t="s">
        <v>11</v>
      </c>
      <c r="BG48" s="44" t="s">
        <v>11</v>
      </c>
      <c r="BH48" s="39" t="s">
        <v>11</v>
      </c>
      <c r="BI48" s="39" t="s">
        <v>11</v>
      </c>
      <c r="BJ48" s="39" t="s">
        <v>11</v>
      </c>
      <c r="BK48" s="40" t="s">
        <v>11</v>
      </c>
      <c r="BL48" s="44" t="s">
        <v>11</v>
      </c>
      <c r="BM48" s="40" t="s">
        <v>11</v>
      </c>
      <c r="BN48" s="168">
        <f t="shared" si="28"/>
        <v>0.22672222222222224</v>
      </c>
      <c r="BO48" s="168">
        <f t="shared" si="29"/>
        <v>0.21099999999999999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19</v>
      </c>
      <c r="B49" s="6" t="s">
        <v>31</v>
      </c>
      <c r="C49" s="11" t="s">
        <v>10</v>
      </c>
      <c r="D49" s="35" t="s">
        <v>11</v>
      </c>
      <c r="E49" s="36" t="s">
        <v>11</v>
      </c>
      <c r="F49" s="36" t="s">
        <v>11</v>
      </c>
      <c r="G49" s="36" t="s">
        <v>11</v>
      </c>
      <c r="H49" s="37" t="s">
        <v>11</v>
      </c>
      <c r="I49" s="43" t="s">
        <v>11</v>
      </c>
      <c r="J49" s="36" t="s">
        <v>11</v>
      </c>
      <c r="K49" s="36" t="s">
        <v>11</v>
      </c>
      <c r="L49" s="36" t="s">
        <v>11</v>
      </c>
      <c r="M49" s="37" t="s">
        <v>11</v>
      </c>
      <c r="N49" s="43" t="s">
        <v>11</v>
      </c>
      <c r="O49" s="36" t="s">
        <v>11</v>
      </c>
      <c r="P49" s="36" t="s">
        <v>11</v>
      </c>
      <c r="Q49" s="36" t="s">
        <v>11</v>
      </c>
      <c r="R49" s="37" t="s">
        <v>11</v>
      </c>
      <c r="S49" s="43" t="s">
        <v>11</v>
      </c>
      <c r="T49" s="36" t="s">
        <v>11</v>
      </c>
      <c r="U49" s="36" t="s">
        <v>11</v>
      </c>
      <c r="V49" s="36" t="s">
        <v>11</v>
      </c>
      <c r="W49" s="37" t="s">
        <v>11</v>
      </c>
      <c r="X49" s="43" t="s">
        <v>11</v>
      </c>
      <c r="Y49" s="36" t="s">
        <v>11</v>
      </c>
      <c r="Z49" s="36" t="s">
        <v>11</v>
      </c>
      <c r="AA49" s="36" t="s">
        <v>11</v>
      </c>
      <c r="AB49" s="37" t="s">
        <v>11</v>
      </c>
      <c r="AC49" s="43" t="s">
        <v>11</v>
      </c>
      <c r="AD49" s="36" t="s">
        <v>11</v>
      </c>
      <c r="AE49" s="36" t="s">
        <v>11</v>
      </c>
      <c r="AF49" s="36">
        <v>0.222</v>
      </c>
      <c r="AG49" s="37">
        <v>0.21099999999999999</v>
      </c>
      <c r="AH49" s="43">
        <v>0.23100000000000001</v>
      </c>
      <c r="AI49" s="36">
        <v>0.24399999999999999</v>
      </c>
      <c r="AJ49" s="36">
        <v>0.23100000000000001</v>
      </c>
      <c r="AK49" s="36">
        <v>0.218</v>
      </c>
      <c r="AL49" s="37" t="s">
        <v>11</v>
      </c>
      <c r="AM49" s="43" t="s">
        <v>11</v>
      </c>
      <c r="AN49" s="36" t="s">
        <v>11</v>
      </c>
      <c r="AO49" s="36" t="s">
        <v>11</v>
      </c>
      <c r="AP49" s="36" t="s">
        <v>11</v>
      </c>
      <c r="AQ49" s="37" t="s">
        <v>11</v>
      </c>
      <c r="AR49" s="43" t="s">
        <v>11</v>
      </c>
      <c r="AS49" s="36" t="s">
        <v>11</v>
      </c>
      <c r="AT49" s="36" t="s">
        <v>11</v>
      </c>
      <c r="AU49" s="36" t="s">
        <v>11</v>
      </c>
      <c r="AV49" s="37" t="s">
        <v>11</v>
      </c>
      <c r="AW49" s="43" t="s">
        <v>11</v>
      </c>
      <c r="AX49" s="36" t="s">
        <v>11</v>
      </c>
      <c r="AY49" s="36" t="s">
        <v>11</v>
      </c>
      <c r="AZ49" s="36" t="s">
        <v>11</v>
      </c>
      <c r="BA49" s="37" t="s">
        <v>11</v>
      </c>
      <c r="BB49" s="43" t="s">
        <v>11</v>
      </c>
      <c r="BC49" s="36" t="s">
        <v>11</v>
      </c>
      <c r="BD49" s="36" t="s">
        <v>11</v>
      </c>
      <c r="BE49" s="36" t="s">
        <v>11</v>
      </c>
      <c r="BF49" s="37" t="s">
        <v>11</v>
      </c>
      <c r="BG49" s="43" t="s">
        <v>11</v>
      </c>
      <c r="BH49" s="36" t="s">
        <v>11</v>
      </c>
      <c r="BI49" s="36" t="s">
        <v>11</v>
      </c>
      <c r="BJ49" s="36" t="s">
        <v>11</v>
      </c>
      <c r="BK49" s="37" t="s">
        <v>11</v>
      </c>
      <c r="BL49" s="43" t="s">
        <v>11</v>
      </c>
      <c r="BM49" s="37" t="s">
        <v>11</v>
      </c>
      <c r="BN49" s="166">
        <f t="shared" ref="BN49:BN51" si="30">IFERROR(AVERAGE(D49:BM51),0)</f>
        <v>0.22577777777777777</v>
      </c>
      <c r="BO49" s="166">
        <f t="shared" ref="BO49:BO51" si="31">MIN(D49:BM51)</f>
        <v>0.21099999999999999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65">
        <v>8.3000000000000004E-2</v>
      </c>
      <c r="B50" s="7" t="s">
        <v>18</v>
      </c>
      <c r="C50" s="11" t="s">
        <v>8</v>
      </c>
      <c r="D50" s="41" t="s">
        <v>11</v>
      </c>
      <c r="E50" s="22" t="s">
        <v>11</v>
      </c>
      <c r="F50" s="22" t="s">
        <v>11</v>
      </c>
      <c r="G50" s="22" t="s">
        <v>11</v>
      </c>
      <c r="H50" s="42" t="s">
        <v>11</v>
      </c>
      <c r="I50" s="45" t="s">
        <v>11</v>
      </c>
      <c r="J50" s="22" t="s">
        <v>11</v>
      </c>
      <c r="K50" s="22" t="s">
        <v>11</v>
      </c>
      <c r="L50" s="22" t="s">
        <v>11</v>
      </c>
      <c r="M50" s="42" t="s">
        <v>11</v>
      </c>
      <c r="N50" s="45" t="s">
        <v>11</v>
      </c>
      <c r="O50" s="22" t="s">
        <v>11</v>
      </c>
      <c r="P50" s="22" t="s">
        <v>11</v>
      </c>
      <c r="Q50" s="22" t="s">
        <v>11</v>
      </c>
      <c r="R50" s="42" t="s">
        <v>11</v>
      </c>
      <c r="S50" s="45" t="s">
        <v>11</v>
      </c>
      <c r="T50" s="22" t="s">
        <v>11</v>
      </c>
      <c r="U50" s="22" t="s">
        <v>11</v>
      </c>
      <c r="V50" s="22" t="s">
        <v>11</v>
      </c>
      <c r="W50" s="42" t="s">
        <v>11</v>
      </c>
      <c r="X50" s="45" t="s">
        <v>11</v>
      </c>
      <c r="Y50" s="22" t="s">
        <v>11</v>
      </c>
      <c r="Z50" s="22" t="s">
        <v>11</v>
      </c>
      <c r="AA50" s="22" t="s">
        <v>11</v>
      </c>
      <c r="AB50" s="42" t="s">
        <v>11</v>
      </c>
      <c r="AC50" s="45" t="s">
        <v>11</v>
      </c>
      <c r="AD50" s="22" t="s">
        <v>11</v>
      </c>
      <c r="AE50" s="22" t="s">
        <v>11</v>
      </c>
      <c r="AF50" s="22">
        <v>0.22</v>
      </c>
      <c r="AG50" s="42">
        <v>0.22600000000000001</v>
      </c>
      <c r="AH50" s="45">
        <v>0.23499999999999999</v>
      </c>
      <c r="AI50" s="22">
        <v>0.24399999999999999</v>
      </c>
      <c r="AJ50" s="22">
        <v>0.218</v>
      </c>
      <c r="AK50" s="22">
        <v>0.214</v>
      </c>
      <c r="AL50" s="42" t="s">
        <v>11</v>
      </c>
      <c r="AM50" s="45" t="s">
        <v>11</v>
      </c>
      <c r="AN50" s="22" t="s">
        <v>11</v>
      </c>
      <c r="AO50" s="22" t="s">
        <v>11</v>
      </c>
      <c r="AP50" s="22" t="s">
        <v>11</v>
      </c>
      <c r="AQ50" s="42" t="s">
        <v>11</v>
      </c>
      <c r="AR50" s="45" t="s">
        <v>11</v>
      </c>
      <c r="AS50" s="22" t="s">
        <v>11</v>
      </c>
      <c r="AT50" s="22" t="s">
        <v>11</v>
      </c>
      <c r="AU50" s="22" t="s">
        <v>11</v>
      </c>
      <c r="AV50" s="42" t="s">
        <v>11</v>
      </c>
      <c r="AW50" s="45" t="s">
        <v>11</v>
      </c>
      <c r="AX50" s="22" t="s">
        <v>11</v>
      </c>
      <c r="AY50" s="22" t="s">
        <v>11</v>
      </c>
      <c r="AZ50" s="22" t="s">
        <v>11</v>
      </c>
      <c r="BA50" s="42" t="s">
        <v>11</v>
      </c>
      <c r="BB50" s="45" t="s">
        <v>11</v>
      </c>
      <c r="BC50" s="22" t="s">
        <v>11</v>
      </c>
      <c r="BD50" s="22" t="s">
        <v>11</v>
      </c>
      <c r="BE50" s="22" t="s">
        <v>11</v>
      </c>
      <c r="BF50" s="42" t="s">
        <v>11</v>
      </c>
      <c r="BG50" s="45" t="s">
        <v>11</v>
      </c>
      <c r="BH50" s="22" t="s">
        <v>11</v>
      </c>
      <c r="BI50" s="22" t="s">
        <v>11</v>
      </c>
      <c r="BJ50" s="22" t="s">
        <v>11</v>
      </c>
      <c r="BK50" s="42" t="s">
        <v>11</v>
      </c>
      <c r="BL50" s="45" t="s">
        <v>11</v>
      </c>
      <c r="BM50" s="42" t="s">
        <v>11</v>
      </c>
      <c r="BN50" s="167">
        <f t="shared" si="30"/>
        <v>0.2247777777777778</v>
      </c>
      <c r="BO50" s="167">
        <f t="shared" si="31"/>
        <v>0.21099999999999999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65"/>
      <c r="B51" s="8" t="s">
        <v>30</v>
      </c>
      <c r="C51" s="12" t="s">
        <v>14</v>
      </c>
      <c r="D51" s="38" t="s">
        <v>11</v>
      </c>
      <c r="E51" s="39" t="s">
        <v>11</v>
      </c>
      <c r="F51" s="39" t="s">
        <v>11</v>
      </c>
      <c r="G51" s="39" t="s">
        <v>11</v>
      </c>
      <c r="H51" s="40" t="s">
        <v>11</v>
      </c>
      <c r="I51" s="44" t="s">
        <v>11</v>
      </c>
      <c r="J51" s="39" t="s">
        <v>11</v>
      </c>
      <c r="K51" s="39" t="s">
        <v>11</v>
      </c>
      <c r="L51" s="39" t="s">
        <v>11</v>
      </c>
      <c r="M51" s="40" t="s">
        <v>11</v>
      </c>
      <c r="N51" s="44" t="s">
        <v>11</v>
      </c>
      <c r="O51" s="39" t="s">
        <v>11</v>
      </c>
      <c r="P51" s="39" t="s">
        <v>11</v>
      </c>
      <c r="Q51" s="39" t="s">
        <v>11</v>
      </c>
      <c r="R51" s="40" t="s">
        <v>11</v>
      </c>
      <c r="S51" s="44" t="s">
        <v>11</v>
      </c>
      <c r="T51" s="39" t="s">
        <v>11</v>
      </c>
      <c r="U51" s="39" t="s">
        <v>11</v>
      </c>
      <c r="V51" s="39" t="s">
        <v>11</v>
      </c>
      <c r="W51" s="40" t="s">
        <v>11</v>
      </c>
      <c r="X51" s="44" t="s">
        <v>11</v>
      </c>
      <c r="Y51" s="39" t="s">
        <v>11</v>
      </c>
      <c r="Z51" s="39" t="s">
        <v>11</v>
      </c>
      <c r="AA51" s="39" t="s">
        <v>11</v>
      </c>
      <c r="AB51" s="40" t="s">
        <v>11</v>
      </c>
      <c r="AC51" s="44" t="s">
        <v>11</v>
      </c>
      <c r="AD51" s="39" t="s">
        <v>11</v>
      </c>
      <c r="AE51" s="39" t="s">
        <v>11</v>
      </c>
      <c r="AF51" s="39">
        <v>0.22900000000000001</v>
      </c>
      <c r="AG51" s="40">
        <v>0.223</v>
      </c>
      <c r="AH51" s="44">
        <v>0.23300000000000001</v>
      </c>
      <c r="AI51" s="39">
        <v>0.23499999999999999</v>
      </c>
      <c r="AJ51" s="39">
        <v>0.21299999999999999</v>
      </c>
      <c r="AK51" s="39">
        <v>0.217</v>
      </c>
      <c r="AL51" s="40" t="s">
        <v>11</v>
      </c>
      <c r="AM51" s="44" t="s">
        <v>11</v>
      </c>
      <c r="AN51" s="39" t="s">
        <v>11</v>
      </c>
      <c r="AO51" s="39" t="s">
        <v>11</v>
      </c>
      <c r="AP51" s="39" t="s">
        <v>11</v>
      </c>
      <c r="AQ51" s="40" t="s">
        <v>11</v>
      </c>
      <c r="AR51" s="44" t="s">
        <v>11</v>
      </c>
      <c r="AS51" s="39" t="s">
        <v>11</v>
      </c>
      <c r="AT51" s="39" t="s">
        <v>11</v>
      </c>
      <c r="AU51" s="39" t="s">
        <v>11</v>
      </c>
      <c r="AV51" s="40" t="s">
        <v>11</v>
      </c>
      <c r="AW51" s="44" t="s">
        <v>11</v>
      </c>
      <c r="AX51" s="39" t="s">
        <v>11</v>
      </c>
      <c r="AY51" s="39" t="s">
        <v>11</v>
      </c>
      <c r="AZ51" s="39" t="s">
        <v>11</v>
      </c>
      <c r="BA51" s="40" t="s">
        <v>11</v>
      </c>
      <c r="BB51" s="44" t="s">
        <v>11</v>
      </c>
      <c r="BC51" s="39" t="s">
        <v>11</v>
      </c>
      <c r="BD51" s="39" t="s">
        <v>11</v>
      </c>
      <c r="BE51" s="39" t="s">
        <v>11</v>
      </c>
      <c r="BF51" s="40" t="s">
        <v>11</v>
      </c>
      <c r="BG51" s="44" t="s">
        <v>11</v>
      </c>
      <c r="BH51" s="39" t="s">
        <v>11</v>
      </c>
      <c r="BI51" s="39" t="s">
        <v>11</v>
      </c>
      <c r="BJ51" s="39" t="s">
        <v>11</v>
      </c>
      <c r="BK51" s="40" t="s">
        <v>11</v>
      </c>
      <c r="BL51" s="44" t="s">
        <v>11</v>
      </c>
      <c r="BM51" s="40" t="s">
        <v>11</v>
      </c>
      <c r="BN51" s="168">
        <f t="shared" si="30"/>
        <v>0.22283333333333333</v>
      </c>
      <c r="BO51" s="168">
        <f t="shared" si="31"/>
        <v>0.21099999999999999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19</v>
      </c>
      <c r="B52" s="6" t="s">
        <v>32</v>
      </c>
      <c r="C52" s="11" t="s">
        <v>10</v>
      </c>
      <c r="D52" s="35" t="s">
        <v>11</v>
      </c>
      <c r="E52" s="36" t="s">
        <v>11</v>
      </c>
      <c r="F52" s="36" t="s">
        <v>11</v>
      </c>
      <c r="G52" s="36" t="s">
        <v>11</v>
      </c>
      <c r="H52" s="37" t="s">
        <v>11</v>
      </c>
      <c r="I52" s="43" t="s">
        <v>11</v>
      </c>
      <c r="J52" s="36" t="s">
        <v>11</v>
      </c>
      <c r="K52" s="36" t="s">
        <v>11</v>
      </c>
      <c r="L52" s="36" t="s">
        <v>11</v>
      </c>
      <c r="M52" s="37" t="s">
        <v>11</v>
      </c>
      <c r="N52" s="43" t="s">
        <v>11</v>
      </c>
      <c r="O52" s="36" t="s">
        <v>11</v>
      </c>
      <c r="P52" s="36" t="s">
        <v>11</v>
      </c>
      <c r="Q52" s="36" t="s">
        <v>11</v>
      </c>
      <c r="R52" s="37" t="s">
        <v>11</v>
      </c>
      <c r="S52" s="43" t="s">
        <v>11</v>
      </c>
      <c r="T52" s="36" t="s">
        <v>11</v>
      </c>
      <c r="U52" s="36" t="s">
        <v>11</v>
      </c>
      <c r="V52" s="36" t="s">
        <v>11</v>
      </c>
      <c r="W52" s="37" t="s">
        <v>11</v>
      </c>
      <c r="X52" s="43" t="s">
        <v>11</v>
      </c>
      <c r="Y52" s="36" t="s">
        <v>11</v>
      </c>
      <c r="Z52" s="36" t="s">
        <v>11</v>
      </c>
      <c r="AA52" s="36" t="s">
        <v>11</v>
      </c>
      <c r="AB52" s="37" t="s">
        <v>11</v>
      </c>
      <c r="AC52" s="43" t="s">
        <v>11</v>
      </c>
      <c r="AD52" s="36" t="s">
        <v>11</v>
      </c>
      <c r="AE52" s="36" t="s">
        <v>11</v>
      </c>
      <c r="AF52" s="36">
        <v>0.222</v>
      </c>
      <c r="AG52" s="37">
        <v>0.223</v>
      </c>
      <c r="AH52" s="43">
        <v>0.223</v>
      </c>
      <c r="AI52" s="36">
        <v>0.23400000000000001</v>
      </c>
      <c r="AJ52" s="36">
        <v>0.22600000000000001</v>
      </c>
      <c r="AK52" s="36">
        <v>0.21099999999999999</v>
      </c>
      <c r="AL52" s="37" t="s">
        <v>11</v>
      </c>
      <c r="AM52" s="43" t="s">
        <v>11</v>
      </c>
      <c r="AN52" s="36" t="s">
        <v>11</v>
      </c>
      <c r="AO52" s="36" t="s">
        <v>11</v>
      </c>
      <c r="AP52" s="36" t="s">
        <v>11</v>
      </c>
      <c r="AQ52" s="37" t="s">
        <v>11</v>
      </c>
      <c r="AR52" s="43" t="s">
        <v>11</v>
      </c>
      <c r="AS52" s="36" t="s">
        <v>11</v>
      </c>
      <c r="AT52" s="36" t="s">
        <v>11</v>
      </c>
      <c r="AU52" s="36" t="s">
        <v>11</v>
      </c>
      <c r="AV52" s="37" t="s">
        <v>11</v>
      </c>
      <c r="AW52" s="43" t="s">
        <v>11</v>
      </c>
      <c r="AX52" s="36" t="s">
        <v>11</v>
      </c>
      <c r="AY52" s="36" t="s">
        <v>11</v>
      </c>
      <c r="AZ52" s="36" t="s">
        <v>11</v>
      </c>
      <c r="BA52" s="37" t="s">
        <v>11</v>
      </c>
      <c r="BB52" s="43" t="s">
        <v>11</v>
      </c>
      <c r="BC52" s="36" t="s">
        <v>11</v>
      </c>
      <c r="BD52" s="36" t="s">
        <v>11</v>
      </c>
      <c r="BE52" s="36" t="s">
        <v>11</v>
      </c>
      <c r="BF52" s="37" t="s">
        <v>11</v>
      </c>
      <c r="BG52" s="43" t="s">
        <v>11</v>
      </c>
      <c r="BH52" s="36" t="s">
        <v>11</v>
      </c>
      <c r="BI52" s="36" t="s">
        <v>11</v>
      </c>
      <c r="BJ52" s="36" t="s">
        <v>11</v>
      </c>
      <c r="BK52" s="37" t="s">
        <v>11</v>
      </c>
      <c r="BL52" s="43" t="s">
        <v>11</v>
      </c>
      <c r="BM52" s="37" t="s">
        <v>11</v>
      </c>
      <c r="BN52" s="166">
        <f t="shared" ref="BN52:BN54" si="32">IFERROR(AVERAGE(D52:BM54),0)</f>
        <v>0.22350000000000009</v>
      </c>
      <c r="BO52" s="166">
        <f t="shared" ref="BO52:BO54" si="33">MIN(D52:BM54)</f>
        <v>0.21099999999999999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65">
        <v>8.3000000000000004E-2</v>
      </c>
      <c r="B53" s="7" t="s">
        <v>12</v>
      </c>
      <c r="C53" s="11" t="s">
        <v>8</v>
      </c>
      <c r="D53" s="41" t="s">
        <v>11</v>
      </c>
      <c r="E53" s="22" t="s">
        <v>11</v>
      </c>
      <c r="F53" s="22" t="s">
        <v>11</v>
      </c>
      <c r="G53" s="22" t="s">
        <v>11</v>
      </c>
      <c r="H53" s="42" t="s">
        <v>11</v>
      </c>
      <c r="I53" s="45" t="s">
        <v>11</v>
      </c>
      <c r="J53" s="22" t="s">
        <v>11</v>
      </c>
      <c r="K53" s="22" t="s">
        <v>11</v>
      </c>
      <c r="L53" s="22" t="s">
        <v>11</v>
      </c>
      <c r="M53" s="42" t="s">
        <v>11</v>
      </c>
      <c r="N53" s="45" t="s">
        <v>11</v>
      </c>
      <c r="O53" s="22" t="s">
        <v>11</v>
      </c>
      <c r="P53" s="22" t="s">
        <v>11</v>
      </c>
      <c r="Q53" s="22" t="s">
        <v>11</v>
      </c>
      <c r="R53" s="42" t="s">
        <v>11</v>
      </c>
      <c r="S53" s="45" t="s">
        <v>11</v>
      </c>
      <c r="T53" s="22" t="s">
        <v>11</v>
      </c>
      <c r="U53" s="22" t="s">
        <v>11</v>
      </c>
      <c r="V53" s="22" t="s">
        <v>11</v>
      </c>
      <c r="W53" s="42" t="s">
        <v>11</v>
      </c>
      <c r="X53" s="45" t="s">
        <v>11</v>
      </c>
      <c r="Y53" s="22" t="s">
        <v>11</v>
      </c>
      <c r="Z53" s="22" t="s">
        <v>11</v>
      </c>
      <c r="AA53" s="22" t="s">
        <v>11</v>
      </c>
      <c r="AB53" s="42" t="s">
        <v>11</v>
      </c>
      <c r="AC53" s="45" t="s">
        <v>11</v>
      </c>
      <c r="AD53" s="22" t="s">
        <v>11</v>
      </c>
      <c r="AE53" s="22" t="s">
        <v>11</v>
      </c>
      <c r="AF53" s="22">
        <v>0.219</v>
      </c>
      <c r="AG53" s="42">
        <v>0.217</v>
      </c>
      <c r="AH53" s="45">
        <v>0.222</v>
      </c>
      <c r="AI53" s="22">
        <v>0.23100000000000001</v>
      </c>
      <c r="AJ53" s="22">
        <v>0.21199999999999999</v>
      </c>
      <c r="AK53" s="22">
        <v>0.221</v>
      </c>
      <c r="AL53" s="42" t="s">
        <v>11</v>
      </c>
      <c r="AM53" s="45" t="s">
        <v>11</v>
      </c>
      <c r="AN53" s="22" t="s">
        <v>11</v>
      </c>
      <c r="AO53" s="22" t="s">
        <v>11</v>
      </c>
      <c r="AP53" s="22" t="s">
        <v>11</v>
      </c>
      <c r="AQ53" s="42" t="s">
        <v>11</v>
      </c>
      <c r="AR53" s="45" t="s">
        <v>11</v>
      </c>
      <c r="AS53" s="22" t="s">
        <v>11</v>
      </c>
      <c r="AT53" s="22" t="s">
        <v>11</v>
      </c>
      <c r="AU53" s="22" t="s">
        <v>11</v>
      </c>
      <c r="AV53" s="42" t="s">
        <v>11</v>
      </c>
      <c r="AW53" s="45" t="s">
        <v>11</v>
      </c>
      <c r="AX53" s="22" t="s">
        <v>11</v>
      </c>
      <c r="AY53" s="22" t="s">
        <v>11</v>
      </c>
      <c r="AZ53" s="22" t="s">
        <v>11</v>
      </c>
      <c r="BA53" s="42" t="s">
        <v>11</v>
      </c>
      <c r="BB53" s="45" t="s">
        <v>11</v>
      </c>
      <c r="BC53" s="22" t="s">
        <v>11</v>
      </c>
      <c r="BD53" s="22" t="s">
        <v>11</v>
      </c>
      <c r="BE53" s="22" t="s">
        <v>11</v>
      </c>
      <c r="BF53" s="42" t="s">
        <v>11</v>
      </c>
      <c r="BG53" s="45" t="s">
        <v>11</v>
      </c>
      <c r="BH53" s="22" t="s">
        <v>11</v>
      </c>
      <c r="BI53" s="22" t="s">
        <v>11</v>
      </c>
      <c r="BJ53" s="22" t="s">
        <v>11</v>
      </c>
      <c r="BK53" s="42" t="s">
        <v>11</v>
      </c>
      <c r="BL53" s="45" t="s">
        <v>11</v>
      </c>
      <c r="BM53" s="42" t="s">
        <v>11</v>
      </c>
      <c r="BN53" s="167">
        <f t="shared" si="32"/>
        <v>0.2151285714285715</v>
      </c>
      <c r="BO53" s="167">
        <f t="shared" si="33"/>
        <v>0.187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65"/>
      <c r="B54" s="8" t="s">
        <v>30</v>
      </c>
      <c r="C54" s="12" t="s">
        <v>14</v>
      </c>
      <c r="D54" s="38" t="s">
        <v>11</v>
      </c>
      <c r="E54" s="39" t="s">
        <v>11</v>
      </c>
      <c r="F54" s="39" t="s">
        <v>11</v>
      </c>
      <c r="G54" s="39" t="s">
        <v>11</v>
      </c>
      <c r="H54" s="40" t="s">
        <v>11</v>
      </c>
      <c r="I54" s="44" t="s">
        <v>11</v>
      </c>
      <c r="J54" s="39" t="s">
        <v>11</v>
      </c>
      <c r="K54" s="39" t="s">
        <v>11</v>
      </c>
      <c r="L54" s="39" t="s">
        <v>11</v>
      </c>
      <c r="M54" s="40" t="s">
        <v>11</v>
      </c>
      <c r="N54" s="44" t="s">
        <v>11</v>
      </c>
      <c r="O54" s="39" t="s">
        <v>11</v>
      </c>
      <c r="P54" s="39" t="s">
        <v>11</v>
      </c>
      <c r="Q54" s="39" t="s">
        <v>11</v>
      </c>
      <c r="R54" s="40" t="s">
        <v>11</v>
      </c>
      <c r="S54" s="44" t="s">
        <v>11</v>
      </c>
      <c r="T54" s="39" t="s">
        <v>11</v>
      </c>
      <c r="U54" s="39" t="s">
        <v>11</v>
      </c>
      <c r="V54" s="39" t="s">
        <v>11</v>
      </c>
      <c r="W54" s="40" t="s">
        <v>11</v>
      </c>
      <c r="X54" s="44" t="s">
        <v>11</v>
      </c>
      <c r="Y54" s="39" t="s">
        <v>11</v>
      </c>
      <c r="Z54" s="39" t="s">
        <v>11</v>
      </c>
      <c r="AA54" s="39" t="s">
        <v>11</v>
      </c>
      <c r="AB54" s="40" t="s">
        <v>11</v>
      </c>
      <c r="AC54" s="44" t="s">
        <v>11</v>
      </c>
      <c r="AD54" s="39" t="s">
        <v>11</v>
      </c>
      <c r="AE54" s="39" t="s">
        <v>11</v>
      </c>
      <c r="AF54" s="39">
        <v>0.23699999999999999</v>
      </c>
      <c r="AG54" s="40">
        <v>0.216</v>
      </c>
      <c r="AH54" s="44">
        <v>0.23200000000000001</v>
      </c>
      <c r="AI54" s="39">
        <v>0.24099999999999999</v>
      </c>
      <c r="AJ54" s="39">
        <v>0.21199999999999999</v>
      </c>
      <c r="AK54" s="39">
        <v>0.224</v>
      </c>
      <c r="AL54" s="40" t="s">
        <v>11</v>
      </c>
      <c r="AM54" s="44" t="s">
        <v>11</v>
      </c>
      <c r="AN54" s="39" t="s">
        <v>11</v>
      </c>
      <c r="AO54" s="39" t="s">
        <v>11</v>
      </c>
      <c r="AP54" s="39" t="s">
        <v>11</v>
      </c>
      <c r="AQ54" s="40" t="s">
        <v>11</v>
      </c>
      <c r="AR54" s="44" t="s">
        <v>11</v>
      </c>
      <c r="AS54" s="39" t="s">
        <v>11</v>
      </c>
      <c r="AT54" s="39" t="s">
        <v>11</v>
      </c>
      <c r="AU54" s="39" t="s">
        <v>11</v>
      </c>
      <c r="AV54" s="40" t="s">
        <v>11</v>
      </c>
      <c r="AW54" s="44" t="s">
        <v>11</v>
      </c>
      <c r="AX54" s="39" t="s">
        <v>11</v>
      </c>
      <c r="AY54" s="39" t="s">
        <v>11</v>
      </c>
      <c r="AZ54" s="39" t="s">
        <v>11</v>
      </c>
      <c r="BA54" s="40" t="s">
        <v>11</v>
      </c>
      <c r="BB54" s="44" t="s">
        <v>11</v>
      </c>
      <c r="BC54" s="39" t="s">
        <v>11</v>
      </c>
      <c r="BD54" s="39" t="s">
        <v>11</v>
      </c>
      <c r="BE54" s="39" t="s">
        <v>11</v>
      </c>
      <c r="BF54" s="40" t="s">
        <v>11</v>
      </c>
      <c r="BG54" s="44" t="s">
        <v>11</v>
      </c>
      <c r="BH54" s="39" t="s">
        <v>11</v>
      </c>
      <c r="BI54" s="39" t="s">
        <v>11</v>
      </c>
      <c r="BJ54" s="39" t="s">
        <v>11</v>
      </c>
      <c r="BK54" s="40" t="s">
        <v>11</v>
      </c>
      <c r="BL54" s="44" t="s">
        <v>11</v>
      </c>
      <c r="BM54" s="40" t="s">
        <v>11</v>
      </c>
      <c r="BN54" s="168">
        <f t="shared" si="32"/>
        <v>0.21402459016393433</v>
      </c>
      <c r="BO54" s="168">
        <f t="shared" si="33"/>
        <v>0.187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19</v>
      </c>
      <c r="B55" s="6"/>
      <c r="C55" s="11" t="s">
        <v>10</v>
      </c>
      <c r="D55" s="35">
        <v>0.23599999999999999</v>
      </c>
      <c r="E55" s="36" t="s">
        <v>20</v>
      </c>
      <c r="F55" s="36">
        <v>0.222</v>
      </c>
      <c r="G55" s="36">
        <v>0.22500000000000001</v>
      </c>
      <c r="H55" s="37">
        <v>0.223</v>
      </c>
      <c r="I55" s="43">
        <v>0.218</v>
      </c>
      <c r="J55" s="36">
        <v>0.20899999999999999</v>
      </c>
      <c r="K55" s="36">
        <v>0.21199999999999999</v>
      </c>
      <c r="L55" s="36">
        <v>0.221</v>
      </c>
      <c r="M55" s="37">
        <v>0.214</v>
      </c>
      <c r="N55" s="43">
        <v>0.21099999999999999</v>
      </c>
      <c r="O55" s="36">
        <v>0.21299999999999999</v>
      </c>
      <c r="P55" s="36" t="s">
        <v>20</v>
      </c>
      <c r="Q55" s="36">
        <v>0.20799999999999999</v>
      </c>
      <c r="R55" s="37">
        <v>0.20799999999999999</v>
      </c>
      <c r="S55" s="43">
        <v>0.20300000000000001</v>
      </c>
      <c r="T55" s="36">
        <v>0.20200000000000001</v>
      </c>
      <c r="U55" s="36">
        <v>0.20899999999999999</v>
      </c>
      <c r="V55" s="36">
        <v>0.20799999999999999</v>
      </c>
      <c r="W55" s="37">
        <v>0.20699999999999999</v>
      </c>
      <c r="X55" s="43">
        <v>0.20399999999999999</v>
      </c>
      <c r="Y55" s="36">
        <v>0.20599999999999999</v>
      </c>
      <c r="Z55" s="36">
        <v>0.21</v>
      </c>
      <c r="AA55" s="36">
        <v>0.219</v>
      </c>
      <c r="AB55" s="37">
        <v>0.20899999999999999</v>
      </c>
      <c r="AC55" s="43">
        <v>0.222</v>
      </c>
      <c r="AD55" s="36">
        <v>0.20599999999999999</v>
      </c>
      <c r="AE55" s="36">
        <v>0.224</v>
      </c>
      <c r="AF55" s="36">
        <v>0.20899999999999999</v>
      </c>
      <c r="AG55" s="37">
        <v>0.217</v>
      </c>
      <c r="AH55" s="43">
        <v>0.223</v>
      </c>
      <c r="AI55" s="36">
        <v>0.22800000000000001</v>
      </c>
      <c r="AJ55" s="36">
        <v>0.223</v>
      </c>
      <c r="AK55" s="36">
        <v>0.217</v>
      </c>
      <c r="AL55" s="37">
        <v>0.20699999999999999</v>
      </c>
      <c r="AM55" s="43">
        <v>0.187</v>
      </c>
      <c r="AN55" s="36">
        <v>0.216</v>
      </c>
      <c r="AO55" s="36">
        <v>0.191</v>
      </c>
      <c r="AP55" s="36">
        <v>0.19500000000000001</v>
      </c>
      <c r="AQ55" s="37">
        <v>0.20399999999999999</v>
      </c>
      <c r="AR55" s="43">
        <v>0.219</v>
      </c>
      <c r="AS55" s="36">
        <v>0.20599999999999999</v>
      </c>
      <c r="AT55" s="36">
        <v>0.20699999999999999</v>
      </c>
      <c r="AU55" s="36">
        <v>0.21199999999999999</v>
      </c>
      <c r="AV55" s="37">
        <v>0.21</v>
      </c>
      <c r="AW55" s="43">
        <v>0.20899999999999999</v>
      </c>
      <c r="AX55" s="36">
        <v>0.216</v>
      </c>
      <c r="AY55" s="36">
        <v>0.20499999999999999</v>
      </c>
      <c r="AZ55" s="36">
        <v>0.221</v>
      </c>
      <c r="BA55" s="37">
        <v>0.218</v>
      </c>
      <c r="BB55" s="43">
        <v>0.22</v>
      </c>
      <c r="BC55" s="36">
        <v>0.20499999999999999</v>
      </c>
      <c r="BD55" s="36">
        <v>0.20200000000000001</v>
      </c>
      <c r="BE55" s="36" t="s">
        <v>20</v>
      </c>
      <c r="BF55" s="37">
        <v>0.22600000000000001</v>
      </c>
      <c r="BG55" s="43">
        <v>0.20899999999999999</v>
      </c>
      <c r="BH55" s="36">
        <v>0.22500000000000001</v>
      </c>
      <c r="BI55" s="36">
        <v>0.224</v>
      </c>
      <c r="BJ55" s="36">
        <v>0.21299999999999999</v>
      </c>
      <c r="BK55" s="37">
        <v>0.24299999999999999</v>
      </c>
      <c r="BL55" s="43">
        <v>0.219</v>
      </c>
      <c r="BM55" s="37" t="s">
        <v>20</v>
      </c>
      <c r="BN55" s="166">
        <f t="shared" ref="BN55:BN57" si="34">IFERROR(AVERAGE(D55:BM57),0)</f>
        <v>0.21283333333333321</v>
      </c>
      <c r="BO55" s="166">
        <f t="shared" ref="BO55:BO57" si="35">MIN(D55:BM57)</f>
        <v>0.187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65">
        <v>8.3000000000000004E-2</v>
      </c>
      <c r="B56" s="7" t="s">
        <v>33</v>
      </c>
      <c r="C56" s="11" t="s">
        <v>8</v>
      </c>
      <c r="D56" s="41">
        <v>0.23</v>
      </c>
      <c r="E56" s="22" t="s">
        <v>20</v>
      </c>
      <c r="F56" s="22">
        <v>0.22</v>
      </c>
      <c r="G56" s="22">
        <v>0.214</v>
      </c>
      <c r="H56" s="42">
        <v>0.21299999999999999</v>
      </c>
      <c r="I56" s="45">
        <v>0.218</v>
      </c>
      <c r="J56" s="22">
        <v>0.216</v>
      </c>
      <c r="K56" s="22">
        <v>0.221</v>
      </c>
      <c r="L56" s="22">
        <v>0.20899999999999999</v>
      </c>
      <c r="M56" s="42">
        <v>0.215</v>
      </c>
      <c r="N56" s="45">
        <v>0.21299999999999999</v>
      </c>
      <c r="O56" s="22">
        <v>0.221</v>
      </c>
      <c r="P56" s="22" t="s">
        <v>20</v>
      </c>
      <c r="Q56" s="22">
        <v>0.22500000000000001</v>
      </c>
      <c r="R56" s="42">
        <v>0.215</v>
      </c>
      <c r="S56" s="45">
        <v>0.20300000000000001</v>
      </c>
      <c r="T56" s="22">
        <v>0.21199999999999999</v>
      </c>
      <c r="U56" s="22">
        <v>0.20399999999999999</v>
      </c>
      <c r="V56" s="22">
        <v>0.19700000000000001</v>
      </c>
      <c r="W56" s="42">
        <v>0.19500000000000001</v>
      </c>
      <c r="X56" s="45">
        <v>0.20599999999999999</v>
      </c>
      <c r="Y56" s="22">
        <v>0.20799999999999999</v>
      </c>
      <c r="Z56" s="22">
        <v>0.20499999999999999</v>
      </c>
      <c r="AA56" s="22">
        <v>0.214</v>
      </c>
      <c r="AB56" s="42">
        <v>0.21199999999999999</v>
      </c>
      <c r="AC56" s="45">
        <v>0.22700000000000001</v>
      </c>
      <c r="AD56" s="22">
        <v>0.20699999999999999</v>
      </c>
      <c r="AE56" s="22">
        <v>0.214</v>
      </c>
      <c r="AF56" s="22">
        <v>0.23100000000000001</v>
      </c>
      <c r="AG56" s="42">
        <v>0.22900000000000001</v>
      </c>
      <c r="AH56" s="45">
        <v>0.223</v>
      </c>
      <c r="AI56" s="22">
        <v>0.217</v>
      </c>
      <c r="AJ56" s="22">
        <v>0.215</v>
      </c>
      <c r="AK56" s="22">
        <v>0.19700000000000001</v>
      </c>
      <c r="AL56" s="42">
        <v>0.21099999999999999</v>
      </c>
      <c r="AM56" s="45">
        <v>0.20599999999999999</v>
      </c>
      <c r="AN56" s="22">
        <v>0.20200000000000001</v>
      </c>
      <c r="AO56" s="22">
        <v>0.19700000000000001</v>
      </c>
      <c r="AP56" s="22" t="s">
        <v>20</v>
      </c>
      <c r="AQ56" s="42">
        <v>0.21</v>
      </c>
      <c r="AR56" s="45">
        <v>0.20699999999999999</v>
      </c>
      <c r="AS56" s="22">
        <v>0.20799999999999999</v>
      </c>
      <c r="AT56" s="22">
        <v>0.20799999999999999</v>
      </c>
      <c r="AU56" s="22">
        <v>0.20899999999999999</v>
      </c>
      <c r="AV56" s="42">
        <v>0.21</v>
      </c>
      <c r="AW56" s="45">
        <v>0.20499999999999999</v>
      </c>
      <c r="AX56" s="22">
        <v>0.214</v>
      </c>
      <c r="AY56" s="22">
        <v>0.21</v>
      </c>
      <c r="AZ56" s="22">
        <v>0.217</v>
      </c>
      <c r="BA56" s="42">
        <v>0.20699999999999999</v>
      </c>
      <c r="BB56" s="45">
        <v>0.21099999999999999</v>
      </c>
      <c r="BC56" s="22">
        <v>0.22900000000000001</v>
      </c>
      <c r="BD56" s="22">
        <v>0.20699999999999999</v>
      </c>
      <c r="BE56" s="22" t="s">
        <v>20</v>
      </c>
      <c r="BF56" s="42">
        <v>0.20699999999999999</v>
      </c>
      <c r="BG56" s="45">
        <v>0.214</v>
      </c>
      <c r="BH56" s="22">
        <v>0.20599999999999999</v>
      </c>
      <c r="BI56" s="22">
        <v>0.224</v>
      </c>
      <c r="BJ56" s="22">
        <v>0.224</v>
      </c>
      <c r="BK56" s="42">
        <v>0.224</v>
      </c>
      <c r="BL56" s="45">
        <v>0.222</v>
      </c>
      <c r="BM56" s="42">
        <v>0.23899999999999999</v>
      </c>
      <c r="BN56" s="167">
        <f t="shared" si="34"/>
        <v>0.21041714285714302</v>
      </c>
      <c r="BO56" s="167">
        <f t="shared" si="35"/>
        <v>0.18099999999999999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65"/>
      <c r="B57" s="8"/>
      <c r="C57" s="12" t="s">
        <v>14</v>
      </c>
      <c r="D57" s="38">
        <v>0.23200000000000001</v>
      </c>
      <c r="E57" s="39">
        <v>0.222</v>
      </c>
      <c r="F57" s="39">
        <v>0.21099999999999999</v>
      </c>
      <c r="G57" s="39">
        <v>0.216</v>
      </c>
      <c r="H57" s="40">
        <v>0.22700000000000001</v>
      </c>
      <c r="I57" s="44">
        <v>0.22500000000000001</v>
      </c>
      <c r="J57" s="39">
        <v>0.217</v>
      </c>
      <c r="K57" s="39">
        <v>0.216</v>
      </c>
      <c r="L57" s="39">
        <v>0.21099999999999999</v>
      </c>
      <c r="M57" s="40">
        <v>0.2</v>
      </c>
      <c r="N57" s="44">
        <v>0.21199999999999999</v>
      </c>
      <c r="O57" s="39">
        <v>0.223</v>
      </c>
      <c r="P57" s="39" t="s">
        <v>20</v>
      </c>
      <c r="Q57" s="39">
        <v>0.21</v>
      </c>
      <c r="R57" s="40">
        <v>0.21199999999999999</v>
      </c>
      <c r="S57" s="44">
        <v>0.19700000000000001</v>
      </c>
      <c r="T57" s="39">
        <v>0.20499999999999999</v>
      </c>
      <c r="U57" s="39">
        <v>0.20399999999999999</v>
      </c>
      <c r="V57" s="39">
        <v>0.218</v>
      </c>
      <c r="W57" s="40">
        <v>0.20100000000000001</v>
      </c>
      <c r="X57" s="44">
        <v>0.218</v>
      </c>
      <c r="Y57" s="39">
        <v>0.20699999999999999</v>
      </c>
      <c r="Z57" s="39">
        <v>0.21</v>
      </c>
      <c r="AA57" s="39">
        <v>0.20799999999999999</v>
      </c>
      <c r="AB57" s="40">
        <v>0.221</v>
      </c>
      <c r="AC57" s="44">
        <v>0.21299999999999999</v>
      </c>
      <c r="AD57" s="39">
        <v>0.20200000000000001</v>
      </c>
      <c r="AE57" s="39">
        <v>0.21299999999999999</v>
      </c>
      <c r="AF57" s="39">
        <v>0.21099999999999999</v>
      </c>
      <c r="AG57" s="40">
        <v>0.20399999999999999</v>
      </c>
      <c r="AH57" s="44">
        <v>0.222</v>
      </c>
      <c r="AI57" s="39">
        <v>0.21299999999999999</v>
      </c>
      <c r="AJ57" s="39">
        <v>0.22</v>
      </c>
      <c r="AK57" s="39">
        <v>0.223</v>
      </c>
      <c r="AL57" s="40">
        <v>0.2</v>
      </c>
      <c r="AM57" s="44">
        <v>0.19600000000000001</v>
      </c>
      <c r="AN57" s="39">
        <v>0.20799999999999999</v>
      </c>
      <c r="AO57" s="39">
        <v>0.20499999999999999</v>
      </c>
      <c r="AP57" s="39" t="s">
        <v>20</v>
      </c>
      <c r="AQ57" s="40">
        <v>0.19900000000000001</v>
      </c>
      <c r="AR57" s="44">
        <v>0.19500000000000001</v>
      </c>
      <c r="AS57" s="39">
        <v>0.21</v>
      </c>
      <c r="AT57" s="39">
        <v>0.21099999999999999</v>
      </c>
      <c r="AU57" s="39">
        <v>0.20699999999999999</v>
      </c>
      <c r="AV57" s="40">
        <v>0.20200000000000001</v>
      </c>
      <c r="AW57" s="44">
        <v>0.20799999999999999</v>
      </c>
      <c r="AX57" s="39">
        <v>0.19600000000000001</v>
      </c>
      <c r="AY57" s="39">
        <v>0.214</v>
      </c>
      <c r="AZ57" s="39">
        <v>0.21199999999999999</v>
      </c>
      <c r="BA57" s="40">
        <v>0.215</v>
      </c>
      <c r="BB57" s="44">
        <v>0.20599999999999999</v>
      </c>
      <c r="BC57" s="39">
        <v>0.20799999999999999</v>
      </c>
      <c r="BD57" s="39">
        <v>0.214</v>
      </c>
      <c r="BE57" s="39" t="s">
        <v>20</v>
      </c>
      <c r="BF57" s="40">
        <v>0.20899999999999999</v>
      </c>
      <c r="BG57" s="44">
        <v>0.216</v>
      </c>
      <c r="BH57" s="39">
        <v>0.214</v>
      </c>
      <c r="BI57" s="39">
        <v>0.215</v>
      </c>
      <c r="BJ57" s="39">
        <v>0.217</v>
      </c>
      <c r="BK57" s="40">
        <v>0.224</v>
      </c>
      <c r="BL57" s="44" t="s">
        <v>20</v>
      </c>
      <c r="BM57" s="40">
        <v>0.23899999999999999</v>
      </c>
      <c r="BN57" s="168">
        <f t="shared" si="34"/>
        <v>0.20768750000000022</v>
      </c>
      <c r="BO57" s="168">
        <f t="shared" si="35"/>
        <v>0.18099999999999999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19</v>
      </c>
      <c r="B58" s="6"/>
      <c r="C58" s="11" t="s">
        <v>10</v>
      </c>
      <c r="D58" s="35">
        <v>0.20799999999999999</v>
      </c>
      <c r="E58" s="36" t="s">
        <v>20</v>
      </c>
      <c r="F58" s="36">
        <v>0.215</v>
      </c>
      <c r="G58" s="36">
        <v>0.223</v>
      </c>
      <c r="H58" s="37">
        <v>0.21</v>
      </c>
      <c r="I58" s="43">
        <v>0.21299999999999999</v>
      </c>
      <c r="J58" s="36">
        <v>0.23100000000000001</v>
      </c>
      <c r="K58" s="36">
        <v>0.21299999999999999</v>
      </c>
      <c r="L58" s="36">
        <v>0.22500000000000001</v>
      </c>
      <c r="M58" s="37">
        <v>0.21</v>
      </c>
      <c r="N58" s="43">
        <v>0.21199999999999999</v>
      </c>
      <c r="O58" s="36">
        <v>0.19900000000000001</v>
      </c>
      <c r="P58" s="36" t="s">
        <v>20</v>
      </c>
      <c r="Q58" s="36">
        <v>0.20399999999999999</v>
      </c>
      <c r="R58" s="37">
        <v>0.22</v>
      </c>
      <c r="S58" s="43">
        <v>0.22</v>
      </c>
      <c r="T58" s="36">
        <v>0.215</v>
      </c>
      <c r="U58" s="36">
        <v>0.21</v>
      </c>
      <c r="V58" s="36">
        <v>0.21199999999999999</v>
      </c>
      <c r="W58" s="37">
        <v>0.193</v>
      </c>
      <c r="X58" s="43">
        <v>0.19600000000000001</v>
      </c>
      <c r="Y58" s="36">
        <v>0.193</v>
      </c>
      <c r="Z58" s="36">
        <v>0.20899999999999999</v>
      </c>
      <c r="AA58" s="36">
        <v>0.19800000000000001</v>
      </c>
      <c r="AB58" s="37">
        <v>0.19500000000000001</v>
      </c>
      <c r="AC58" s="43">
        <v>0.191</v>
      </c>
      <c r="AD58" s="36">
        <v>0.20699999999999999</v>
      </c>
      <c r="AE58" s="36">
        <v>0.20100000000000001</v>
      </c>
      <c r="AF58" s="36">
        <v>0.19400000000000001</v>
      </c>
      <c r="AG58" s="37">
        <v>0.21199999999999999</v>
      </c>
      <c r="AH58" s="43">
        <v>0.19500000000000001</v>
      </c>
      <c r="AI58" s="36">
        <v>0.219</v>
      </c>
      <c r="AJ58" s="36">
        <v>0.19400000000000001</v>
      </c>
      <c r="AK58" s="36">
        <v>0.193</v>
      </c>
      <c r="AL58" s="37">
        <v>0.2</v>
      </c>
      <c r="AM58" s="43">
        <v>0.19600000000000001</v>
      </c>
      <c r="AN58" s="36">
        <v>0.20599999999999999</v>
      </c>
      <c r="AO58" s="36">
        <v>0.20399999999999999</v>
      </c>
      <c r="AP58" s="36" t="s">
        <v>20</v>
      </c>
      <c r="AQ58" s="37">
        <v>0.214</v>
      </c>
      <c r="AR58" s="43">
        <v>0.19800000000000001</v>
      </c>
      <c r="AS58" s="36">
        <v>0.19400000000000001</v>
      </c>
      <c r="AT58" s="36">
        <v>0.19900000000000001</v>
      </c>
      <c r="AU58" s="36">
        <v>0.2</v>
      </c>
      <c r="AV58" s="37">
        <v>0.18099999999999999</v>
      </c>
      <c r="AW58" s="43">
        <v>0.192</v>
      </c>
      <c r="AX58" s="36">
        <v>0.19700000000000001</v>
      </c>
      <c r="AY58" s="36">
        <v>0.20100000000000001</v>
      </c>
      <c r="AZ58" s="36">
        <v>0.19900000000000001</v>
      </c>
      <c r="BA58" s="37">
        <v>0.20200000000000001</v>
      </c>
      <c r="BB58" s="43">
        <v>0.20399999999999999</v>
      </c>
      <c r="BC58" s="36">
        <v>0.2</v>
      </c>
      <c r="BD58" s="36">
        <v>0.20399999999999999</v>
      </c>
      <c r="BE58" s="36">
        <v>0.21099999999999999</v>
      </c>
      <c r="BF58" s="37">
        <v>0.218</v>
      </c>
      <c r="BG58" s="43">
        <v>0.215</v>
      </c>
      <c r="BH58" s="36">
        <v>0.218</v>
      </c>
      <c r="BI58" s="36">
        <v>0.218</v>
      </c>
      <c r="BJ58" s="36">
        <v>0.21099999999999999</v>
      </c>
      <c r="BK58" s="37">
        <v>0.218</v>
      </c>
      <c r="BL58" s="43">
        <v>0.22700000000000001</v>
      </c>
      <c r="BM58" s="37">
        <v>0.20799999999999999</v>
      </c>
      <c r="BN58" s="166">
        <f t="shared" ref="BN58:BN60" si="36">IFERROR(AVERAGE(D58:BM60),0)</f>
        <v>0.20582022471910111</v>
      </c>
      <c r="BO58" s="166">
        <f t="shared" ref="BO58:BO60" si="37">MIN(D58:BM60)</f>
        <v>0.18099999999999999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65">
        <v>8.3000000000000004E-2</v>
      </c>
      <c r="B59" s="7" t="s">
        <v>34</v>
      </c>
      <c r="C59" s="11" t="s">
        <v>8</v>
      </c>
      <c r="D59" s="41">
        <v>0.216</v>
      </c>
      <c r="E59" s="22" t="s">
        <v>20</v>
      </c>
      <c r="F59" s="22">
        <v>0.21</v>
      </c>
      <c r="G59" s="22">
        <v>0.22600000000000001</v>
      </c>
      <c r="H59" s="42">
        <v>0.222</v>
      </c>
      <c r="I59" s="45">
        <v>0.215</v>
      </c>
      <c r="J59" s="22">
        <v>0.219</v>
      </c>
      <c r="K59" s="22">
        <v>0.20899999999999999</v>
      </c>
      <c r="L59" s="22">
        <v>0.22700000000000001</v>
      </c>
      <c r="M59" s="42">
        <v>0.20399999999999999</v>
      </c>
      <c r="N59" s="45">
        <v>0.20899999999999999</v>
      </c>
      <c r="O59" s="22">
        <v>0.215</v>
      </c>
      <c r="P59" s="22" t="s">
        <v>20</v>
      </c>
      <c r="Q59" s="22">
        <v>0.20799999999999999</v>
      </c>
      <c r="R59" s="42">
        <v>0.19900000000000001</v>
      </c>
      <c r="S59" s="45">
        <v>0.19700000000000001</v>
      </c>
      <c r="T59" s="22">
        <v>0.19500000000000001</v>
      </c>
      <c r="U59" s="22">
        <v>0.21</v>
      </c>
      <c r="V59" s="22">
        <v>0.18099999999999999</v>
      </c>
      <c r="W59" s="42">
        <v>0.182</v>
      </c>
      <c r="X59" s="45">
        <v>0.19600000000000001</v>
      </c>
      <c r="Y59" s="22">
        <v>0.20499999999999999</v>
      </c>
      <c r="Z59" s="22">
        <v>0.193</v>
      </c>
      <c r="AA59" s="22">
        <v>0.189</v>
      </c>
      <c r="AB59" s="42">
        <v>0.193</v>
      </c>
      <c r="AC59" s="45">
        <v>0.192</v>
      </c>
      <c r="AD59" s="22">
        <v>0.20100000000000001</v>
      </c>
      <c r="AE59" s="22">
        <v>0.21299999999999999</v>
      </c>
      <c r="AF59" s="22">
        <v>0.187</v>
      </c>
      <c r="AG59" s="42">
        <v>0.184</v>
      </c>
      <c r="AH59" s="45">
        <v>0.219</v>
      </c>
      <c r="AI59" s="22">
        <v>0.20399999999999999</v>
      </c>
      <c r="AJ59" s="22">
        <v>0.192</v>
      </c>
      <c r="AK59" s="22">
        <v>0.20699999999999999</v>
      </c>
      <c r="AL59" s="42">
        <v>0.19900000000000001</v>
      </c>
      <c r="AM59" s="45">
        <v>0.20399999999999999</v>
      </c>
      <c r="AN59" s="22">
        <v>0.20899999999999999</v>
      </c>
      <c r="AO59" s="22">
        <v>0.21199999999999999</v>
      </c>
      <c r="AP59" s="22" t="s">
        <v>20</v>
      </c>
      <c r="AQ59" s="42">
        <v>0.20799999999999999</v>
      </c>
      <c r="AR59" s="45">
        <v>0.20599999999999999</v>
      </c>
      <c r="AS59" s="22">
        <v>0.20599999999999999</v>
      </c>
      <c r="AT59" s="22">
        <v>0.20899999999999999</v>
      </c>
      <c r="AU59" s="22">
        <v>0.18099999999999999</v>
      </c>
      <c r="AV59" s="42">
        <v>0.2</v>
      </c>
      <c r="AW59" s="45">
        <v>0.188</v>
      </c>
      <c r="AX59" s="22">
        <v>0.19700000000000001</v>
      </c>
      <c r="AY59" s="22">
        <v>0.19800000000000001</v>
      </c>
      <c r="AZ59" s="22">
        <v>0.21099999999999999</v>
      </c>
      <c r="BA59" s="42">
        <v>0.19800000000000001</v>
      </c>
      <c r="BB59" s="45">
        <v>0.21</v>
      </c>
      <c r="BC59" s="22">
        <v>0.20100000000000001</v>
      </c>
      <c r="BD59" s="22">
        <v>0.20499999999999999</v>
      </c>
      <c r="BE59" s="22">
        <v>0.22</v>
      </c>
      <c r="BF59" s="42">
        <v>0.21099999999999999</v>
      </c>
      <c r="BG59" s="45">
        <v>0.214</v>
      </c>
      <c r="BH59" s="22">
        <v>0.20699999999999999</v>
      </c>
      <c r="BI59" s="22">
        <v>0.22500000000000001</v>
      </c>
      <c r="BJ59" s="22">
        <v>0.223</v>
      </c>
      <c r="BK59" s="42">
        <v>0.222</v>
      </c>
      <c r="BL59" s="45">
        <v>0.214</v>
      </c>
      <c r="BM59" s="42">
        <v>0.20699999999999999</v>
      </c>
      <c r="BN59" s="167">
        <f t="shared" si="36"/>
        <v>0.20589944134078217</v>
      </c>
      <c r="BO59" s="167">
        <f t="shared" si="37"/>
        <v>0.18099999999999999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65"/>
      <c r="B60" s="8"/>
      <c r="C60" s="12" t="s">
        <v>14</v>
      </c>
      <c r="D60" s="38">
        <v>0.21199999999999999</v>
      </c>
      <c r="E60" s="39">
        <v>0.192</v>
      </c>
      <c r="F60" s="39">
        <v>0.21099999999999999</v>
      </c>
      <c r="G60" s="39">
        <v>0.217</v>
      </c>
      <c r="H60" s="40">
        <v>0.20699999999999999</v>
      </c>
      <c r="I60" s="44">
        <v>0.221</v>
      </c>
      <c r="J60" s="39">
        <v>0.214</v>
      </c>
      <c r="K60" s="39">
        <v>0.224</v>
      </c>
      <c r="L60" s="39">
        <v>0.214</v>
      </c>
      <c r="M60" s="40">
        <v>0.20899999999999999</v>
      </c>
      <c r="N60" s="44">
        <v>0.20200000000000001</v>
      </c>
      <c r="O60" s="39">
        <v>0.214</v>
      </c>
      <c r="P60" s="39" t="s">
        <v>20</v>
      </c>
      <c r="Q60" s="39">
        <v>0.217</v>
      </c>
      <c r="R60" s="40">
        <v>0.20399999999999999</v>
      </c>
      <c r="S60" s="44">
        <v>0.20399999999999999</v>
      </c>
      <c r="T60" s="39">
        <v>0.19400000000000001</v>
      </c>
      <c r="U60" s="39">
        <v>0.20499999999999999</v>
      </c>
      <c r="V60" s="39">
        <v>0.20499999999999999</v>
      </c>
      <c r="W60" s="40">
        <v>0.214</v>
      </c>
      <c r="X60" s="44">
        <v>0.20899999999999999</v>
      </c>
      <c r="Y60" s="39">
        <v>0.20699999999999999</v>
      </c>
      <c r="Z60" s="39">
        <v>0.2</v>
      </c>
      <c r="AA60" s="39">
        <v>0.19800000000000001</v>
      </c>
      <c r="AB60" s="40">
        <v>0.20100000000000001</v>
      </c>
      <c r="AC60" s="44">
        <v>0.2</v>
      </c>
      <c r="AD60" s="39">
        <v>0.21199999999999999</v>
      </c>
      <c r="AE60" s="39">
        <v>0.193</v>
      </c>
      <c r="AF60" s="39">
        <v>0.20300000000000001</v>
      </c>
      <c r="AG60" s="40">
        <v>0.191</v>
      </c>
      <c r="AH60" s="44">
        <v>0.20499999999999999</v>
      </c>
      <c r="AI60" s="39">
        <v>0.19600000000000001</v>
      </c>
      <c r="AJ60" s="39">
        <v>0.19400000000000001</v>
      </c>
      <c r="AK60" s="39">
        <v>0.20399999999999999</v>
      </c>
      <c r="AL60" s="40">
        <v>0.187</v>
      </c>
      <c r="AM60" s="44">
        <v>0.19600000000000001</v>
      </c>
      <c r="AN60" s="39">
        <v>0.20599999999999999</v>
      </c>
      <c r="AO60" s="39">
        <v>0.20599999999999999</v>
      </c>
      <c r="AP60" s="39" t="s">
        <v>20</v>
      </c>
      <c r="AQ60" s="40">
        <v>0.193</v>
      </c>
      <c r="AR60" s="44">
        <v>0.20499999999999999</v>
      </c>
      <c r="AS60" s="39">
        <v>0.19400000000000001</v>
      </c>
      <c r="AT60" s="39">
        <v>0.192</v>
      </c>
      <c r="AU60" s="39">
        <v>0.189</v>
      </c>
      <c r="AV60" s="40">
        <v>0.21</v>
      </c>
      <c r="AW60" s="44">
        <v>0.20499999999999999</v>
      </c>
      <c r="AX60" s="39">
        <v>0.214</v>
      </c>
      <c r="AY60" s="39">
        <v>0.20399999999999999</v>
      </c>
      <c r="AZ60" s="39">
        <v>0.20200000000000001</v>
      </c>
      <c r="BA60" s="40">
        <v>0.20799999999999999</v>
      </c>
      <c r="BB60" s="44">
        <v>0.20599999999999999</v>
      </c>
      <c r="BC60" s="39">
        <v>0.218</v>
      </c>
      <c r="BD60" s="39">
        <v>0.20100000000000001</v>
      </c>
      <c r="BE60" s="39">
        <v>0.22</v>
      </c>
      <c r="BF60" s="40">
        <v>0.21</v>
      </c>
      <c r="BG60" s="44">
        <v>0.22500000000000001</v>
      </c>
      <c r="BH60" s="39">
        <v>0.20899999999999999</v>
      </c>
      <c r="BI60" s="39">
        <v>0.21299999999999999</v>
      </c>
      <c r="BJ60" s="39">
        <v>0.218</v>
      </c>
      <c r="BK60" s="40">
        <v>0.23</v>
      </c>
      <c r="BL60" s="44">
        <v>0.20799999999999999</v>
      </c>
      <c r="BM60" s="40">
        <v>0.20499999999999999</v>
      </c>
      <c r="BN60" s="168">
        <f t="shared" si="36"/>
        <v>0.20535000000000012</v>
      </c>
      <c r="BO60" s="168">
        <f t="shared" si="37"/>
        <v>0.17199999999999999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19</v>
      </c>
      <c r="B61" s="6"/>
      <c r="C61" s="11" t="s">
        <v>10</v>
      </c>
      <c r="D61" s="35">
        <v>0.20799999999999999</v>
      </c>
      <c r="E61" s="36" t="s">
        <v>20</v>
      </c>
      <c r="F61" s="36">
        <v>0.21199999999999999</v>
      </c>
      <c r="G61" s="36">
        <v>0.224</v>
      </c>
      <c r="H61" s="37">
        <v>0.20799999999999999</v>
      </c>
      <c r="I61" s="43">
        <v>0.20499999999999999</v>
      </c>
      <c r="J61" s="36">
        <v>0.22</v>
      </c>
      <c r="K61" s="36">
        <v>0.20599999999999999</v>
      </c>
      <c r="L61" s="36">
        <v>0.20300000000000001</v>
      </c>
      <c r="M61" s="37">
        <v>0.21199999999999999</v>
      </c>
      <c r="N61" s="43">
        <v>0.215</v>
      </c>
      <c r="O61" s="36">
        <v>0.19800000000000001</v>
      </c>
      <c r="P61" s="36" t="s">
        <v>20</v>
      </c>
      <c r="Q61" s="36">
        <v>0.20699999999999999</v>
      </c>
      <c r="R61" s="37">
        <v>0.21299999999999999</v>
      </c>
      <c r="S61" s="43">
        <v>0.20200000000000001</v>
      </c>
      <c r="T61" s="36">
        <v>0.20699999999999999</v>
      </c>
      <c r="U61" s="36">
        <v>0.20200000000000001</v>
      </c>
      <c r="V61" s="36">
        <v>0.19900000000000001</v>
      </c>
      <c r="W61" s="37">
        <v>0.20200000000000001</v>
      </c>
      <c r="X61" s="43">
        <v>0.19</v>
      </c>
      <c r="Y61" s="36">
        <v>0.20799999999999999</v>
      </c>
      <c r="Z61" s="36">
        <v>0.21099999999999999</v>
      </c>
      <c r="AA61" s="36">
        <v>0.20300000000000001</v>
      </c>
      <c r="AB61" s="37">
        <v>0.20499999999999999</v>
      </c>
      <c r="AC61" s="43">
        <v>0.21199999999999999</v>
      </c>
      <c r="AD61" s="36">
        <v>0.188</v>
      </c>
      <c r="AE61" s="36">
        <v>0.191</v>
      </c>
      <c r="AF61" s="36">
        <v>0.20799999999999999</v>
      </c>
      <c r="AG61" s="37">
        <v>0.21</v>
      </c>
      <c r="AH61" s="43">
        <v>0.19400000000000001</v>
      </c>
      <c r="AI61" s="36">
        <v>0.20499999999999999</v>
      </c>
      <c r="AJ61" s="36">
        <v>0.20599999999999999</v>
      </c>
      <c r="AK61" s="36">
        <v>0.20200000000000001</v>
      </c>
      <c r="AL61" s="37">
        <v>0.20300000000000001</v>
      </c>
      <c r="AM61" s="43">
        <v>0.20100000000000001</v>
      </c>
      <c r="AN61" s="36">
        <v>0.20100000000000001</v>
      </c>
      <c r="AO61" s="36">
        <v>0.19800000000000001</v>
      </c>
      <c r="AP61" s="36">
        <v>0.20200000000000001</v>
      </c>
      <c r="AQ61" s="37">
        <v>0.20899999999999999</v>
      </c>
      <c r="AR61" s="43">
        <v>0.21</v>
      </c>
      <c r="AS61" s="36">
        <v>0.2</v>
      </c>
      <c r="AT61" s="36">
        <v>0.19900000000000001</v>
      </c>
      <c r="AU61" s="36">
        <v>0.21199999999999999</v>
      </c>
      <c r="AV61" s="37">
        <v>0.20100000000000001</v>
      </c>
      <c r="AW61" s="43">
        <v>0.20499999999999999</v>
      </c>
      <c r="AX61" s="36">
        <v>0.22500000000000001</v>
      </c>
      <c r="AY61" s="36">
        <v>0.21</v>
      </c>
      <c r="AZ61" s="36">
        <v>0.20499999999999999</v>
      </c>
      <c r="BA61" s="37">
        <v>0.20799999999999999</v>
      </c>
      <c r="BB61" s="43">
        <v>0.20899999999999999</v>
      </c>
      <c r="BC61" s="36">
        <v>0.20899999999999999</v>
      </c>
      <c r="BD61" s="36">
        <v>0.20300000000000001</v>
      </c>
      <c r="BE61" s="36">
        <v>0.217</v>
      </c>
      <c r="BF61" s="37">
        <v>0.20200000000000001</v>
      </c>
      <c r="BG61" s="43">
        <v>0.20799999999999999</v>
      </c>
      <c r="BH61" s="36">
        <v>0.20499999999999999</v>
      </c>
      <c r="BI61" s="36">
        <v>0.21</v>
      </c>
      <c r="BJ61" s="36">
        <v>0.21</v>
      </c>
      <c r="BK61" s="37">
        <v>0.20799999999999999</v>
      </c>
      <c r="BL61" s="43">
        <v>0.216</v>
      </c>
      <c r="BM61" s="37">
        <v>0.223</v>
      </c>
      <c r="BN61" s="166">
        <f t="shared" ref="BN61:BN63" si="38">IFERROR(AVERAGE(D61:BM63),0)</f>
        <v>0.20484916201117329</v>
      </c>
      <c r="BO61" s="166">
        <f t="shared" ref="BO61:BO63" si="39">MIN(D61:BM63)</f>
        <v>0.17199999999999999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65">
        <v>8.3000000000000004E-2</v>
      </c>
      <c r="B62" s="7" t="s">
        <v>35</v>
      </c>
      <c r="C62" s="11" t="s">
        <v>8</v>
      </c>
      <c r="D62" s="41">
        <v>0.217</v>
      </c>
      <c r="E62" s="22" t="s">
        <v>20</v>
      </c>
      <c r="F62" s="22">
        <v>0.215</v>
      </c>
      <c r="G62" s="22">
        <v>0.218</v>
      </c>
      <c r="H62" s="42">
        <v>0.22</v>
      </c>
      <c r="I62" s="45">
        <v>0.216</v>
      </c>
      <c r="J62" s="22">
        <v>0.215</v>
      </c>
      <c r="K62" s="22">
        <v>0.219</v>
      </c>
      <c r="L62" s="22">
        <v>0.21199999999999999</v>
      </c>
      <c r="M62" s="42">
        <v>0.19800000000000001</v>
      </c>
      <c r="N62" s="45">
        <v>0.21199999999999999</v>
      </c>
      <c r="O62" s="22">
        <v>0.20799999999999999</v>
      </c>
      <c r="P62" s="22">
        <v>0.20599999999999999</v>
      </c>
      <c r="Q62" s="22">
        <v>0.20200000000000001</v>
      </c>
      <c r="R62" s="42">
        <v>0.20200000000000001</v>
      </c>
      <c r="S62" s="45">
        <v>0.186</v>
      </c>
      <c r="T62" s="22">
        <v>0.187</v>
      </c>
      <c r="U62" s="22">
        <v>0.20100000000000001</v>
      </c>
      <c r="V62" s="22">
        <v>0.20300000000000001</v>
      </c>
      <c r="W62" s="42">
        <v>0.17199999999999999</v>
      </c>
      <c r="X62" s="45">
        <v>0.19600000000000001</v>
      </c>
      <c r="Y62" s="22">
        <v>0.19800000000000001</v>
      </c>
      <c r="Z62" s="22">
        <v>0.20399999999999999</v>
      </c>
      <c r="AA62" s="22">
        <v>0.2</v>
      </c>
      <c r="AB62" s="42">
        <v>0.187</v>
      </c>
      <c r="AC62" s="45">
        <v>0.20799999999999999</v>
      </c>
      <c r="AD62" s="22">
        <v>0.191</v>
      </c>
      <c r="AE62" s="22">
        <v>0.20399999999999999</v>
      </c>
      <c r="AF62" s="22">
        <v>0.20100000000000001</v>
      </c>
      <c r="AG62" s="42">
        <v>0.2</v>
      </c>
      <c r="AH62" s="45">
        <v>0.19500000000000001</v>
      </c>
      <c r="AI62" s="22">
        <v>0.2</v>
      </c>
      <c r="AJ62" s="22">
        <v>0.187</v>
      </c>
      <c r="AK62" s="22">
        <v>0.19500000000000001</v>
      </c>
      <c r="AL62" s="42">
        <v>0.19400000000000001</v>
      </c>
      <c r="AM62" s="45">
        <v>0.188</v>
      </c>
      <c r="AN62" s="22">
        <v>0.193</v>
      </c>
      <c r="AO62" s="22">
        <v>0.20200000000000001</v>
      </c>
      <c r="AP62" s="22">
        <v>0.20799999999999999</v>
      </c>
      <c r="AQ62" s="42">
        <v>0.20599999999999999</v>
      </c>
      <c r="AR62" s="45">
        <v>0.19900000000000001</v>
      </c>
      <c r="AS62" s="22">
        <v>0.19500000000000001</v>
      </c>
      <c r="AT62" s="22">
        <v>0.20499999999999999</v>
      </c>
      <c r="AU62" s="22" t="s">
        <v>20</v>
      </c>
      <c r="AV62" s="42">
        <v>0.19900000000000001</v>
      </c>
      <c r="AW62" s="45">
        <v>0.22</v>
      </c>
      <c r="AX62" s="22">
        <v>0.20699999999999999</v>
      </c>
      <c r="AY62" s="22">
        <v>0.20699999999999999</v>
      </c>
      <c r="AZ62" s="22">
        <v>0.21</v>
      </c>
      <c r="BA62" s="42">
        <v>0.21299999999999999</v>
      </c>
      <c r="BB62" s="45">
        <v>0.216</v>
      </c>
      <c r="BC62" s="22">
        <v>0.19400000000000001</v>
      </c>
      <c r="BD62" s="22">
        <v>0.20300000000000001</v>
      </c>
      <c r="BE62" s="22">
        <v>0.20499999999999999</v>
      </c>
      <c r="BF62" s="42">
        <v>0.20300000000000001</v>
      </c>
      <c r="BG62" s="45">
        <v>0.20599999999999999</v>
      </c>
      <c r="BH62" s="22">
        <v>0.20599999999999999</v>
      </c>
      <c r="BI62" s="22">
        <v>0.20599999999999999</v>
      </c>
      <c r="BJ62" s="22">
        <v>0.215</v>
      </c>
      <c r="BK62" s="42">
        <v>0.21199999999999999</v>
      </c>
      <c r="BL62" s="45">
        <v>0.21199999999999999</v>
      </c>
      <c r="BM62" s="42">
        <v>0.21199999999999999</v>
      </c>
      <c r="BN62" s="167">
        <f t="shared" si="38"/>
        <v>0.20610112359550553</v>
      </c>
      <c r="BO62" s="167">
        <f t="shared" si="39"/>
        <v>0.17199999999999999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65"/>
      <c r="B63" s="8"/>
      <c r="C63" s="12" t="s">
        <v>14</v>
      </c>
      <c r="D63" s="38" t="s">
        <v>20</v>
      </c>
      <c r="E63" s="39" t="s">
        <v>20</v>
      </c>
      <c r="F63" s="39">
        <v>0.216</v>
      </c>
      <c r="G63" s="39">
        <v>0.21299999999999999</v>
      </c>
      <c r="H63" s="40">
        <v>0.214</v>
      </c>
      <c r="I63" s="44">
        <v>0.21</v>
      </c>
      <c r="J63" s="39">
        <v>0.214</v>
      </c>
      <c r="K63" s="39">
        <v>0.20799999999999999</v>
      </c>
      <c r="L63" s="39">
        <v>0.19900000000000001</v>
      </c>
      <c r="M63" s="40">
        <v>0.192</v>
      </c>
      <c r="N63" s="44">
        <v>0.20300000000000001</v>
      </c>
      <c r="O63" s="39">
        <v>0.21299999999999999</v>
      </c>
      <c r="P63" s="39">
        <v>0.20599999999999999</v>
      </c>
      <c r="Q63" s="39">
        <v>0.20100000000000001</v>
      </c>
      <c r="R63" s="40">
        <v>0.2</v>
      </c>
      <c r="S63" s="44">
        <v>0.19900000000000001</v>
      </c>
      <c r="T63" s="39">
        <v>0.20499999999999999</v>
      </c>
      <c r="U63" s="39">
        <v>0.19700000000000001</v>
      </c>
      <c r="V63" s="39">
        <v>0.2</v>
      </c>
      <c r="W63" s="40">
        <v>0.20200000000000001</v>
      </c>
      <c r="X63" s="44">
        <v>0.19700000000000001</v>
      </c>
      <c r="Y63" s="39">
        <v>0.19800000000000001</v>
      </c>
      <c r="Z63" s="39">
        <v>0.20200000000000001</v>
      </c>
      <c r="AA63" s="39">
        <v>0.218</v>
      </c>
      <c r="AB63" s="40">
        <v>0.19900000000000001</v>
      </c>
      <c r="AC63" s="44">
        <v>0.2</v>
      </c>
      <c r="AD63" s="39">
        <v>0.19800000000000001</v>
      </c>
      <c r="AE63" s="39">
        <v>0.21199999999999999</v>
      </c>
      <c r="AF63" s="39">
        <v>0.19400000000000001</v>
      </c>
      <c r="AG63" s="40">
        <v>0.19800000000000001</v>
      </c>
      <c r="AH63" s="44">
        <v>0.19700000000000001</v>
      </c>
      <c r="AI63" s="39">
        <v>0.184</v>
      </c>
      <c r="AJ63" s="39">
        <v>0.2</v>
      </c>
      <c r="AK63" s="39">
        <v>0.20399999999999999</v>
      </c>
      <c r="AL63" s="40">
        <v>0.19900000000000001</v>
      </c>
      <c r="AM63" s="44">
        <v>0.20300000000000001</v>
      </c>
      <c r="AN63" s="39">
        <v>0.19500000000000001</v>
      </c>
      <c r="AO63" s="39">
        <v>0.20300000000000001</v>
      </c>
      <c r="AP63" s="39">
        <v>0.20300000000000001</v>
      </c>
      <c r="AQ63" s="40">
        <v>0.215</v>
      </c>
      <c r="AR63" s="44">
        <v>0.20100000000000001</v>
      </c>
      <c r="AS63" s="39">
        <v>0.2</v>
      </c>
      <c r="AT63" s="39" t="s">
        <v>20</v>
      </c>
      <c r="AU63" s="39">
        <v>0.215</v>
      </c>
      <c r="AV63" s="40">
        <v>0.20599999999999999</v>
      </c>
      <c r="AW63" s="44">
        <v>0.21099999999999999</v>
      </c>
      <c r="AX63" s="39">
        <v>0.189</v>
      </c>
      <c r="AY63" s="39">
        <v>0.21</v>
      </c>
      <c r="AZ63" s="39">
        <v>0.214</v>
      </c>
      <c r="BA63" s="40">
        <v>0.20399999999999999</v>
      </c>
      <c r="BB63" s="44">
        <v>0.215</v>
      </c>
      <c r="BC63" s="39">
        <v>0.20399999999999999</v>
      </c>
      <c r="BD63" s="39">
        <v>0.20200000000000001</v>
      </c>
      <c r="BE63" s="39">
        <v>0.20399999999999999</v>
      </c>
      <c r="BF63" s="40">
        <v>0.19800000000000001</v>
      </c>
      <c r="BG63" s="44">
        <v>0.21</v>
      </c>
      <c r="BH63" s="39">
        <v>0.21</v>
      </c>
      <c r="BI63" s="39">
        <v>0.21099999999999999</v>
      </c>
      <c r="BJ63" s="39">
        <v>0.216</v>
      </c>
      <c r="BK63" s="40">
        <v>0.215</v>
      </c>
      <c r="BL63" s="44">
        <v>0.221</v>
      </c>
      <c r="BM63" s="40">
        <v>0.20499999999999999</v>
      </c>
      <c r="BN63" s="168">
        <f t="shared" si="38"/>
        <v>0.20630113636363648</v>
      </c>
      <c r="BO63" s="168">
        <f t="shared" si="39"/>
        <v>0.16900000000000001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19</v>
      </c>
      <c r="B64" s="6"/>
      <c r="C64" s="11" t="s">
        <v>10</v>
      </c>
      <c r="D64" s="35">
        <v>0.23699999999999999</v>
      </c>
      <c r="E64" s="36">
        <v>0.255</v>
      </c>
      <c r="F64" s="36">
        <v>0.21099999999999999</v>
      </c>
      <c r="G64" s="36">
        <v>0.2</v>
      </c>
      <c r="H64" s="37">
        <v>0.21199999999999999</v>
      </c>
      <c r="I64" s="43">
        <v>0.23</v>
      </c>
      <c r="J64" s="36">
        <v>0.23</v>
      </c>
      <c r="K64" s="36">
        <v>0.224</v>
      </c>
      <c r="L64" s="36">
        <v>0.218</v>
      </c>
      <c r="M64" s="37">
        <v>0.21099999999999999</v>
      </c>
      <c r="N64" s="43">
        <v>0.21099999999999999</v>
      </c>
      <c r="O64" s="36">
        <v>0.20699999999999999</v>
      </c>
      <c r="P64" s="36">
        <v>0.23499999999999999</v>
      </c>
      <c r="Q64" s="36">
        <v>0.216</v>
      </c>
      <c r="R64" s="37">
        <v>0.214</v>
      </c>
      <c r="S64" s="43">
        <v>0.20399999999999999</v>
      </c>
      <c r="T64" s="36">
        <v>0.19800000000000001</v>
      </c>
      <c r="U64" s="36">
        <v>0.21</v>
      </c>
      <c r="V64" s="36">
        <v>0.21199999999999999</v>
      </c>
      <c r="W64" s="37">
        <v>0.20300000000000001</v>
      </c>
      <c r="X64" s="43">
        <v>0.21099999999999999</v>
      </c>
      <c r="Y64" s="36">
        <v>0.21299999999999999</v>
      </c>
      <c r="Z64" s="36">
        <v>0.20799999999999999</v>
      </c>
      <c r="AA64" s="36">
        <v>0.21199999999999999</v>
      </c>
      <c r="AB64" s="37">
        <v>0.20699999999999999</v>
      </c>
      <c r="AC64" s="43">
        <v>0.19800000000000001</v>
      </c>
      <c r="AD64" s="36">
        <v>0.219</v>
      </c>
      <c r="AE64" s="36">
        <v>0.219</v>
      </c>
      <c r="AF64" s="36">
        <v>0.21</v>
      </c>
      <c r="AG64" s="37">
        <v>0.20699999999999999</v>
      </c>
      <c r="AH64" s="43">
        <v>0.20100000000000001</v>
      </c>
      <c r="AI64" s="36">
        <v>0.219</v>
      </c>
      <c r="AJ64" s="36">
        <v>0.19400000000000001</v>
      </c>
      <c r="AK64" s="36">
        <v>0.214</v>
      </c>
      <c r="AL64" s="37">
        <v>0.216</v>
      </c>
      <c r="AM64" s="43">
        <v>0.20300000000000001</v>
      </c>
      <c r="AN64" s="36">
        <v>0.21199999999999999</v>
      </c>
      <c r="AO64" s="36" t="s">
        <v>20</v>
      </c>
      <c r="AP64" s="36">
        <v>0.20699999999999999</v>
      </c>
      <c r="AQ64" s="37">
        <v>0.19800000000000001</v>
      </c>
      <c r="AR64" s="43">
        <v>0.193</v>
      </c>
      <c r="AS64" s="36">
        <v>0.20200000000000001</v>
      </c>
      <c r="AT64" s="36">
        <v>0.20699999999999999</v>
      </c>
      <c r="AU64" s="36">
        <v>0.21</v>
      </c>
      <c r="AV64" s="37">
        <v>0.192</v>
      </c>
      <c r="AW64" s="43">
        <v>0.19900000000000001</v>
      </c>
      <c r="AX64" s="36">
        <v>0.20799999999999999</v>
      </c>
      <c r="AY64" s="36">
        <v>0.19500000000000001</v>
      </c>
      <c r="AZ64" s="36">
        <v>0.19900000000000001</v>
      </c>
      <c r="BA64" s="37">
        <v>0.19600000000000001</v>
      </c>
      <c r="BB64" s="43">
        <v>0.20599999999999999</v>
      </c>
      <c r="BC64" s="36">
        <v>0.19</v>
      </c>
      <c r="BD64" s="36">
        <v>0.20799999999999999</v>
      </c>
      <c r="BE64" s="36" t="s">
        <v>20</v>
      </c>
      <c r="BF64" s="37">
        <v>0.21299999999999999</v>
      </c>
      <c r="BG64" s="43">
        <v>0.19800000000000001</v>
      </c>
      <c r="BH64" s="36">
        <v>0.20499999999999999</v>
      </c>
      <c r="BI64" s="36">
        <v>0.217</v>
      </c>
      <c r="BJ64" s="36">
        <v>0.20699999999999999</v>
      </c>
      <c r="BK64" s="37">
        <v>0.221</v>
      </c>
      <c r="BL64" s="43" t="s">
        <v>20</v>
      </c>
      <c r="BM64" s="37">
        <v>0.23100000000000001</v>
      </c>
      <c r="BN64" s="166">
        <f t="shared" ref="BN64:BN66" si="40">IFERROR(AVERAGE(D64:BM66),0)</f>
        <v>0.20574137931034484</v>
      </c>
      <c r="BO64" s="166">
        <f t="shared" ref="BO64:BO66" si="41">MIN(D64:BM66)</f>
        <v>0.16900000000000001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65">
        <v>8.3000000000000004E-2</v>
      </c>
      <c r="B65" s="7" t="s">
        <v>36</v>
      </c>
      <c r="C65" s="11" t="s">
        <v>8</v>
      </c>
      <c r="D65" s="41">
        <v>0.214</v>
      </c>
      <c r="E65" s="22" t="s">
        <v>20</v>
      </c>
      <c r="F65" s="22">
        <v>0.20399999999999999</v>
      </c>
      <c r="G65" s="22">
        <v>0.23100000000000001</v>
      </c>
      <c r="H65" s="42">
        <v>0.217</v>
      </c>
      <c r="I65" s="45">
        <v>0.21099999999999999</v>
      </c>
      <c r="J65" s="22">
        <v>0.23200000000000001</v>
      </c>
      <c r="K65" s="22">
        <v>0.219</v>
      </c>
      <c r="L65" s="22">
        <v>0.20899999999999999</v>
      </c>
      <c r="M65" s="42">
        <v>0.20899999999999999</v>
      </c>
      <c r="N65" s="45">
        <v>0.21099999999999999</v>
      </c>
      <c r="O65" s="22">
        <v>0.21</v>
      </c>
      <c r="P65" s="22">
        <v>0.21</v>
      </c>
      <c r="Q65" s="22">
        <v>0.21199999999999999</v>
      </c>
      <c r="R65" s="42">
        <v>0.21299999999999999</v>
      </c>
      <c r="S65" s="45">
        <v>0.21299999999999999</v>
      </c>
      <c r="T65" s="22">
        <v>0.2</v>
      </c>
      <c r="U65" s="22">
        <v>0.20699999999999999</v>
      </c>
      <c r="V65" s="22">
        <v>0.186</v>
      </c>
      <c r="W65" s="42">
        <v>0.19</v>
      </c>
      <c r="X65" s="45">
        <v>0.19700000000000001</v>
      </c>
      <c r="Y65" s="22">
        <v>0.22</v>
      </c>
      <c r="Z65" s="22">
        <v>0.19600000000000001</v>
      </c>
      <c r="AA65" s="22">
        <v>0.19500000000000001</v>
      </c>
      <c r="AB65" s="42">
        <v>0.20499999999999999</v>
      </c>
      <c r="AC65" s="45">
        <v>0.187</v>
      </c>
      <c r="AD65" s="22">
        <v>0.217</v>
      </c>
      <c r="AE65" s="22">
        <v>0.214</v>
      </c>
      <c r="AF65" s="22">
        <v>0.19600000000000001</v>
      </c>
      <c r="AG65" s="42">
        <v>0.16900000000000001</v>
      </c>
      <c r="AH65" s="45">
        <v>0.185</v>
      </c>
      <c r="AI65" s="22">
        <v>0.19800000000000001</v>
      </c>
      <c r="AJ65" s="22">
        <v>0.20499999999999999</v>
      </c>
      <c r="AK65" s="22">
        <v>0.17899999999999999</v>
      </c>
      <c r="AL65" s="42">
        <v>0.21299999999999999</v>
      </c>
      <c r="AM65" s="45">
        <v>0.19800000000000001</v>
      </c>
      <c r="AN65" s="22">
        <v>0.216</v>
      </c>
      <c r="AO65" s="22">
        <v>0.2</v>
      </c>
      <c r="AP65" s="22">
        <v>0.193</v>
      </c>
      <c r="AQ65" s="42">
        <v>0.214</v>
      </c>
      <c r="AR65" s="45">
        <v>0.21299999999999999</v>
      </c>
      <c r="AS65" s="22">
        <v>0.17100000000000001</v>
      </c>
      <c r="AT65" s="22">
        <v>0.191</v>
      </c>
      <c r="AU65" s="22">
        <v>0.214</v>
      </c>
      <c r="AV65" s="42">
        <v>0.182</v>
      </c>
      <c r="AW65" s="45">
        <v>0.192</v>
      </c>
      <c r="AX65" s="22">
        <v>0.19800000000000001</v>
      </c>
      <c r="AY65" s="22">
        <v>0.19700000000000001</v>
      </c>
      <c r="AZ65" s="22">
        <v>0.214</v>
      </c>
      <c r="BA65" s="42">
        <v>0.19500000000000001</v>
      </c>
      <c r="BB65" s="45">
        <v>0.19400000000000001</v>
      </c>
      <c r="BC65" s="22">
        <v>0.19500000000000001</v>
      </c>
      <c r="BD65" s="22">
        <v>0.20200000000000001</v>
      </c>
      <c r="BE65" s="22" t="s">
        <v>20</v>
      </c>
      <c r="BF65" s="42">
        <v>0.217</v>
      </c>
      <c r="BG65" s="45">
        <v>0.19600000000000001</v>
      </c>
      <c r="BH65" s="22">
        <v>0.20499999999999999</v>
      </c>
      <c r="BI65" s="22">
        <v>0.216</v>
      </c>
      <c r="BJ65" s="22">
        <v>0.22600000000000001</v>
      </c>
      <c r="BK65" s="42">
        <v>0.221</v>
      </c>
      <c r="BL65" s="45" t="s">
        <v>20</v>
      </c>
      <c r="BM65" s="42" t="s">
        <v>20</v>
      </c>
      <c r="BN65" s="167">
        <f t="shared" si="40"/>
        <v>0.20782285714285731</v>
      </c>
      <c r="BO65" s="167">
        <f t="shared" si="41"/>
        <v>0.16900000000000001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65"/>
      <c r="B66" s="8"/>
      <c r="C66" s="12" t="s">
        <v>14</v>
      </c>
      <c r="D66" s="38" t="s">
        <v>20</v>
      </c>
      <c r="E66" s="39">
        <v>0.191</v>
      </c>
      <c r="F66" s="39">
        <v>0.19700000000000001</v>
      </c>
      <c r="G66" s="39">
        <v>0.21</v>
      </c>
      <c r="H66" s="40">
        <v>0.20599999999999999</v>
      </c>
      <c r="I66" s="44">
        <v>0.20599999999999999</v>
      </c>
      <c r="J66" s="39">
        <v>0.20799999999999999</v>
      </c>
      <c r="K66" s="39">
        <v>0.217</v>
      </c>
      <c r="L66" s="39">
        <v>0.20899999999999999</v>
      </c>
      <c r="M66" s="40">
        <v>0.22</v>
      </c>
      <c r="N66" s="44">
        <v>0.224</v>
      </c>
      <c r="O66" s="39">
        <v>0.20599999999999999</v>
      </c>
      <c r="P66" s="39">
        <v>0.214</v>
      </c>
      <c r="Q66" s="39">
        <v>0.192</v>
      </c>
      <c r="R66" s="40">
        <v>0.20899999999999999</v>
      </c>
      <c r="S66" s="44">
        <v>0.19900000000000001</v>
      </c>
      <c r="T66" s="39">
        <v>0.186</v>
      </c>
      <c r="U66" s="39">
        <v>0.193</v>
      </c>
      <c r="V66" s="39">
        <v>0.189</v>
      </c>
      <c r="W66" s="40">
        <v>0.19700000000000001</v>
      </c>
      <c r="X66" s="44">
        <v>0.20799999999999999</v>
      </c>
      <c r="Y66" s="39">
        <v>0.20200000000000001</v>
      </c>
      <c r="Z66" s="39">
        <v>0.19</v>
      </c>
      <c r="AA66" s="39">
        <v>0.19800000000000001</v>
      </c>
      <c r="AB66" s="40">
        <v>0.19800000000000001</v>
      </c>
      <c r="AC66" s="44">
        <v>0.2</v>
      </c>
      <c r="AD66" s="39">
        <v>0.21099999999999999</v>
      </c>
      <c r="AE66" s="39">
        <v>0.218</v>
      </c>
      <c r="AF66" s="39">
        <v>0.21299999999999999</v>
      </c>
      <c r="AG66" s="40">
        <v>0.187</v>
      </c>
      <c r="AH66" s="44">
        <v>0.20499999999999999</v>
      </c>
      <c r="AI66" s="39">
        <v>0.217</v>
      </c>
      <c r="AJ66" s="39">
        <v>0.192</v>
      </c>
      <c r="AK66" s="39">
        <v>0.20399999999999999</v>
      </c>
      <c r="AL66" s="40">
        <v>0.2</v>
      </c>
      <c r="AM66" s="44">
        <v>0.187</v>
      </c>
      <c r="AN66" s="39">
        <v>0.20200000000000001</v>
      </c>
      <c r="AO66" s="39">
        <v>0.20100000000000001</v>
      </c>
      <c r="AP66" s="39">
        <v>0.19600000000000001</v>
      </c>
      <c r="AQ66" s="40">
        <v>0.19800000000000001</v>
      </c>
      <c r="AR66" s="44">
        <v>0.20100000000000001</v>
      </c>
      <c r="AS66" s="39">
        <v>0.182</v>
      </c>
      <c r="AT66" s="39">
        <v>0.20300000000000001</v>
      </c>
      <c r="AU66" s="39">
        <v>0.20300000000000001</v>
      </c>
      <c r="AV66" s="40">
        <v>0.187</v>
      </c>
      <c r="AW66" s="44">
        <v>0.19800000000000001</v>
      </c>
      <c r="AX66" s="39">
        <v>0.20399999999999999</v>
      </c>
      <c r="AY66" s="39">
        <v>0.19900000000000001</v>
      </c>
      <c r="AZ66" s="39">
        <v>0.19900000000000001</v>
      </c>
      <c r="BA66" s="40">
        <v>0.19500000000000001</v>
      </c>
      <c r="BB66" s="44">
        <v>0.19</v>
      </c>
      <c r="BC66" s="39">
        <v>0.20300000000000001</v>
      </c>
      <c r="BD66" s="39">
        <v>0.20699999999999999</v>
      </c>
      <c r="BE66" s="39" t="s">
        <v>20</v>
      </c>
      <c r="BF66" s="40">
        <v>0.218</v>
      </c>
      <c r="BG66" s="44">
        <v>0.217</v>
      </c>
      <c r="BH66" s="39">
        <v>0.21</v>
      </c>
      <c r="BI66" s="39">
        <v>0.219</v>
      </c>
      <c r="BJ66" s="39">
        <v>0.22700000000000001</v>
      </c>
      <c r="BK66" s="40" t="s">
        <v>20</v>
      </c>
      <c r="BL66" s="44" t="s">
        <v>20</v>
      </c>
      <c r="BM66" s="40" t="s">
        <v>20</v>
      </c>
      <c r="BN66" s="168">
        <f t="shared" si="40"/>
        <v>0.20977011494252881</v>
      </c>
      <c r="BO66" s="168">
        <f t="shared" si="41"/>
        <v>0.182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19</v>
      </c>
      <c r="B67" s="6"/>
      <c r="C67" s="11" t="s">
        <v>10</v>
      </c>
      <c r="D67" s="35">
        <v>0.246</v>
      </c>
      <c r="E67" s="36">
        <v>0.21099999999999999</v>
      </c>
      <c r="F67" s="36">
        <v>0.20899999999999999</v>
      </c>
      <c r="G67" s="36">
        <v>0.23200000000000001</v>
      </c>
      <c r="H67" s="37">
        <v>0.214</v>
      </c>
      <c r="I67" s="43">
        <v>0.224</v>
      </c>
      <c r="J67" s="36">
        <v>0.20599999999999999</v>
      </c>
      <c r="K67" s="36">
        <v>0.20699999999999999</v>
      </c>
      <c r="L67" s="36">
        <v>0.22800000000000001</v>
      </c>
      <c r="M67" s="37">
        <v>0.216</v>
      </c>
      <c r="N67" s="43">
        <v>0.222</v>
      </c>
      <c r="O67" s="36">
        <v>0.23100000000000001</v>
      </c>
      <c r="P67" s="36" t="s">
        <v>20</v>
      </c>
      <c r="Q67" s="36">
        <v>0.20699999999999999</v>
      </c>
      <c r="R67" s="37">
        <v>0.214</v>
      </c>
      <c r="S67" s="43">
        <v>0.19900000000000001</v>
      </c>
      <c r="T67" s="36">
        <v>0.217</v>
      </c>
      <c r="U67" s="36">
        <v>0.214</v>
      </c>
      <c r="V67" s="36">
        <v>0.214</v>
      </c>
      <c r="W67" s="37">
        <v>0.20899999999999999</v>
      </c>
      <c r="X67" s="43">
        <v>0.223</v>
      </c>
      <c r="Y67" s="36">
        <v>0.20899999999999999</v>
      </c>
      <c r="Z67" s="36">
        <v>0.21</v>
      </c>
      <c r="AA67" s="36">
        <v>0.215</v>
      </c>
      <c r="AB67" s="37">
        <v>0.20899999999999999</v>
      </c>
      <c r="AC67" s="43">
        <v>0.218</v>
      </c>
      <c r="AD67" s="36">
        <v>0.21299999999999999</v>
      </c>
      <c r="AE67" s="36">
        <v>0.218</v>
      </c>
      <c r="AF67" s="36">
        <v>0.20899999999999999</v>
      </c>
      <c r="AG67" s="37">
        <v>0.222</v>
      </c>
      <c r="AH67" s="43">
        <v>0.23400000000000001</v>
      </c>
      <c r="AI67" s="36">
        <v>0.186</v>
      </c>
      <c r="AJ67" s="36">
        <v>0.223</v>
      </c>
      <c r="AK67" s="36">
        <v>0.218</v>
      </c>
      <c r="AL67" s="37">
        <v>0.24399999999999999</v>
      </c>
      <c r="AM67" s="43">
        <v>0.22</v>
      </c>
      <c r="AN67" s="36">
        <v>0.214</v>
      </c>
      <c r="AO67" s="36">
        <v>0.245</v>
      </c>
      <c r="AP67" s="36" t="s">
        <v>20</v>
      </c>
      <c r="AQ67" s="37">
        <v>0.23</v>
      </c>
      <c r="AR67" s="43">
        <v>0.21199999999999999</v>
      </c>
      <c r="AS67" s="36">
        <v>0.21</v>
      </c>
      <c r="AT67" s="36">
        <v>0.214</v>
      </c>
      <c r="AU67" s="36">
        <v>0.21299999999999999</v>
      </c>
      <c r="AV67" s="37">
        <v>0.20599999999999999</v>
      </c>
      <c r="AW67" s="43">
        <v>0.21199999999999999</v>
      </c>
      <c r="AX67" s="36">
        <v>0.21199999999999999</v>
      </c>
      <c r="AY67" s="36">
        <v>0.20899999999999999</v>
      </c>
      <c r="AZ67" s="36">
        <v>0.219</v>
      </c>
      <c r="BA67" s="37">
        <v>0.21099999999999999</v>
      </c>
      <c r="BB67" s="43">
        <v>0.21199999999999999</v>
      </c>
      <c r="BC67" s="36">
        <v>0.21299999999999999</v>
      </c>
      <c r="BD67" s="36">
        <v>0.214</v>
      </c>
      <c r="BE67" s="36">
        <v>0.20100000000000001</v>
      </c>
      <c r="BF67" s="37">
        <v>0.20399999999999999</v>
      </c>
      <c r="BG67" s="43">
        <v>0.20399999999999999</v>
      </c>
      <c r="BH67" s="36">
        <v>0.217</v>
      </c>
      <c r="BI67" s="36">
        <v>0.21</v>
      </c>
      <c r="BJ67" s="36">
        <v>0.217</v>
      </c>
      <c r="BK67" s="37">
        <v>0.217</v>
      </c>
      <c r="BL67" s="43">
        <v>0.23200000000000001</v>
      </c>
      <c r="BM67" s="37">
        <v>0.23400000000000001</v>
      </c>
      <c r="BN67" s="166">
        <f t="shared" ref="BN67:BN69" si="42">IFERROR(AVERAGE(D67:BM69),0)</f>
        <v>0.20996022727272728</v>
      </c>
      <c r="BO67" s="166">
        <f t="shared" ref="BO67:BO69" si="43">MIN(D67:BM69)</f>
        <v>0.16400000000000001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65">
        <v>8.3000000000000004E-2</v>
      </c>
      <c r="B68" s="7" t="s">
        <v>37</v>
      </c>
      <c r="C68" s="11" t="s">
        <v>8</v>
      </c>
      <c r="D68" s="41">
        <v>0.20599999999999999</v>
      </c>
      <c r="E68" s="22">
        <v>0.19900000000000001</v>
      </c>
      <c r="F68" s="22">
        <v>0.215</v>
      </c>
      <c r="G68" s="22">
        <v>0.224</v>
      </c>
      <c r="H68" s="42">
        <v>0.215</v>
      </c>
      <c r="I68" s="45">
        <v>0.221</v>
      </c>
      <c r="J68" s="22">
        <v>0.20599999999999999</v>
      </c>
      <c r="K68" s="22">
        <v>0.223</v>
      </c>
      <c r="L68" s="22">
        <v>0.21299999999999999</v>
      </c>
      <c r="M68" s="42">
        <v>0.21299999999999999</v>
      </c>
      <c r="N68" s="45">
        <v>0.20399999999999999</v>
      </c>
      <c r="O68" s="22">
        <v>0.19800000000000001</v>
      </c>
      <c r="P68" s="22" t="s">
        <v>20</v>
      </c>
      <c r="Q68" s="22">
        <v>0.20300000000000001</v>
      </c>
      <c r="R68" s="42">
        <v>0.20799999999999999</v>
      </c>
      <c r="S68" s="45">
        <v>0.20599999999999999</v>
      </c>
      <c r="T68" s="22">
        <v>0.19700000000000001</v>
      </c>
      <c r="U68" s="22">
        <v>0.20899999999999999</v>
      </c>
      <c r="V68" s="22">
        <v>0.2</v>
      </c>
      <c r="W68" s="42">
        <v>0.216</v>
      </c>
      <c r="X68" s="45">
        <v>0.21299999999999999</v>
      </c>
      <c r="Y68" s="22">
        <v>0.20300000000000001</v>
      </c>
      <c r="Z68" s="22">
        <v>0.20799999999999999</v>
      </c>
      <c r="AA68" s="22">
        <v>0.20399999999999999</v>
      </c>
      <c r="AB68" s="42">
        <v>0.19800000000000001</v>
      </c>
      <c r="AC68" s="45">
        <v>0.22</v>
      </c>
      <c r="AD68" s="22">
        <v>0.218</v>
      </c>
      <c r="AE68" s="22">
        <v>0.21</v>
      </c>
      <c r="AF68" s="22">
        <v>0.20200000000000001</v>
      </c>
      <c r="AG68" s="42">
        <v>0.20499999999999999</v>
      </c>
      <c r="AH68" s="45">
        <v>0.224</v>
      </c>
      <c r="AI68" s="22">
        <v>0.22800000000000001</v>
      </c>
      <c r="AJ68" s="22">
        <v>0.20399999999999999</v>
      </c>
      <c r="AK68" s="22">
        <v>0.24299999999999999</v>
      </c>
      <c r="AL68" s="42">
        <v>0.222</v>
      </c>
      <c r="AM68" s="45">
        <v>0.20699999999999999</v>
      </c>
      <c r="AN68" s="22">
        <v>0.20899999999999999</v>
      </c>
      <c r="AO68" s="22" t="s">
        <v>20</v>
      </c>
      <c r="AP68" s="22">
        <v>0.222</v>
      </c>
      <c r="AQ68" s="42">
        <v>0.20799999999999999</v>
      </c>
      <c r="AR68" s="45">
        <v>0.19</v>
      </c>
      <c r="AS68" s="22">
        <v>0.21099999999999999</v>
      </c>
      <c r="AT68" s="22">
        <v>0.223</v>
      </c>
      <c r="AU68" s="22">
        <v>0.20100000000000001</v>
      </c>
      <c r="AV68" s="42">
        <v>0.22800000000000001</v>
      </c>
      <c r="AW68" s="45">
        <v>0.20799999999999999</v>
      </c>
      <c r="AX68" s="22">
        <v>0.217</v>
      </c>
      <c r="AY68" s="22">
        <v>0.22</v>
      </c>
      <c r="AZ68" s="22">
        <v>0.20300000000000001</v>
      </c>
      <c r="BA68" s="42">
        <v>0.19500000000000001</v>
      </c>
      <c r="BB68" s="45">
        <v>0.20399999999999999</v>
      </c>
      <c r="BC68" s="22">
        <v>0.19800000000000001</v>
      </c>
      <c r="BD68" s="22">
        <v>0.19400000000000001</v>
      </c>
      <c r="BE68" s="22" t="s">
        <v>20</v>
      </c>
      <c r="BF68" s="42">
        <v>0.19400000000000001</v>
      </c>
      <c r="BG68" s="45">
        <v>0.20399999999999999</v>
      </c>
      <c r="BH68" s="22">
        <v>0.214</v>
      </c>
      <c r="BI68" s="22">
        <v>0.20899999999999999</v>
      </c>
      <c r="BJ68" s="22">
        <v>0.20899999999999999</v>
      </c>
      <c r="BK68" s="42">
        <v>0.219</v>
      </c>
      <c r="BL68" s="45" t="s">
        <v>20</v>
      </c>
      <c r="BM68" s="42" t="s">
        <v>20</v>
      </c>
      <c r="BN68" s="167">
        <f t="shared" si="42"/>
        <v>0.20682584269662929</v>
      </c>
      <c r="BO68" s="167">
        <f t="shared" si="43"/>
        <v>0.16400000000000001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65"/>
      <c r="B69" s="8"/>
      <c r="C69" s="12" t="s">
        <v>14</v>
      </c>
      <c r="D69" s="38">
        <v>0.21</v>
      </c>
      <c r="E69" s="39">
        <v>0.23899999999999999</v>
      </c>
      <c r="F69" s="39">
        <v>0.22</v>
      </c>
      <c r="G69" s="39">
        <v>0.223</v>
      </c>
      <c r="H69" s="40">
        <v>0.215</v>
      </c>
      <c r="I69" s="44">
        <v>0.20699999999999999</v>
      </c>
      <c r="J69" s="39">
        <v>0.20599999999999999</v>
      </c>
      <c r="K69" s="39">
        <v>0.20300000000000001</v>
      </c>
      <c r="L69" s="39">
        <v>0.22500000000000001</v>
      </c>
      <c r="M69" s="40">
        <v>0.20899999999999999</v>
      </c>
      <c r="N69" s="44">
        <v>0.20799999999999999</v>
      </c>
      <c r="O69" s="39">
        <v>0.214</v>
      </c>
      <c r="P69" s="39" t="s">
        <v>20</v>
      </c>
      <c r="Q69" s="39">
        <v>0.19900000000000001</v>
      </c>
      <c r="R69" s="40">
        <v>0.20699999999999999</v>
      </c>
      <c r="S69" s="44">
        <v>0.20699999999999999</v>
      </c>
      <c r="T69" s="39">
        <v>0.192</v>
      </c>
      <c r="U69" s="39">
        <v>0.20799999999999999</v>
      </c>
      <c r="V69" s="39">
        <v>0.20799999999999999</v>
      </c>
      <c r="W69" s="40">
        <v>0.20399999999999999</v>
      </c>
      <c r="X69" s="44">
        <v>0.20300000000000001</v>
      </c>
      <c r="Y69" s="39">
        <v>0.20200000000000001</v>
      </c>
      <c r="Z69" s="39">
        <v>0.21099999999999999</v>
      </c>
      <c r="AA69" s="39">
        <v>0.20100000000000001</v>
      </c>
      <c r="AB69" s="40">
        <v>0.20799999999999999</v>
      </c>
      <c r="AC69" s="44">
        <v>0.19500000000000001</v>
      </c>
      <c r="AD69" s="39">
        <v>0.21</v>
      </c>
      <c r="AE69" s="39">
        <v>0.20499999999999999</v>
      </c>
      <c r="AF69" s="39">
        <v>0.23100000000000001</v>
      </c>
      <c r="AG69" s="40">
        <v>0.23300000000000001</v>
      </c>
      <c r="AH69" s="44">
        <v>0.185</v>
      </c>
      <c r="AI69" s="39">
        <v>0.20699999999999999</v>
      </c>
      <c r="AJ69" s="39">
        <v>0.21299999999999999</v>
      </c>
      <c r="AK69" s="39">
        <v>0.184</v>
      </c>
      <c r="AL69" s="40">
        <v>0.192</v>
      </c>
      <c r="AM69" s="44">
        <v>0.21</v>
      </c>
      <c r="AN69" s="39">
        <v>0.20399999999999999</v>
      </c>
      <c r="AO69" s="39" t="s">
        <v>20</v>
      </c>
      <c r="AP69" s="39">
        <v>0.2</v>
      </c>
      <c r="AQ69" s="40">
        <v>0.217</v>
      </c>
      <c r="AR69" s="44">
        <v>0.19600000000000001</v>
      </c>
      <c r="AS69" s="39">
        <v>0.20100000000000001</v>
      </c>
      <c r="AT69" s="39">
        <v>0.17699999999999999</v>
      </c>
      <c r="AU69" s="39">
        <v>0.183</v>
      </c>
      <c r="AV69" s="40">
        <v>0.16400000000000001</v>
      </c>
      <c r="AW69" s="44">
        <v>0.16800000000000001</v>
      </c>
      <c r="AX69" s="39">
        <v>0.185</v>
      </c>
      <c r="AY69" s="39">
        <v>0.183</v>
      </c>
      <c r="AZ69" s="39">
        <v>0.18</v>
      </c>
      <c r="BA69" s="40">
        <v>0.20100000000000001</v>
      </c>
      <c r="BB69" s="44">
        <v>0.20599999999999999</v>
      </c>
      <c r="BC69" s="39">
        <v>0.17899999999999999</v>
      </c>
      <c r="BD69" s="39">
        <v>0.188</v>
      </c>
      <c r="BE69" s="39">
        <v>0.217</v>
      </c>
      <c r="BF69" s="40">
        <v>0.189</v>
      </c>
      <c r="BG69" s="44">
        <v>0.19500000000000001</v>
      </c>
      <c r="BH69" s="39">
        <v>0.19700000000000001</v>
      </c>
      <c r="BI69" s="39">
        <v>0.217</v>
      </c>
      <c r="BJ69" s="39">
        <v>0.215</v>
      </c>
      <c r="BK69" s="40">
        <v>0.224</v>
      </c>
      <c r="BL69" s="44">
        <v>0.23499999999999999</v>
      </c>
      <c r="BM69" s="40" t="s">
        <v>20</v>
      </c>
      <c r="BN69" s="168">
        <f t="shared" si="42"/>
        <v>0.20536666666666667</v>
      </c>
      <c r="BO69" s="168">
        <f t="shared" si="43"/>
        <v>0.154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19</v>
      </c>
      <c r="B70" s="6"/>
      <c r="C70" s="11" t="s">
        <v>10</v>
      </c>
      <c r="D70" s="35">
        <v>0.21299999999999999</v>
      </c>
      <c r="E70" s="36">
        <v>0.248</v>
      </c>
      <c r="F70" s="36">
        <v>0.217</v>
      </c>
      <c r="G70" s="36">
        <v>0.21199999999999999</v>
      </c>
      <c r="H70" s="37">
        <v>0.20499999999999999</v>
      </c>
      <c r="I70" s="43">
        <v>0.20899999999999999</v>
      </c>
      <c r="J70" s="36">
        <v>0.19600000000000001</v>
      </c>
      <c r="K70" s="36">
        <v>0.19700000000000001</v>
      </c>
      <c r="L70" s="36">
        <v>0.19700000000000001</v>
      </c>
      <c r="M70" s="37">
        <v>0.2</v>
      </c>
      <c r="N70" s="43">
        <v>0.20300000000000001</v>
      </c>
      <c r="O70" s="36">
        <v>0.20399999999999999</v>
      </c>
      <c r="P70" s="36">
        <v>0.19500000000000001</v>
      </c>
      <c r="Q70" s="36">
        <v>0.20100000000000001</v>
      </c>
      <c r="R70" s="37">
        <v>0.20399999999999999</v>
      </c>
      <c r="S70" s="43">
        <v>0.20200000000000001</v>
      </c>
      <c r="T70" s="36">
        <v>0.189</v>
      </c>
      <c r="U70" s="36">
        <v>0.20100000000000001</v>
      </c>
      <c r="V70" s="36">
        <v>0.20599999999999999</v>
      </c>
      <c r="W70" s="37">
        <v>0.20799999999999999</v>
      </c>
      <c r="X70" s="43">
        <v>0.219</v>
      </c>
      <c r="Y70" s="36">
        <v>0.20599999999999999</v>
      </c>
      <c r="Z70" s="36">
        <v>0.21199999999999999</v>
      </c>
      <c r="AA70" s="36">
        <v>0.20599999999999999</v>
      </c>
      <c r="AB70" s="37">
        <v>0.20799999999999999</v>
      </c>
      <c r="AC70" s="43">
        <v>0.214</v>
      </c>
      <c r="AD70" s="36">
        <v>0.215</v>
      </c>
      <c r="AE70" s="36">
        <v>0.217</v>
      </c>
      <c r="AF70" s="36">
        <v>0.20899999999999999</v>
      </c>
      <c r="AG70" s="37">
        <v>0.215</v>
      </c>
      <c r="AH70" s="43">
        <v>0.21099999999999999</v>
      </c>
      <c r="AI70" s="36">
        <v>0.21199999999999999</v>
      </c>
      <c r="AJ70" s="36">
        <v>0.216</v>
      </c>
      <c r="AK70" s="36">
        <v>0.24199999999999999</v>
      </c>
      <c r="AL70" s="37">
        <v>0.20399999999999999</v>
      </c>
      <c r="AM70" s="43">
        <v>0.20699999999999999</v>
      </c>
      <c r="AN70" s="36">
        <v>0.23699999999999999</v>
      </c>
      <c r="AO70" s="36">
        <v>0.214</v>
      </c>
      <c r="AP70" s="36">
        <v>0.20899999999999999</v>
      </c>
      <c r="AQ70" s="37">
        <v>0.21099999999999999</v>
      </c>
      <c r="AR70" s="43">
        <v>0.21099999999999999</v>
      </c>
      <c r="AS70" s="36">
        <v>0.21099999999999999</v>
      </c>
      <c r="AT70" s="36">
        <v>0.216</v>
      </c>
      <c r="AU70" s="36">
        <v>0.217</v>
      </c>
      <c r="AV70" s="37">
        <v>0.21199999999999999</v>
      </c>
      <c r="AW70" s="43">
        <v>0.20699999999999999</v>
      </c>
      <c r="AX70" s="36">
        <v>0.21299999999999999</v>
      </c>
      <c r="AY70" s="36">
        <v>0.20799999999999999</v>
      </c>
      <c r="AZ70" s="36">
        <v>0.21299999999999999</v>
      </c>
      <c r="BA70" s="37">
        <v>0.20699999999999999</v>
      </c>
      <c r="BB70" s="43">
        <v>0.20399999999999999</v>
      </c>
      <c r="BC70" s="36">
        <v>0.19400000000000001</v>
      </c>
      <c r="BD70" s="36">
        <v>0.19400000000000001</v>
      </c>
      <c r="BE70" s="36">
        <v>0.188</v>
      </c>
      <c r="BF70" s="37">
        <v>0.19600000000000001</v>
      </c>
      <c r="BG70" s="43">
        <v>0.23100000000000001</v>
      </c>
      <c r="BH70" s="36">
        <v>0.17499999999999999</v>
      </c>
      <c r="BI70" s="36">
        <v>0.18099999999999999</v>
      </c>
      <c r="BJ70" s="36">
        <v>0.193</v>
      </c>
      <c r="BK70" s="37">
        <v>0.17899999999999999</v>
      </c>
      <c r="BL70" s="43">
        <v>0.19400000000000001</v>
      </c>
      <c r="BM70" s="37">
        <v>0.2</v>
      </c>
      <c r="BN70" s="166">
        <f t="shared" ref="BN70:BN72" si="44">IFERROR(AVERAGE(D70:BM72),0)</f>
        <v>0.20332596685082879</v>
      </c>
      <c r="BO70" s="166">
        <f t="shared" ref="BO70:BO72" si="45">MIN(D70:BM72)</f>
        <v>0.152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65">
        <v>8.3000000000000004E-2</v>
      </c>
      <c r="B71" s="7" t="s">
        <v>38</v>
      </c>
      <c r="C71" s="11" t="s">
        <v>8</v>
      </c>
      <c r="D71" s="41">
        <v>0.21199999999999999</v>
      </c>
      <c r="E71" s="22" t="s">
        <v>20</v>
      </c>
      <c r="F71" s="22">
        <v>0.217</v>
      </c>
      <c r="G71" s="22">
        <v>0.21299999999999999</v>
      </c>
      <c r="H71" s="42">
        <v>0.21099999999999999</v>
      </c>
      <c r="I71" s="45">
        <v>0.20399999999999999</v>
      </c>
      <c r="J71" s="22">
        <v>0.20599999999999999</v>
      </c>
      <c r="K71" s="22">
        <v>0.20300000000000001</v>
      </c>
      <c r="L71" s="22">
        <v>0.2</v>
      </c>
      <c r="M71" s="42">
        <v>0.20200000000000001</v>
      </c>
      <c r="N71" s="45">
        <v>0.20300000000000001</v>
      </c>
      <c r="O71" s="22">
        <v>0.20300000000000001</v>
      </c>
      <c r="P71" s="22">
        <v>0.19700000000000001</v>
      </c>
      <c r="Q71" s="22">
        <v>0.20100000000000001</v>
      </c>
      <c r="R71" s="42">
        <v>0.20200000000000001</v>
      </c>
      <c r="S71" s="45">
        <v>0.20200000000000001</v>
      </c>
      <c r="T71" s="22">
        <v>0.19600000000000001</v>
      </c>
      <c r="U71" s="22">
        <v>0.20899999999999999</v>
      </c>
      <c r="V71" s="22">
        <v>0.20300000000000001</v>
      </c>
      <c r="W71" s="42">
        <v>0.2</v>
      </c>
      <c r="X71" s="45">
        <v>0.20499999999999999</v>
      </c>
      <c r="Y71" s="22">
        <v>0.20799999999999999</v>
      </c>
      <c r="Z71" s="22">
        <v>0.20899999999999999</v>
      </c>
      <c r="AA71" s="22">
        <v>0.20599999999999999</v>
      </c>
      <c r="AB71" s="42">
        <v>0.20200000000000001</v>
      </c>
      <c r="AC71" s="45">
        <v>0.214</v>
      </c>
      <c r="AD71" s="22">
        <v>0.245</v>
      </c>
      <c r="AE71" s="22">
        <v>0.21</v>
      </c>
      <c r="AF71" s="22">
        <v>0.20799999999999999</v>
      </c>
      <c r="AG71" s="42">
        <v>0.24399999999999999</v>
      </c>
      <c r="AH71" s="45">
        <v>0.20499999999999999</v>
      </c>
      <c r="AI71" s="22" t="s">
        <v>20</v>
      </c>
      <c r="AJ71" s="22" t="s">
        <v>20</v>
      </c>
      <c r="AK71" s="22">
        <v>0.247</v>
      </c>
      <c r="AL71" s="42">
        <v>0.19900000000000001</v>
      </c>
      <c r="AM71" s="45">
        <v>0.23599999999999999</v>
      </c>
      <c r="AN71" s="22">
        <v>0.214</v>
      </c>
      <c r="AO71" s="22">
        <v>0.20799999999999999</v>
      </c>
      <c r="AP71" s="22">
        <v>0.183</v>
      </c>
      <c r="AQ71" s="42">
        <v>0.184</v>
      </c>
      <c r="AR71" s="45">
        <v>0.222</v>
      </c>
      <c r="AS71" s="22">
        <v>0.218</v>
      </c>
      <c r="AT71" s="22">
        <v>0.24299999999999999</v>
      </c>
      <c r="AU71" s="22">
        <v>0.21</v>
      </c>
      <c r="AV71" s="42">
        <v>0.17799999999999999</v>
      </c>
      <c r="AW71" s="45">
        <v>0.20300000000000001</v>
      </c>
      <c r="AX71" s="22">
        <v>0.20599999999999999</v>
      </c>
      <c r="AY71" s="22">
        <v>0.20599999999999999</v>
      </c>
      <c r="AZ71" s="22">
        <v>0.17599999999999999</v>
      </c>
      <c r="BA71" s="42">
        <v>0.21199999999999999</v>
      </c>
      <c r="BB71" s="45">
        <v>0.187</v>
      </c>
      <c r="BC71" s="22">
        <v>0.214</v>
      </c>
      <c r="BD71" s="22">
        <v>0.2</v>
      </c>
      <c r="BE71" s="22">
        <v>0.22800000000000001</v>
      </c>
      <c r="BF71" s="42">
        <v>0.188</v>
      </c>
      <c r="BG71" s="45">
        <v>0.154</v>
      </c>
      <c r="BH71" s="22">
        <v>0.20399999999999999</v>
      </c>
      <c r="BI71" s="22">
        <v>0.17399999999999999</v>
      </c>
      <c r="BJ71" s="22">
        <v>0.183</v>
      </c>
      <c r="BK71" s="42">
        <v>0.187</v>
      </c>
      <c r="BL71" s="45">
        <v>0.20100000000000001</v>
      </c>
      <c r="BM71" s="42">
        <v>0.21099999999999999</v>
      </c>
      <c r="BN71" s="167">
        <f t="shared" si="44"/>
        <v>0.20215199999999994</v>
      </c>
      <c r="BO71" s="167">
        <f t="shared" si="45"/>
        <v>0.152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65"/>
      <c r="B72" s="8"/>
      <c r="C72" s="12" t="s">
        <v>14</v>
      </c>
      <c r="D72" s="38" t="s">
        <v>20</v>
      </c>
      <c r="E72" s="39">
        <v>0.217</v>
      </c>
      <c r="F72" s="39">
        <v>0.215</v>
      </c>
      <c r="G72" s="39">
        <v>0.219</v>
      </c>
      <c r="H72" s="40">
        <v>0.20300000000000001</v>
      </c>
      <c r="I72" s="44">
        <v>0.19700000000000001</v>
      </c>
      <c r="J72" s="39">
        <v>0.19600000000000001</v>
      </c>
      <c r="K72" s="39">
        <v>0.19500000000000001</v>
      </c>
      <c r="L72" s="39">
        <v>0.19</v>
      </c>
      <c r="M72" s="40">
        <v>0.183</v>
      </c>
      <c r="N72" s="44">
        <v>0.187</v>
      </c>
      <c r="O72" s="39">
        <v>0.193</v>
      </c>
      <c r="P72" s="39">
        <v>0.22500000000000001</v>
      </c>
      <c r="Q72" s="39">
        <v>0.193</v>
      </c>
      <c r="R72" s="40">
        <v>0.23</v>
      </c>
      <c r="S72" s="44">
        <v>0.19400000000000001</v>
      </c>
      <c r="T72" s="39">
        <v>0.19400000000000001</v>
      </c>
      <c r="U72" s="39">
        <v>0.19600000000000001</v>
      </c>
      <c r="V72" s="39">
        <v>0.193</v>
      </c>
      <c r="W72" s="40">
        <v>0.19</v>
      </c>
      <c r="X72" s="44">
        <v>0.214</v>
      </c>
      <c r="Y72" s="39">
        <v>0.20200000000000001</v>
      </c>
      <c r="Z72" s="39">
        <v>0.23499999999999999</v>
      </c>
      <c r="AA72" s="39">
        <v>0.192</v>
      </c>
      <c r="AB72" s="40">
        <v>0.19400000000000001</v>
      </c>
      <c r="AC72" s="44">
        <v>0.20599999999999999</v>
      </c>
      <c r="AD72" s="39">
        <v>0.20699999999999999</v>
      </c>
      <c r="AE72" s="39">
        <v>0.20599999999999999</v>
      </c>
      <c r="AF72" s="39">
        <v>0.193</v>
      </c>
      <c r="AG72" s="40">
        <v>0.20599999999999999</v>
      </c>
      <c r="AH72" s="44">
        <v>0.2</v>
      </c>
      <c r="AI72" s="39">
        <v>0.21299999999999999</v>
      </c>
      <c r="AJ72" s="39">
        <v>0.20100000000000001</v>
      </c>
      <c r="AK72" s="39">
        <v>0.23699999999999999</v>
      </c>
      <c r="AL72" s="40">
        <v>0.193</v>
      </c>
      <c r="AM72" s="44">
        <v>0.21199999999999999</v>
      </c>
      <c r="AN72" s="39">
        <v>0.19400000000000001</v>
      </c>
      <c r="AO72" s="39">
        <v>0.20399999999999999</v>
      </c>
      <c r="AP72" s="39">
        <v>0.19400000000000001</v>
      </c>
      <c r="AQ72" s="40">
        <v>0.21299999999999999</v>
      </c>
      <c r="AR72" s="44">
        <v>0.185</v>
      </c>
      <c r="AS72" s="39">
        <v>0.22500000000000001</v>
      </c>
      <c r="AT72" s="39">
        <v>0.17100000000000001</v>
      </c>
      <c r="AU72" s="39">
        <v>0.18</v>
      </c>
      <c r="AV72" s="40">
        <v>0.20300000000000001</v>
      </c>
      <c r="AW72" s="44">
        <v>0.17499999999999999</v>
      </c>
      <c r="AX72" s="39">
        <v>0.2</v>
      </c>
      <c r="AY72" s="39">
        <v>0.218</v>
      </c>
      <c r="AZ72" s="39">
        <v>0.17499999999999999</v>
      </c>
      <c r="BA72" s="40">
        <v>0.17499999999999999</v>
      </c>
      <c r="BB72" s="44">
        <v>0.17399999999999999</v>
      </c>
      <c r="BC72" s="39">
        <v>0.17899999999999999</v>
      </c>
      <c r="BD72" s="39">
        <v>0.16900000000000001</v>
      </c>
      <c r="BE72" s="39">
        <v>0.16800000000000001</v>
      </c>
      <c r="BF72" s="40">
        <v>0.16500000000000001</v>
      </c>
      <c r="BG72" s="44">
        <v>0.152</v>
      </c>
      <c r="BH72" s="39">
        <v>0.17</v>
      </c>
      <c r="BI72" s="39">
        <v>0.189</v>
      </c>
      <c r="BJ72" s="39">
        <v>0.24299999999999999</v>
      </c>
      <c r="BK72" s="40">
        <v>0.19500000000000001</v>
      </c>
      <c r="BL72" s="44">
        <v>0.214</v>
      </c>
      <c r="BM72" s="40" t="s">
        <v>20</v>
      </c>
      <c r="BN72" s="168">
        <f t="shared" si="44"/>
        <v>0.20005555555555554</v>
      </c>
      <c r="BO72" s="168">
        <f t="shared" si="45"/>
        <v>0.152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19</v>
      </c>
      <c r="B73" s="6" t="s">
        <v>9</v>
      </c>
      <c r="C73" s="11" t="s">
        <v>10</v>
      </c>
      <c r="D73" s="35" t="s">
        <v>11</v>
      </c>
      <c r="E73" s="36" t="s">
        <v>11</v>
      </c>
      <c r="F73" s="36" t="s">
        <v>11</v>
      </c>
      <c r="G73" s="36" t="s">
        <v>11</v>
      </c>
      <c r="H73" s="37" t="s">
        <v>11</v>
      </c>
      <c r="I73" s="43" t="s">
        <v>11</v>
      </c>
      <c r="J73" s="36" t="s">
        <v>11</v>
      </c>
      <c r="K73" s="36" t="s">
        <v>11</v>
      </c>
      <c r="L73" s="36" t="s">
        <v>11</v>
      </c>
      <c r="M73" s="37" t="s">
        <v>11</v>
      </c>
      <c r="N73" s="43" t="s">
        <v>11</v>
      </c>
      <c r="O73" s="36" t="s">
        <v>11</v>
      </c>
      <c r="P73" s="36" t="s">
        <v>11</v>
      </c>
      <c r="Q73" s="36" t="s">
        <v>11</v>
      </c>
      <c r="R73" s="37" t="s">
        <v>11</v>
      </c>
      <c r="S73" s="43" t="s">
        <v>11</v>
      </c>
      <c r="T73" s="36" t="s">
        <v>11</v>
      </c>
      <c r="U73" s="36" t="s">
        <v>11</v>
      </c>
      <c r="V73" s="36" t="s">
        <v>11</v>
      </c>
      <c r="W73" s="37" t="s">
        <v>11</v>
      </c>
      <c r="X73" s="43" t="s">
        <v>11</v>
      </c>
      <c r="Y73" s="36" t="s">
        <v>11</v>
      </c>
      <c r="Z73" s="36" t="s">
        <v>11</v>
      </c>
      <c r="AA73" s="36" t="s">
        <v>11</v>
      </c>
      <c r="AB73" s="37" t="s">
        <v>11</v>
      </c>
      <c r="AC73" s="43" t="s">
        <v>11</v>
      </c>
      <c r="AD73" s="36" t="s">
        <v>11</v>
      </c>
      <c r="AE73" s="36" t="s">
        <v>11</v>
      </c>
      <c r="AF73" s="36" t="s">
        <v>11</v>
      </c>
      <c r="AG73" s="37">
        <v>0.21099999999999999</v>
      </c>
      <c r="AH73" s="43">
        <v>0.21199999999999999</v>
      </c>
      <c r="AI73" s="36">
        <v>0.23400000000000001</v>
      </c>
      <c r="AJ73" s="36">
        <v>0.20799999999999999</v>
      </c>
      <c r="AK73" s="36">
        <v>0.217</v>
      </c>
      <c r="AL73" s="37">
        <v>0.22</v>
      </c>
      <c r="AM73" s="43" t="s">
        <v>11</v>
      </c>
      <c r="AN73" s="36" t="s">
        <v>11</v>
      </c>
      <c r="AO73" s="36" t="s">
        <v>11</v>
      </c>
      <c r="AP73" s="36" t="s">
        <v>11</v>
      </c>
      <c r="AQ73" s="37" t="s">
        <v>11</v>
      </c>
      <c r="AR73" s="43" t="s">
        <v>11</v>
      </c>
      <c r="AS73" s="36" t="s">
        <v>11</v>
      </c>
      <c r="AT73" s="36" t="s">
        <v>11</v>
      </c>
      <c r="AU73" s="36" t="s">
        <v>11</v>
      </c>
      <c r="AV73" s="37" t="s">
        <v>11</v>
      </c>
      <c r="AW73" s="43" t="s">
        <v>11</v>
      </c>
      <c r="AX73" s="36" t="s">
        <v>11</v>
      </c>
      <c r="AY73" s="36" t="s">
        <v>11</v>
      </c>
      <c r="AZ73" s="36" t="s">
        <v>11</v>
      </c>
      <c r="BA73" s="37" t="s">
        <v>11</v>
      </c>
      <c r="BB73" s="43" t="s">
        <v>11</v>
      </c>
      <c r="BC73" s="36" t="s">
        <v>11</v>
      </c>
      <c r="BD73" s="36" t="s">
        <v>11</v>
      </c>
      <c r="BE73" s="36" t="s">
        <v>11</v>
      </c>
      <c r="BF73" s="37" t="s">
        <v>11</v>
      </c>
      <c r="BG73" s="43" t="s">
        <v>11</v>
      </c>
      <c r="BH73" s="36" t="s">
        <v>11</v>
      </c>
      <c r="BI73" s="36" t="s">
        <v>11</v>
      </c>
      <c r="BJ73" s="36" t="s">
        <v>11</v>
      </c>
      <c r="BK73" s="37" t="s">
        <v>11</v>
      </c>
      <c r="BL73" s="43" t="s">
        <v>11</v>
      </c>
      <c r="BM73" s="37" t="s">
        <v>11</v>
      </c>
      <c r="BN73" s="166">
        <f t="shared" ref="BN73:BN75" si="46">IFERROR(AVERAGE(D73:BM75),0)</f>
        <v>0.21422222222222226</v>
      </c>
      <c r="BO73" s="166">
        <f t="shared" ref="BO73:BO75" si="47">MIN(D73:BM75)</f>
        <v>0.20200000000000001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65">
        <v>8.3000000000000004E-2</v>
      </c>
      <c r="B74" s="7" t="s">
        <v>12</v>
      </c>
      <c r="C74" s="11" t="s">
        <v>8</v>
      </c>
      <c r="D74" s="41" t="s">
        <v>11</v>
      </c>
      <c r="E74" s="22" t="s">
        <v>11</v>
      </c>
      <c r="F74" s="22" t="s">
        <v>11</v>
      </c>
      <c r="G74" s="22" t="s">
        <v>11</v>
      </c>
      <c r="H74" s="42" t="s">
        <v>11</v>
      </c>
      <c r="I74" s="45" t="s">
        <v>11</v>
      </c>
      <c r="J74" s="22" t="s">
        <v>11</v>
      </c>
      <c r="K74" s="22" t="s">
        <v>11</v>
      </c>
      <c r="L74" s="22" t="s">
        <v>11</v>
      </c>
      <c r="M74" s="42" t="s">
        <v>11</v>
      </c>
      <c r="N74" s="45" t="s">
        <v>11</v>
      </c>
      <c r="O74" s="22" t="s">
        <v>11</v>
      </c>
      <c r="P74" s="22" t="s">
        <v>11</v>
      </c>
      <c r="Q74" s="22" t="s">
        <v>11</v>
      </c>
      <c r="R74" s="42" t="s">
        <v>11</v>
      </c>
      <c r="S74" s="45" t="s">
        <v>11</v>
      </c>
      <c r="T74" s="22" t="s">
        <v>11</v>
      </c>
      <c r="U74" s="22" t="s">
        <v>11</v>
      </c>
      <c r="V74" s="22" t="s">
        <v>11</v>
      </c>
      <c r="W74" s="42" t="s">
        <v>11</v>
      </c>
      <c r="X74" s="45" t="s">
        <v>11</v>
      </c>
      <c r="Y74" s="22" t="s">
        <v>11</v>
      </c>
      <c r="Z74" s="22" t="s">
        <v>11</v>
      </c>
      <c r="AA74" s="22" t="s">
        <v>11</v>
      </c>
      <c r="AB74" s="42" t="s">
        <v>11</v>
      </c>
      <c r="AC74" s="45" t="s">
        <v>11</v>
      </c>
      <c r="AD74" s="22" t="s">
        <v>11</v>
      </c>
      <c r="AE74" s="22" t="s">
        <v>11</v>
      </c>
      <c r="AF74" s="22" t="s">
        <v>11</v>
      </c>
      <c r="AG74" s="42">
        <v>0.20799999999999999</v>
      </c>
      <c r="AH74" s="45">
        <v>0.215</v>
      </c>
      <c r="AI74" s="22">
        <v>0.216</v>
      </c>
      <c r="AJ74" s="22">
        <v>0.20300000000000001</v>
      </c>
      <c r="AK74" s="22">
        <v>0.20699999999999999</v>
      </c>
      <c r="AL74" s="42">
        <v>0.20200000000000001</v>
      </c>
      <c r="AM74" s="45" t="s">
        <v>11</v>
      </c>
      <c r="AN74" s="22" t="s">
        <v>11</v>
      </c>
      <c r="AO74" s="22" t="s">
        <v>11</v>
      </c>
      <c r="AP74" s="22" t="s">
        <v>11</v>
      </c>
      <c r="AQ74" s="42" t="s">
        <v>11</v>
      </c>
      <c r="AR74" s="45" t="s">
        <v>11</v>
      </c>
      <c r="AS74" s="22" t="s">
        <v>11</v>
      </c>
      <c r="AT74" s="22" t="s">
        <v>11</v>
      </c>
      <c r="AU74" s="22" t="s">
        <v>11</v>
      </c>
      <c r="AV74" s="42" t="s">
        <v>11</v>
      </c>
      <c r="AW74" s="45" t="s">
        <v>11</v>
      </c>
      <c r="AX74" s="22" t="s">
        <v>11</v>
      </c>
      <c r="AY74" s="22" t="s">
        <v>11</v>
      </c>
      <c r="AZ74" s="22" t="s">
        <v>11</v>
      </c>
      <c r="BA74" s="42" t="s">
        <v>11</v>
      </c>
      <c r="BB74" s="45" t="s">
        <v>11</v>
      </c>
      <c r="BC74" s="22" t="s">
        <v>11</v>
      </c>
      <c r="BD74" s="22" t="s">
        <v>11</v>
      </c>
      <c r="BE74" s="22" t="s">
        <v>11</v>
      </c>
      <c r="BF74" s="42" t="s">
        <v>11</v>
      </c>
      <c r="BG74" s="45" t="s">
        <v>11</v>
      </c>
      <c r="BH74" s="22" t="s">
        <v>11</v>
      </c>
      <c r="BI74" s="22" t="s">
        <v>11</v>
      </c>
      <c r="BJ74" s="22" t="s">
        <v>11</v>
      </c>
      <c r="BK74" s="42" t="s">
        <v>11</v>
      </c>
      <c r="BL74" s="45" t="s">
        <v>11</v>
      </c>
      <c r="BM74" s="42" t="s">
        <v>11</v>
      </c>
      <c r="BN74" s="167">
        <f t="shared" si="46"/>
        <v>0.21322222222222226</v>
      </c>
      <c r="BO74" s="167">
        <f t="shared" si="47"/>
        <v>0.20200000000000001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65"/>
      <c r="B75" s="8" t="s">
        <v>39</v>
      </c>
      <c r="C75" s="12" t="s">
        <v>14</v>
      </c>
      <c r="D75" s="38" t="s">
        <v>11</v>
      </c>
      <c r="E75" s="39" t="s">
        <v>11</v>
      </c>
      <c r="F75" s="39" t="s">
        <v>11</v>
      </c>
      <c r="G75" s="39" t="s">
        <v>11</v>
      </c>
      <c r="H75" s="40" t="s">
        <v>11</v>
      </c>
      <c r="I75" s="44" t="s">
        <v>11</v>
      </c>
      <c r="J75" s="39" t="s">
        <v>11</v>
      </c>
      <c r="K75" s="39" t="s">
        <v>11</v>
      </c>
      <c r="L75" s="39" t="s">
        <v>11</v>
      </c>
      <c r="M75" s="40" t="s">
        <v>11</v>
      </c>
      <c r="N75" s="44" t="s">
        <v>11</v>
      </c>
      <c r="O75" s="39" t="s">
        <v>11</v>
      </c>
      <c r="P75" s="39" t="s">
        <v>11</v>
      </c>
      <c r="Q75" s="39" t="s">
        <v>11</v>
      </c>
      <c r="R75" s="40" t="s">
        <v>11</v>
      </c>
      <c r="S75" s="44" t="s">
        <v>11</v>
      </c>
      <c r="T75" s="39" t="s">
        <v>11</v>
      </c>
      <c r="U75" s="39" t="s">
        <v>11</v>
      </c>
      <c r="V75" s="39" t="s">
        <v>11</v>
      </c>
      <c r="W75" s="40" t="s">
        <v>11</v>
      </c>
      <c r="X75" s="44" t="s">
        <v>11</v>
      </c>
      <c r="Y75" s="39" t="s">
        <v>11</v>
      </c>
      <c r="Z75" s="39" t="s">
        <v>11</v>
      </c>
      <c r="AA75" s="39" t="s">
        <v>11</v>
      </c>
      <c r="AB75" s="40" t="s">
        <v>11</v>
      </c>
      <c r="AC75" s="44" t="s">
        <v>11</v>
      </c>
      <c r="AD75" s="39" t="s">
        <v>11</v>
      </c>
      <c r="AE75" s="39" t="s">
        <v>11</v>
      </c>
      <c r="AF75" s="39" t="s">
        <v>11</v>
      </c>
      <c r="AG75" s="40">
        <v>0.20399999999999999</v>
      </c>
      <c r="AH75" s="44">
        <v>0.20499999999999999</v>
      </c>
      <c r="AI75" s="39">
        <v>0.23200000000000001</v>
      </c>
      <c r="AJ75" s="39">
        <v>0.23200000000000001</v>
      </c>
      <c r="AK75" s="39">
        <v>0.221</v>
      </c>
      <c r="AL75" s="40">
        <v>0.20899999999999999</v>
      </c>
      <c r="AM75" s="44" t="s">
        <v>11</v>
      </c>
      <c r="AN75" s="39" t="s">
        <v>11</v>
      </c>
      <c r="AO75" s="39" t="s">
        <v>11</v>
      </c>
      <c r="AP75" s="39" t="s">
        <v>11</v>
      </c>
      <c r="AQ75" s="40" t="s">
        <v>11</v>
      </c>
      <c r="AR75" s="44" t="s">
        <v>11</v>
      </c>
      <c r="AS75" s="39" t="s">
        <v>11</v>
      </c>
      <c r="AT75" s="39" t="s">
        <v>11</v>
      </c>
      <c r="AU75" s="39" t="s">
        <v>11</v>
      </c>
      <c r="AV75" s="40" t="s">
        <v>11</v>
      </c>
      <c r="AW75" s="44" t="s">
        <v>11</v>
      </c>
      <c r="AX75" s="39" t="s">
        <v>11</v>
      </c>
      <c r="AY75" s="39" t="s">
        <v>11</v>
      </c>
      <c r="AZ75" s="39" t="s">
        <v>11</v>
      </c>
      <c r="BA75" s="40" t="s">
        <v>11</v>
      </c>
      <c r="BB75" s="44" t="s">
        <v>11</v>
      </c>
      <c r="BC75" s="39" t="s">
        <v>11</v>
      </c>
      <c r="BD75" s="39" t="s">
        <v>11</v>
      </c>
      <c r="BE75" s="39" t="s">
        <v>11</v>
      </c>
      <c r="BF75" s="40" t="s">
        <v>11</v>
      </c>
      <c r="BG75" s="44" t="s">
        <v>11</v>
      </c>
      <c r="BH75" s="39" t="s">
        <v>11</v>
      </c>
      <c r="BI75" s="39" t="s">
        <v>11</v>
      </c>
      <c r="BJ75" s="39" t="s">
        <v>11</v>
      </c>
      <c r="BK75" s="40" t="s">
        <v>11</v>
      </c>
      <c r="BL75" s="44" t="s">
        <v>11</v>
      </c>
      <c r="BM75" s="40" t="s">
        <v>11</v>
      </c>
      <c r="BN75" s="168">
        <f t="shared" si="46"/>
        <v>0.21694444444444447</v>
      </c>
      <c r="BO75" s="168">
        <f t="shared" si="47"/>
        <v>0.20300000000000001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19</v>
      </c>
      <c r="B76" s="6" t="s">
        <v>15</v>
      </c>
      <c r="C76" s="11" t="s">
        <v>10</v>
      </c>
      <c r="D76" s="35" t="s">
        <v>11</v>
      </c>
      <c r="E76" s="36" t="s">
        <v>11</v>
      </c>
      <c r="F76" s="36" t="s">
        <v>11</v>
      </c>
      <c r="G76" s="36" t="s">
        <v>11</v>
      </c>
      <c r="H76" s="37" t="s">
        <v>11</v>
      </c>
      <c r="I76" s="43" t="s">
        <v>11</v>
      </c>
      <c r="J76" s="36" t="s">
        <v>11</v>
      </c>
      <c r="K76" s="36" t="s">
        <v>11</v>
      </c>
      <c r="L76" s="36" t="s">
        <v>11</v>
      </c>
      <c r="M76" s="37" t="s">
        <v>11</v>
      </c>
      <c r="N76" s="43" t="s">
        <v>11</v>
      </c>
      <c r="O76" s="36" t="s">
        <v>11</v>
      </c>
      <c r="P76" s="36" t="s">
        <v>11</v>
      </c>
      <c r="Q76" s="36" t="s">
        <v>11</v>
      </c>
      <c r="R76" s="37" t="s">
        <v>11</v>
      </c>
      <c r="S76" s="43" t="s">
        <v>11</v>
      </c>
      <c r="T76" s="36" t="s">
        <v>11</v>
      </c>
      <c r="U76" s="36" t="s">
        <v>11</v>
      </c>
      <c r="V76" s="36" t="s">
        <v>11</v>
      </c>
      <c r="W76" s="37" t="s">
        <v>11</v>
      </c>
      <c r="X76" s="43" t="s">
        <v>11</v>
      </c>
      <c r="Y76" s="36" t="s">
        <v>11</v>
      </c>
      <c r="Z76" s="36" t="s">
        <v>11</v>
      </c>
      <c r="AA76" s="36" t="s">
        <v>11</v>
      </c>
      <c r="AB76" s="37" t="s">
        <v>11</v>
      </c>
      <c r="AC76" s="43" t="s">
        <v>11</v>
      </c>
      <c r="AD76" s="36" t="s">
        <v>11</v>
      </c>
      <c r="AE76" s="36" t="s">
        <v>11</v>
      </c>
      <c r="AF76" s="36" t="s">
        <v>11</v>
      </c>
      <c r="AG76" s="37">
        <v>0.21199999999999999</v>
      </c>
      <c r="AH76" s="43">
        <v>0.221</v>
      </c>
      <c r="AI76" s="36">
        <v>0.217</v>
      </c>
      <c r="AJ76" s="36">
        <v>0.214</v>
      </c>
      <c r="AK76" s="36">
        <v>0.20699999999999999</v>
      </c>
      <c r="AL76" s="37">
        <v>0.21299999999999999</v>
      </c>
      <c r="AM76" s="43" t="s">
        <v>11</v>
      </c>
      <c r="AN76" s="36" t="s">
        <v>11</v>
      </c>
      <c r="AO76" s="36" t="s">
        <v>11</v>
      </c>
      <c r="AP76" s="36" t="s">
        <v>11</v>
      </c>
      <c r="AQ76" s="37" t="s">
        <v>11</v>
      </c>
      <c r="AR76" s="43" t="s">
        <v>11</v>
      </c>
      <c r="AS76" s="36" t="s">
        <v>11</v>
      </c>
      <c r="AT76" s="36" t="s">
        <v>11</v>
      </c>
      <c r="AU76" s="36" t="s">
        <v>11</v>
      </c>
      <c r="AV76" s="37" t="s">
        <v>11</v>
      </c>
      <c r="AW76" s="43" t="s">
        <v>11</v>
      </c>
      <c r="AX76" s="36" t="s">
        <v>11</v>
      </c>
      <c r="AY76" s="36" t="s">
        <v>11</v>
      </c>
      <c r="AZ76" s="36" t="s">
        <v>11</v>
      </c>
      <c r="BA76" s="37" t="s">
        <v>11</v>
      </c>
      <c r="BB76" s="43" t="s">
        <v>11</v>
      </c>
      <c r="BC76" s="36" t="s">
        <v>11</v>
      </c>
      <c r="BD76" s="36" t="s">
        <v>11</v>
      </c>
      <c r="BE76" s="36" t="s">
        <v>11</v>
      </c>
      <c r="BF76" s="37" t="s">
        <v>11</v>
      </c>
      <c r="BG76" s="43" t="s">
        <v>11</v>
      </c>
      <c r="BH76" s="36" t="s">
        <v>11</v>
      </c>
      <c r="BI76" s="36" t="s">
        <v>11</v>
      </c>
      <c r="BJ76" s="36" t="s">
        <v>11</v>
      </c>
      <c r="BK76" s="37" t="s">
        <v>11</v>
      </c>
      <c r="BL76" s="43" t="s">
        <v>11</v>
      </c>
      <c r="BM76" s="37" t="s">
        <v>11</v>
      </c>
      <c r="BN76" s="166">
        <f t="shared" ref="BN76:BN78" si="48">IFERROR(AVERAGE(D76:BM78),0)</f>
        <v>0.21138888888888888</v>
      </c>
      <c r="BO76" s="166">
        <f t="shared" ref="BO76:BO78" si="49">MIN(D76:BM78)</f>
        <v>0.191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65">
        <v>8.3000000000000004E-2</v>
      </c>
      <c r="B77" s="7" t="s">
        <v>12</v>
      </c>
      <c r="C77" s="11" t="s">
        <v>8</v>
      </c>
      <c r="D77" s="41" t="s">
        <v>11</v>
      </c>
      <c r="E77" s="22" t="s">
        <v>11</v>
      </c>
      <c r="F77" s="22" t="s">
        <v>11</v>
      </c>
      <c r="G77" s="22" t="s">
        <v>11</v>
      </c>
      <c r="H77" s="42" t="s">
        <v>11</v>
      </c>
      <c r="I77" s="45" t="s">
        <v>11</v>
      </c>
      <c r="J77" s="22" t="s">
        <v>11</v>
      </c>
      <c r="K77" s="22" t="s">
        <v>11</v>
      </c>
      <c r="L77" s="22" t="s">
        <v>11</v>
      </c>
      <c r="M77" s="42" t="s">
        <v>11</v>
      </c>
      <c r="N77" s="45" t="s">
        <v>11</v>
      </c>
      <c r="O77" s="22" t="s">
        <v>11</v>
      </c>
      <c r="P77" s="22" t="s">
        <v>11</v>
      </c>
      <c r="Q77" s="22" t="s">
        <v>11</v>
      </c>
      <c r="R77" s="42" t="s">
        <v>11</v>
      </c>
      <c r="S77" s="45" t="s">
        <v>11</v>
      </c>
      <c r="T77" s="22" t="s">
        <v>11</v>
      </c>
      <c r="U77" s="22" t="s">
        <v>11</v>
      </c>
      <c r="V77" s="22" t="s">
        <v>11</v>
      </c>
      <c r="W77" s="42" t="s">
        <v>11</v>
      </c>
      <c r="X77" s="45" t="s">
        <v>11</v>
      </c>
      <c r="Y77" s="22" t="s">
        <v>11</v>
      </c>
      <c r="Z77" s="22" t="s">
        <v>11</v>
      </c>
      <c r="AA77" s="22" t="s">
        <v>11</v>
      </c>
      <c r="AB77" s="42" t="s">
        <v>11</v>
      </c>
      <c r="AC77" s="45" t="s">
        <v>11</v>
      </c>
      <c r="AD77" s="22" t="s">
        <v>11</v>
      </c>
      <c r="AE77" s="22" t="s">
        <v>11</v>
      </c>
      <c r="AF77" s="22" t="s">
        <v>11</v>
      </c>
      <c r="AG77" s="42">
        <v>0.20499999999999999</v>
      </c>
      <c r="AH77" s="45">
        <v>0.20599999999999999</v>
      </c>
      <c r="AI77" s="22">
        <v>0.216</v>
      </c>
      <c r="AJ77" s="22">
        <v>0.255</v>
      </c>
      <c r="AK77" s="22">
        <v>0.23300000000000001</v>
      </c>
      <c r="AL77" s="42">
        <v>0.20300000000000001</v>
      </c>
      <c r="AM77" s="45" t="s">
        <v>11</v>
      </c>
      <c r="AN77" s="22" t="s">
        <v>11</v>
      </c>
      <c r="AO77" s="22" t="s">
        <v>11</v>
      </c>
      <c r="AP77" s="22" t="s">
        <v>11</v>
      </c>
      <c r="AQ77" s="42" t="s">
        <v>11</v>
      </c>
      <c r="AR77" s="45" t="s">
        <v>11</v>
      </c>
      <c r="AS77" s="22" t="s">
        <v>11</v>
      </c>
      <c r="AT77" s="22" t="s">
        <v>11</v>
      </c>
      <c r="AU77" s="22" t="s">
        <v>11</v>
      </c>
      <c r="AV77" s="42" t="s">
        <v>11</v>
      </c>
      <c r="AW77" s="45" t="s">
        <v>11</v>
      </c>
      <c r="AX77" s="22" t="s">
        <v>11</v>
      </c>
      <c r="AY77" s="22" t="s">
        <v>11</v>
      </c>
      <c r="AZ77" s="22" t="s">
        <v>11</v>
      </c>
      <c r="BA77" s="42" t="s">
        <v>11</v>
      </c>
      <c r="BB77" s="45" t="s">
        <v>11</v>
      </c>
      <c r="BC77" s="22" t="s">
        <v>11</v>
      </c>
      <c r="BD77" s="22" t="s">
        <v>11</v>
      </c>
      <c r="BE77" s="22" t="s">
        <v>11</v>
      </c>
      <c r="BF77" s="42" t="s">
        <v>11</v>
      </c>
      <c r="BG77" s="45" t="s">
        <v>11</v>
      </c>
      <c r="BH77" s="22" t="s">
        <v>11</v>
      </c>
      <c r="BI77" s="22" t="s">
        <v>11</v>
      </c>
      <c r="BJ77" s="22" t="s">
        <v>11</v>
      </c>
      <c r="BK77" s="42" t="s">
        <v>11</v>
      </c>
      <c r="BL77" s="45" t="s">
        <v>11</v>
      </c>
      <c r="BM77" s="42" t="s">
        <v>11</v>
      </c>
      <c r="BN77" s="167">
        <f t="shared" si="48"/>
        <v>0.2084583333333333</v>
      </c>
      <c r="BO77" s="167">
        <f t="shared" si="49"/>
        <v>0.183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65"/>
      <c r="B78" s="8" t="s">
        <v>39</v>
      </c>
      <c r="C78" s="12" t="s">
        <v>14</v>
      </c>
      <c r="D78" s="38" t="s">
        <v>11</v>
      </c>
      <c r="E78" s="39" t="s">
        <v>11</v>
      </c>
      <c r="F78" s="39" t="s">
        <v>11</v>
      </c>
      <c r="G78" s="39" t="s">
        <v>11</v>
      </c>
      <c r="H78" s="40" t="s">
        <v>11</v>
      </c>
      <c r="I78" s="44" t="s">
        <v>11</v>
      </c>
      <c r="J78" s="39" t="s">
        <v>11</v>
      </c>
      <c r="K78" s="39" t="s">
        <v>11</v>
      </c>
      <c r="L78" s="39" t="s">
        <v>11</v>
      </c>
      <c r="M78" s="40" t="s">
        <v>11</v>
      </c>
      <c r="N78" s="44" t="s">
        <v>11</v>
      </c>
      <c r="O78" s="39" t="s">
        <v>11</v>
      </c>
      <c r="P78" s="39" t="s">
        <v>11</v>
      </c>
      <c r="Q78" s="39" t="s">
        <v>11</v>
      </c>
      <c r="R78" s="40" t="s">
        <v>11</v>
      </c>
      <c r="S78" s="44" t="s">
        <v>11</v>
      </c>
      <c r="T78" s="39" t="s">
        <v>11</v>
      </c>
      <c r="U78" s="39" t="s">
        <v>11</v>
      </c>
      <c r="V78" s="39" t="s">
        <v>11</v>
      </c>
      <c r="W78" s="40" t="s">
        <v>11</v>
      </c>
      <c r="X78" s="44" t="s">
        <v>11</v>
      </c>
      <c r="Y78" s="39" t="s">
        <v>11</v>
      </c>
      <c r="Z78" s="39" t="s">
        <v>11</v>
      </c>
      <c r="AA78" s="39" t="s">
        <v>11</v>
      </c>
      <c r="AB78" s="40" t="s">
        <v>11</v>
      </c>
      <c r="AC78" s="44" t="s">
        <v>11</v>
      </c>
      <c r="AD78" s="39" t="s">
        <v>11</v>
      </c>
      <c r="AE78" s="39" t="s">
        <v>11</v>
      </c>
      <c r="AF78" s="39" t="s">
        <v>11</v>
      </c>
      <c r="AG78" s="40">
        <v>0.21099999999999999</v>
      </c>
      <c r="AH78" s="44">
        <v>0.20599999999999999</v>
      </c>
      <c r="AI78" s="39">
        <v>0.20899999999999999</v>
      </c>
      <c r="AJ78" s="39">
        <v>0.191</v>
      </c>
      <c r="AK78" s="39">
        <v>0.193</v>
      </c>
      <c r="AL78" s="40">
        <v>0.193</v>
      </c>
      <c r="AM78" s="44" t="s">
        <v>11</v>
      </c>
      <c r="AN78" s="39" t="s">
        <v>11</v>
      </c>
      <c r="AO78" s="39" t="s">
        <v>11</v>
      </c>
      <c r="AP78" s="39" t="s">
        <v>11</v>
      </c>
      <c r="AQ78" s="40" t="s">
        <v>11</v>
      </c>
      <c r="AR78" s="44" t="s">
        <v>11</v>
      </c>
      <c r="AS78" s="39" t="s">
        <v>11</v>
      </c>
      <c r="AT78" s="39" t="s">
        <v>11</v>
      </c>
      <c r="AU78" s="39" t="s">
        <v>11</v>
      </c>
      <c r="AV78" s="40" t="s">
        <v>11</v>
      </c>
      <c r="AW78" s="44" t="s">
        <v>11</v>
      </c>
      <c r="AX78" s="39" t="s">
        <v>11</v>
      </c>
      <c r="AY78" s="39" t="s">
        <v>11</v>
      </c>
      <c r="AZ78" s="39" t="s">
        <v>11</v>
      </c>
      <c r="BA78" s="40" t="s">
        <v>11</v>
      </c>
      <c r="BB78" s="44" t="s">
        <v>11</v>
      </c>
      <c r="BC78" s="39" t="s">
        <v>11</v>
      </c>
      <c r="BD78" s="39" t="s">
        <v>11</v>
      </c>
      <c r="BE78" s="39" t="s">
        <v>11</v>
      </c>
      <c r="BF78" s="40" t="s">
        <v>11</v>
      </c>
      <c r="BG78" s="44" t="s">
        <v>11</v>
      </c>
      <c r="BH78" s="39" t="s">
        <v>11</v>
      </c>
      <c r="BI78" s="39" t="s">
        <v>11</v>
      </c>
      <c r="BJ78" s="39" t="s">
        <v>11</v>
      </c>
      <c r="BK78" s="40" t="s">
        <v>11</v>
      </c>
      <c r="BL78" s="44" t="s">
        <v>11</v>
      </c>
      <c r="BM78" s="40" t="s">
        <v>11</v>
      </c>
      <c r="BN78" s="168">
        <f t="shared" si="48"/>
        <v>0.20426399999999995</v>
      </c>
      <c r="BO78" s="168">
        <f t="shared" si="49"/>
        <v>0.17899999999999999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19</v>
      </c>
      <c r="B79" s="6"/>
      <c r="C79" s="11" t="s">
        <v>10</v>
      </c>
      <c r="D79" s="35" t="s">
        <v>20</v>
      </c>
      <c r="E79" s="36" t="s">
        <v>20</v>
      </c>
      <c r="F79" s="36">
        <v>0.216</v>
      </c>
      <c r="G79" s="36">
        <v>0.20699999999999999</v>
      </c>
      <c r="H79" s="37">
        <v>0.20699999999999999</v>
      </c>
      <c r="I79" s="43">
        <v>0.2</v>
      </c>
      <c r="J79" s="36">
        <v>0.2</v>
      </c>
      <c r="K79" s="36">
        <v>0.20499999999999999</v>
      </c>
      <c r="L79" s="36">
        <v>0.20499999999999999</v>
      </c>
      <c r="M79" s="37">
        <v>0.20599999999999999</v>
      </c>
      <c r="N79" s="43">
        <v>0.20799999999999999</v>
      </c>
      <c r="O79" s="36">
        <v>0.20499999999999999</v>
      </c>
      <c r="P79" s="36">
        <v>0.20499999999999999</v>
      </c>
      <c r="Q79" s="36">
        <v>0.20599999999999999</v>
      </c>
      <c r="R79" s="37">
        <v>0.20799999999999999</v>
      </c>
      <c r="S79" s="43">
        <v>0.19900000000000001</v>
      </c>
      <c r="T79" s="36">
        <v>0.20599999999999999</v>
      </c>
      <c r="U79" s="36">
        <v>0.20899999999999999</v>
      </c>
      <c r="V79" s="36">
        <v>0.217</v>
      </c>
      <c r="W79" s="37">
        <v>0.20399999999999999</v>
      </c>
      <c r="X79" s="43">
        <v>0.20899999999999999</v>
      </c>
      <c r="Y79" s="36">
        <v>0.21199999999999999</v>
      </c>
      <c r="Z79" s="36">
        <v>0.214</v>
      </c>
      <c r="AA79" s="36">
        <v>0.214</v>
      </c>
      <c r="AB79" s="37">
        <v>0.20899999999999999</v>
      </c>
      <c r="AC79" s="43">
        <v>0.218</v>
      </c>
      <c r="AD79" s="36">
        <v>0.20799999999999999</v>
      </c>
      <c r="AE79" s="36">
        <v>0.20799999999999999</v>
      </c>
      <c r="AF79" s="36">
        <v>0.20300000000000001</v>
      </c>
      <c r="AG79" s="37">
        <v>0.20599999999999999</v>
      </c>
      <c r="AH79" s="43">
        <v>0.20699999999999999</v>
      </c>
      <c r="AI79" s="36">
        <v>0.217</v>
      </c>
      <c r="AJ79" s="36">
        <v>0.20899999999999999</v>
      </c>
      <c r="AK79" s="36">
        <v>0.22800000000000001</v>
      </c>
      <c r="AL79" s="37">
        <v>0.224</v>
      </c>
      <c r="AM79" s="43">
        <v>0.21</v>
      </c>
      <c r="AN79" s="36">
        <v>0.216</v>
      </c>
      <c r="AO79" s="36">
        <v>0.217</v>
      </c>
      <c r="AP79" s="36">
        <v>0.219</v>
      </c>
      <c r="AQ79" s="37">
        <v>0.21299999999999999</v>
      </c>
      <c r="AR79" s="43">
        <v>0.20799999999999999</v>
      </c>
      <c r="AS79" s="36">
        <v>0.20899999999999999</v>
      </c>
      <c r="AT79" s="36">
        <v>0.20599999999999999</v>
      </c>
      <c r="AU79" s="36">
        <v>0.20799999999999999</v>
      </c>
      <c r="AV79" s="37">
        <v>0.20200000000000001</v>
      </c>
      <c r="AW79" s="43">
        <v>0.20200000000000001</v>
      </c>
      <c r="AX79" s="36">
        <v>0.20100000000000001</v>
      </c>
      <c r="AY79" s="36">
        <v>0.21299999999999999</v>
      </c>
      <c r="AZ79" s="36">
        <v>0.19900000000000001</v>
      </c>
      <c r="BA79" s="37">
        <v>0.2</v>
      </c>
      <c r="BB79" s="43">
        <v>0.218</v>
      </c>
      <c r="BC79" s="36">
        <v>0.192</v>
      </c>
      <c r="BD79" s="36">
        <v>0.221</v>
      </c>
      <c r="BE79" s="36">
        <v>0.19700000000000001</v>
      </c>
      <c r="BF79" s="37">
        <v>0.20300000000000001</v>
      </c>
      <c r="BG79" s="43">
        <v>0.183</v>
      </c>
      <c r="BH79" s="36">
        <v>0.189</v>
      </c>
      <c r="BI79" s="36">
        <v>0.184</v>
      </c>
      <c r="BJ79" s="36">
        <v>0.24199999999999999</v>
      </c>
      <c r="BK79" s="37">
        <v>0.21099999999999999</v>
      </c>
      <c r="BL79" s="43">
        <v>0.20200000000000001</v>
      </c>
      <c r="BM79" s="37">
        <v>0.224</v>
      </c>
      <c r="BN79" s="166">
        <f t="shared" ref="BN79:BN81" si="50">IFERROR(AVERAGE(D79:BM81),0)</f>
        <v>0.20342134831460673</v>
      </c>
      <c r="BO79" s="166">
        <f t="shared" ref="BO79:BO81" si="51">MIN(D79:BM81)</f>
        <v>0.17100000000000001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65">
        <v>8.3000000000000004E-2</v>
      </c>
      <c r="B80" s="7" t="s">
        <v>40</v>
      </c>
      <c r="C80" s="11" t="s">
        <v>8</v>
      </c>
      <c r="D80" s="41">
        <v>0.215</v>
      </c>
      <c r="E80" s="22">
        <v>0.215</v>
      </c>
      <c r="F80" s="22">
        <v>0.21199999999999999</v>
      </c>
      <c r="G80" s="22">
        <v>0.22500000000000001</v>
      </c>
      <c r="H80" s="42">
        <v>0.21099999999999999</v>
      </c>
      <c r="I80" s="45">
        <v>0.20799999999999999</v>
      </c>
      <c r="J80" s="22">
        <v>0.20200000000000001</v>
      </c>
      <c r="K80" s="22">
        <v>0.20399999999999999</v>
      </c>
      <c r="L80" s="22">
        <v>0.2</v>
      </c>
      <c r="M80" s="42">
        <v>0.20399999999999999</v>
      </c>
      <c r="N80" s="45">
        <v>0.20200000000000001</v>
      </c>
      <c r="O80" s="22">
        <v>0.192</v>
      </c>
      <c r="P80" s="22">
        <v>0.20799999999999999</v>
      </c>
      <c r="Q80" s="22">
        <v>0.20200000000000001</v>
      </c>
      <c r="R80" s="42">
        <v>0.216</v>
      </c>
      <c r="S80" s="45">
        <v>0.20499999999999999</v>
      </c>
      <c r="T80" s="22">
        <v>0.19400000000000001</v>
      </c>
      <c r="U80" s="22">
        <v>0.21199999999999999</v>
      </c>
      <c r="V80" s="22">
        <v>0.2</v>
      </c>
      <c r="W80" s="42">
        <v>0.19900000000000001</v>
      </c>
      <c r="X80" s="45">
        <v>0.20300000000000001</v>
      </c>
      <c r="Y80" s="22">
        <v>0.19600000000000001</v>
      </c>
      <c r="Z80" s="22">
        <v>0.20699999999999999</v>
      </c>
      <c r="AA80" s="22">
        <v>0.20899999999999999</v>
      </c>
      <c r="AB80" s="42">
        <v>0.19800000000000001</v>
      </c>
      <c r="AC80" s="45">
        <v>0.20300000000000001</v>
      </c>
      <c r="AD80" s="22">
        <v>0.19800000000000001</v>
      </c>
      <c r="AE80" s="22">
        <v>0.20399999999999999</v>
      </c>
      <c r="AF80" s="22">
        <v>0.20599999999999999</v>
      </c>
      <c r="AG80" s="42">
        <v>0.19900000000000001</v>
      </c>
      <c r="AH80" s="45">
        <v>0.21</v>
      </c>
      <c r="AI80" s="22">
        <v>0.215</v>
      </c>
      <c r="AJ80" s="22" t="s">
        <v>20</v>
      </c>
      <c r="AK80" s="22" t="s">
        <v>20</v>
      </c>
      <c r="AL80" s="42">
        <v>0.19900000000000001</v>
      </c>
      <c r="AM80" s="45">
        <v>0.18099999999999999</v>
      </c>
      <c r="AN80" s="22">
        <v>0.20899999999999999</v>
      </c>
      <c r="AO80" s="22">
        <v>0.21199999999999999</v>
      </c>
      <c r="AP80" s="22">
        <v>0.21099999999999999</v>
      </c>
      <c r="AQ80" s="42">
        <v>0.20499999999999999</v>
      </c>
      <c r="AR80" s="45">
        <v>0.19600000000000001</v>
      </c>
      <c r="AS80" s="22">
        <v>0.20200000000000001</v>
      </c>
      <c r="AT80" s="22">
        <v>0.19800000000000001</v>
      </c>
      <c r="AU80" s="22">
        <v>0.188</v>
      </c>
      <c r="AV80" s="42">
        <v>0.19700000000000001</v>
      </c>
      <c r="AW80" s="45">
        <v>0.18099999999999999</v>
      </c>
      <c r="AX80" s="22">
        <v>0.188</v>
      </c>
      <c r="AY80" s="22">
        <v>0.19</v>
      </c>
      <c r="AZ80" s="22">
        <v>0.182</v>
      </c>
      <c r="BA80" s="42">
        <v>0.188</v>
      </c>
      <c r="BB80" s="45">
        <v>0.19</v>
      </c>
      <c r="BC80" s="22">
        <v>0.19400000000000001</v>
      </c>
      <c r="BD80" s="22">
        <v>0.2</v>
      </c>
      <c r="BE80" s="22">
        <v>0.191</v>
      </c>
      <c r="BF80" s="42">
        <v>0.182</v>
      </c>
      <c r="BG80" s="45">
        <v>0.18099999999999999</v>
      </c>
      <c r="BH80" s="22">
        <v>0.191</v>
      </c>
      <c r="BI80" s="22">
        <v>0.17899999999999999</v>
      </c>
      <c r="BJ80" s="22" t="s">
        <v>20</v>
      </c>
      <c r="BK80" s="42">
        <v>0.193</v>
      </c>
      <c r="BL80" s="45">
        <v>0.219</v>
      </c>
      <c r="BM80" s="42">
        <v>0.221</v>
      </c>
      <c r="BN80" s="167">
        <f t="shared" si="50"/>
        <v>0.20185483870967755</v>
      </c>
      <c r="BO80" s="167">
        <f t="shared" si="51"/>
        <v>0.17100000000000001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65"/>
      <c r="B81" s="8"/>
      <c r="C81" s="12" t="s">
        <v>14</v>
      </c>
      <c r="D81" s="38" t="s">
        <v>20</v>
      </c>
      <c r="E81" s="39">
        <v>0.218</v>
      </c>
      <c r="F81" s="39">
        <v>0.218</v>
      </c>
      <c r="G81" s="39">
        <v>0.224</v>
      </c>
      <c r="H81" s="40">
        <v>0.20399999999999999</v>
      </c>
      <c r="I81" s="44">
        <v>0.20699999999999999</v>
      </c>
      <c r="J81" s="39">
        <v>0.20899999999999999</v>
      </c>
      <c r="K81" s="39">
        <v>0.19400000000000001</v>
      </c>
      <c r="L81" s="39">
        <v>0.20100000000000001</v>
      </c>
      <c r="M81" s="40">
        <v>0.20100000000000001</v>
      </c>
      <c r="N81" s="44">
        <v>0.20399999999999999</v>
      </c>
      <c r="O81" s="39">
        <v>0.19700000000000001</v>
      </c>
      <c r="P81" s="39">
        <v>0.19800000000000001</v>
      </c>
      <c r="Q81" s="39">
        <v>0.19900000000000001</v>
      </c>
      <c r="R81" s="40">
        <v>0.20399999999999999</v>
      </c>
      <c r="S81" s="44">
        <v>0.19800000000000001</v>
      </c>
      <c r="T81" s="39">
        <v>0.2</v>
      </c>
      <c r="U81" s="39">
        <v>0.218</v>
      </c>
      <c r="V81" s="39">
        <v>0.19500000000000001</v>
      </c>
      <c r="W81" s="40">
        <v>0.2</v>
      </c>
      <c r="X81" s="44">
        <v>0.2</v>
      </c>
      <c r="Y81" s="39">
        <v>0.20499999999999999</v>
      </c>
      <c r="Z81" s="39">
        <v>0.20799999999999999</v>
      </c>
      <c r="AA81" s="39">
        <v>0.19900000000000001</v>
      </c>
      <c r="AB81" s="40">
        <v>0.20100000000000001</v>
      </c>
      <c r="AC81" s="44">
        <v>0.19600000000000001</v>
      </c>
      <c r="AD81" s="39">
        <v>0.20599999999999999</v>
      </c>
      <c r="AE81" s="39">
        <v>0.20399999999999999</v>
      </c>
      <c r="AF81" s="39">
        <v>0.21299999999999999</v>
      </c>
      <c r="AG81" s="40">
        <v>0.217</v>
      </c>
      <c r="AH81" s="44">
        <v>0.221</v>
      </c>
      <c r="AI81" s="39">
        <v>0.21299999999999999</v>
      </c>
      <c r="AJ81" s="39">
        <v>0.214</v>
      </c>
      <c r="AK81" s="39">
        <v>0.20699999999999999</v>
      </c>
      <c r="AL81" s="40">
        <v>0.17799999999999999</v>
      </c>
      <c r="AM81" s="44">
        <v>0.20699999999999999</v>
      </c>
      <c r="AN81" s="39">
        <v>0.218</v>
      </c>
      <c r="AO81" s="39">
        <v>0.219</v>
      </c>
      <c r="AP81" s="39">
        <v>0.20699999999999999</v>
      </c>
      <c r="AQ81" s="40">
        <v>0.19700000000000001</v>
      </c>
      <c r="AR81" s="44">
        <v>0.192</v>
      </c>
      <c r="AS81" s="39">
        <v>0.20100000000000001</v>
      </c>
      <c r="AT81" s="39">
        <v>0.19600000000000001</v>
      </c>
      <c r="AU81" s="39">
        <v>0.19800000000000001</v>
      </c>
      <c r="AV81" s="40">
        <v>0.19500000000000001</v>
      </c>
      <c r="AW81" s="44">
        <v>0.19700000000000001</v>
      </c>
      <c r="AX81" s="39">
        <v>0.19400000000000001</v>
      </c>
      <c r="AY81" s="39">
        <v>0.187</v>
      </c>
      <c r="AZ81" s="39">
        <v>0.187</v>
      </c>
      <c r="BA81" s="40">
        <v>0.183</v>
      </c>
      <c r="BB81" s="44">
        <v>0.184</v>
      </c>
      <c r="BC81" s="39">
        <v>0.188</v>
      </c>
      <c r="BD81" s="39">
        <v>0.17799999999999999</v>
      </c>
      <c r="BE81" s="39">
        <v>0.21299999999999999</v>
      </c>
      <c r="BF81" s="40">
        <v>0.17899999999999999</v>
      </c>
      <c r="BG81" s="44">
        <v>0.184</v>
      </c>
      <c r="BH81" s="39">
        <v>0.17799999999999999</v>
      </c>
      <c r="BI81" s="39">
        <v>0.17100000000000001</v>
      </c>
      <c r="BJ81" s="39">
        <v>0.23899999999999999</v>
      </c>
      <c r="BK81" s="40">
        <v>0.216</v>
      </c>
      <c r="BL81" s="44" t="s">
        <v>20</v>
      </c>
      <c r="BM81" s="40" t="s">
        <v>20</v>
      </c>
      <c r="BN81" s="168">
        <f t="shared" si="50"/>
        <v>0.20395774647887324</v>
      </c>
      <c r="BO81" s="168">
        <f t="shared" si="51"/>
        <v>0.17100000000000001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19</v>
      </c>
      <c r="B82" s="6" t="s">
        <v>17</v>
      </c>
      <c r="C82" s="11" t="s">
        <v>10</v>
      </c>
      <c r="D82" s="35" t="s">
        <v>11</v>
      </c>
      <c r="E82" s="36" t="s">
        <v>11</v>
      </c>
      <c r="F82" s="36" t="s">
        <v>11</v>
      </c>
      <c r="G82" s="36" t="s">
        <v>11</v>
      </c>
      <c r="H82" s="37" t="s">
        <v>11</v>
      </c>
      <c r="I82" s="43" t="s">
        <v>11</v>
      </c>
      <c r="J82" s="36" t="s">
        <v>11</v>
      </c>
      <c r="K82" s="36" t="s">
        <v>11</v>
      </c>
      <c r="L82" s="36" t="s">
        <v>11</v>
      </c>
      <c r="M82" s="37" t="s">
        <v>11</v>
      </c>
      <c r="N82" s="43" t="s">
        <v>11</v>
      </c>
      <c r="O82" s="36" t="s">
        <v>11</v>
      </c>
      <c r="P82" s="36" t="s">
        <v>11</v>
      </c>
      <c r="Q82" s="36" t="s">
        <v>11</v>
      </c>
      <c r="R82" s="37" t="s">
        <v>11</v>
      </c>
      <c r="S82" s="43" t="s">
        <v>11</v>
      </c>
      <c r="T82" s="36" t="s">
        <v>11</v>
      </c>
      <c r="U82" s="36" t="s">
        <v>11</v>
      </c>
      <c r="V82" s="36" t="s">
        <v>11</v>
      </c>
      <c r="W82" s="37" t="s">
        <v>11</v>
      </c>
      <c r="X82" s="43" t="s">
        <v>11</v>
      </c>
      <c r="Y82" s="36" t="s">
        <v>11</v>
      </c>
      <c r="Z82" s="36" t="s">
        <v>11</v>
      </c>
      <c r="AA82" s="36" t="s">
        <v>11</v>
      </c>
      <c r="AB82" s="37" t="s">
        <v>11</v>
      </c>
      <c r="AC82" s="43" t="s">
        <v>11</v>
      </c>
      <c r="AD82" s="36" t="s">
        <v>11</v>
      </c>
      <c r="AE82" s="36" t="s">
        <v>11</v>
      </c>
      <c r="AF82" s="36" t="s">
        <v>11</v>
      </c>
      <c r="AG82" s="37">
        <v>0.20899999999999999</v>
      </c>
      <c r="AH82" s="43">
        <v>0.21299999999999999</v>
      </c>
      <c r="AI82" s="36">
        <v>0.224</v>
      </c>
      <c r="AJ82" s="36">
        <v>0.224</v>
      </c>
      <c r="AK82" s="36">
        <v>0.22500000000000001</v>
      </c>
      <c r="AL82" s="37">
        <v>0.214</v>
      </c>
      <c r="AM82" s="43" t="s">
        <v>11</v>
      </c>
      <c r="AN82" s="36" t="s">
        <v>11</v>
      </c>
      <c r="AO82" s="36" t="s">
        <v>11</v>
      </c>
      <c r="AP82" s="36" t="s">
        <v>11</v>
      </c>
      <c r="AQ82" s="37" t="s">
        <v>11</v>
      </c>
      <c r="AR82" s="43" t="s">
        <v>11</v>
      </c>
      <c r="AS82" s="36" t="s">
        <v>11</v>
      </c>
      <c r="AT82" s="36" t="s">
        <v>11</v>
      </c>
      <c r="AU82" s="36" t="s">
        <v>11</v>
      </c>
      <c r="AV82" s="37" t="s">
        <v>11</v>
      </c>
      <c r="AW82" s="43" t="s">
        <v>11</v>
      </c>
      <c r="AX82" s="36" t="s">
        <v>11</v>
      </c>
      <c r="AY82" s="36" t="s">
        <v>11</v>
      </c>
      <c r="AZ82" s="36" t="s">
        <v>11</v>
      </c>
      <c r="BA82" s="37" t="s">
        <v>11</v>
      </c>
      <c r="BB82" s="43" t="s">
        <v>11</v>
      </c>
      <c r="BC82" s="36" t="s">
        <v>11</v>
      </c>
      <c r="BD82" s="36" t="s">
        <v>11</v>
      </c>
      <c r="BE82" s="36" t="s">
        <v>11</v>
      </c>
      <c r="BF82" s="37" t="s">
        <v>11</v>
      </c>
      <c r="BG82" s="43" t="s">
        <v>11</v>
      </c>
      <c r="BH82" s="36" t="s">
        <v>11</v>
      </c>
      <c r="BI82" s="36" t="s">
        <v>11</v>
      </c>
      <c r="BJ82" s="36" t="s">
        <v>11</v>
      </c>
      <c r="BK82" s="37" t="s">
        <v>11</v>
      </c>
      <c r="BL82" s="43" t="s">
        <v>11</v>
      </c>
      <c r="BM82" s="37" t="s">
        <v>11</v>
      </c>
      <c r="BN82" s="166">
        <f t="shared" ref="BN82:BN84" si="52">IFERROR(AVERAGE(D82:BM84),0)</f>
        <v>0.21416666666666667</v>
      </c>
      <c r="BO82" s="166">
        <f t="shared" ref="BO82:BO84" si="53">MIN(D82:BM84)</f>
        <v>0.19500000000000001</v>
      </c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65">
        <v>8.3000000000000004E-2</v>
      </c>
      <c r="B83" s="7" t="s">
        <v>12</v>
      </c>
      <c r="C83" s="11" t="s">
        <v>8</v>
      </c>
      <c r="D83" s="41" t="s">
        <v>11</v>
      </c>
      <c r="E83" s="22" t="s">
        <v>11</v>
      </c>
      <c r="F83" s="22" t="s">
        <v>11</v>
      </c>
      <c r="G83" s="22" t="s">
        <v>11</v>
      </c>
      <c r="H83" s="42" t="s">
        <v>11</v>
      </c>
      <c r="I83" s="45" t="s">
        <v>11</v>
      </c>
      <c r="J83" s="22" t="s">
        <v>11</v>
      </c>
      <c r="K83" s="22" t="s">
        <v>11</v>
      </c>
      <c r="L83" s="22" t="s">
        <v>11</v>
      </c>
      <c r="M83" s="42" t="s">
        <v>11</v>
      </c>
      <c r="N83" s="45" t="s">
        <v>11</v>
      </c>
      <c r="O83" s="22" t="s">
        <v>11</v>
      </c>
      <c r="P83" s="22" t="s">
        <v>11</v>
      </c>
      <c r="Q83" s="22" t="s">
        <v>11</v>
      </c>
      <c r="R83" s="42" t="s">
        <v>11</v>
      </c>
      <c r="S83" s="45" t="s">
        <v>11</v>
      </c>
      <c r="T83" s="22" t="s">
        <v>11</v>
      </c>
      <c r="U83" s="22" t="s">
        <v>11</v>
      </c>
      <c r="V83" s="22" t="s">
        <v>11</v>
      </c>
      <c r="W83" s="42" t="s">
        <v>11</v>
      </c>
      <c r="X83" s="45" t="s">
        <v>11</v>
      </c>
      <c r="Y83" s="22" t="s">
        <v>11</v>
      </c>
      <c r="Z83" s="22" t="s">
        <v>11</v>
      </c>
      <c r="AA83" s="22" t="s">
        <v>11</v>
      </c>
      <c r="AB83" s="42" t="s">
        <v>11</v>
      </c>
      <c r="AC83" s="45" t="s">
        <v>11</v>
      </c>
      <c r="AD83" s="22" t="s">
        <v>11</v>
      </c>
      <c r="AE83" s="22" t="s">
        <v>11</v>
      </c>
      <c r="AF83" s="22" t="s">
        <v>11</v>
      </c>
      <c r="AG83" s="42">
        <v>0.20899999999999999</v>
      </c>
      <c r="AH83" s="45">
        <v>0.214</v>
      </c>
      <c r="AI83" s="22">
        <v>0.20699999999999999</v>
      </c>
      <c r="AJ83" s="22">
        <v>0.219</v>
      </c>
      <c r="AK83" s="22">
        <v>0.22</v>
      </c>
      <c r="AL83" s="42">
        <v>0.224</v>
      </c>
      <c r="AM83" s="45" t="s">
        <v>11</v>
      </c>
      <c r="AN83" s="22" t="s">
        <v>11</v>
      </c>
      <c r="AO83" s="22" t="s">
        <v>11</v>
      </c>
      <c r="AP83" s="22" t="s">
        <v>11</v>
      </c>
      <c r="AQ83" s="42" t="s">
        <v>11</v>
      </c>
      <c r="AR83" s="45" t="s">
        <v>11</v>
      </c>
      <c r="AS83" s="22" t="s">
        <v>11</v>
      </c>
      <c r="AT83" s="22" t="s">
        <v>11</v>
      </c>
      <c r="AU83" s="22" t="s">
        <v>11</v>
      </c>
      <c r="AV83" s="42" t="s">
        <v>11</v>
      </c>
      <c r="AW83" s="45" t="s">
        <v>11</v>
      </c>
      <c r="AX83" s="22" t="s">
        <v>11</v>
      </c>
      <c r="AY83" s="22" t="s">
        <v>11</v>
      </c>
      <c r="AZ83" s="22" t="s">
        <v>11</v>
      </c>
      <c r="BA83" s="42" t="s">
        <v>11</v>
      </c>
      <c r="BB83" s="45" t="s">
        <v>11</v>
      </c>
      <c r="BC83" s="22" t="s">
        <v>11</v>
      </c>
      <c r="BD83" s="22" t="s">
        <v>11</v>
      </c>
      <c r="BE83" s="22" t="s">
        <v>11</v>
      </c>
      <c r="BF83" s="42" t="s">
        <v>11</v>
      </c>
      <c r="BG83" s="45" t="s">
        <v>11</v>
      </c>
      <c r="BH83" s="22" t="s">
        <v>11</v>
      </c>
      <c r="BI83" s="22" t="s">
        <v>11</v>
      </c>
      <c r="BJ83" s="22" t="s">
        <v>11</v>
      </c>
      <c r="BK83" s="42" t="s">
        <v>11</v>
      </c>
      <c r="BL83" s="45" t="s">
        <v>11</v>
      </c>
      <c r="BM83" s="42" t="s">
        <v>11</v>
      </c>
      <c r="BN83" s="167">
        <f t="shared" si="52"/>
        <v>0.20883783783783783</v>
      </c>
      <c r="BO83" s="167">
        <f t="shared" si="53"/>
        <v>0.188</v>
      </c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65"/>
      <c r="B84" s="8" t="s">
        <v>39</v>
      </c>
      <c r="C84" s="12" t="s">
        <v>14</v>
      </c>
      <c r="D84" s="38" t="s">
        <v>11</v>
      </c>
      <c r="E84" s="39" t="s">
        <v>11</v>
      </c>
      <c r="F84" s="39" t="s">
        <v>11</v>
      </c>
      <c r="G84" s="39" t="s">
        <v>11</v>
      </c>
      <c r="H84" s="40" t="s">
        <v>11</v>
      </c>
      <c r="I84" s="44" t="s">
        <v>11</v>
      </c>
      <c r="J84" s="39" t="s">
        <v>11</v>
      </c>
      <c r="K84" s="39" t="s">
        <v>11</v>
      </c>
      <c r="L84" s="39" t="s">
        <v>11</v>
      </c>
      <c r="M84" s="40" t="s">
        <v>11</v>
      </c>
      <c r="N84" s="44" t="s">
        <v>11</v>
      </c>
      <c r="O84" s="39" t="s">
        <v>11</v>
      </c>
      <c r="P84" s="39" t="s">
        <v>11</v>
      </c>
      <c r="Q84" s="39" t="s">
        <v>11</v>
      </c>
      <c r="R84" s="40" t="s">
        <v>11</v>
      </c>
      <c r="S84" s="44" t="s">
        <v>11</v>
      </c>
      <c r="T84" s="39" t="s">
        <v>11</v>
      </c>
      <c r="U84" s="39" t="s">
        <v>11</v>
      </c>
      <c r="V84" s="39" t="s">
        <v>11</v>
      </c>
      <c r="W84" s="40" t="s">
        <v>11</v>
      </c>
      <c r="X84" s="44" t="s">
        <v>11</v>
      </c>
      <c r="Y84" s="39" t="s">
        <v>11</v>
      </c>
      <c r="Z84" s="39" t="s">
        <v>11</v>
      </c>
      <c r="AA84" s="39" t="s">
        <v>11</v>
      </c>
      <c r="AB84" s="40" t="s">
        <v>11</v>
      </c>
      <c r="AC84" s="44" t="s">
        <v>11</v>
      </c>
      <c r="AD84" s="39" t="s">
        <v>11</v>
      </c>
      <c r="AE84" s="39" t="s">
        <v>11</v>
      </c>
      <c r="AF84" s="39" t="s">
        <v>11</v>
      </c>
      <c r="AG84" s="40">
        <v>0.217</v>
      </c>
      <c r="AH84" s="44">
        <v>0.217</v>
      </c>
      <c r="AI84" s="39">
        <v>0.20599999999999999</v>
      </c>
      <c r="AJ84" s="39">
        <v>0.219</v>
      </c>
      <c r="AK84" s="39">
        <v>0.19500000000000001</v>
      </c>
      <c r="AL84" s="40">
        <v>0.19900000000000001</v>
      </c>
      <c r="AM84" s="44" t="s">
        <v>11</v>
      </c>
      <c r="AN84" s="39" t="s">
        <v>11</v>
      </c>
      <c r="AO84" s="39" t="s">
        <v>11</v>
      </c>
      <c r="AP84" s="39" t="s">
        <v>11</v>
      </c>
      <c r="AQ84" s="40" t="s">
        <v>11</v>
      </c>
      <c r="AR84" s="44" t="s">
        <v>11</v>
      </c>
      <c r="AS84" s="39" t="s">
        <v>11</v>
      </c>
      <c r="AT84" s="39" t="s">
        <v>11</v>
      </c>
      <c r="AU84" s="39" t="s">
        <v>11</v>
      </c>
      <c r="AV84" s="40" t="s">
        <v>11</v>
      </c>
      <c r="AW84" s="44" t="s">
        <v>11</v>
      </c>
      <c r="AX84" s="39" t="s">
        <v>11</v>
      </c>
      <c r="AY84" s="39" t="s">
        <v>11</v>
      </c>
      <c r="AZ84" s="39" t="s">
        <v>11</v>
      </c>
      <c r="BA84" s="40" t="s">
        <v>11</v>
      </c>
      <c r="BB84" s="44" t="s">
        <v>11</v>
      </c>
      <c r="BC84" s="39" t="s">
        <v>11</v>
      </c>
      <c r="BD84" s="39" t="s">
        <v>11</v>
      </c>
      <c r="BE84" s="39" t="s">
        <v>11</v>
      </c>
      <c r="BF84" s="40" t="s">
        <v>11</v>
      </c>
      <c r="BG84" s="44" t="s">
        <v>11</v>
      </c>
      <c r="BH84" s="39" t="s">
        <v>11</v>
      </c>
      <c r="BI84" s="39" t="s">
        <v>11</v>
      </c>
      <c r="BJ84" s="39" t="s">
        <v>11</v>
      </c>
      <c r="BK84" s="40" t="s">
        <v>11</v>
      </c>
      <c r="BL84" s="44" t="s">
        <v>11</v>
      </c>
      <c r="BM84" s="40" t="s">
        <v>11</v>
      </c>
      <c r="BN84" s="168">
        <f t="shared" si="52"/>
        <v>0.20699999999999991</v>
      </c>
      <c r="BO84" s="168">
        <f t="shared" si="53"/>
        <v>0.182</v>
      </c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19</v>
      </c>
      <c r="B85" s="6"/>
      <c r="C85" s="11" t="s">
        <v>10</v>
      </c>
      <c r="D85" s="35">
        <v>0.23</v>
      </c>
      <c r="E85" s="36">
        <v>0.22</v>
      </c>
      <c r="F85" s="36">
        <v>0.216</v>
      </c>
      <c r="G85" s="36">
        <v>0.221</v>
      </c>
      <c r="H85" s="37">
        <v>0.20399999999999999</v>
      </c>
      <c r="I85" s="43">
        <v>0.20300000000000001</v>
      </c>
      <c r="J85" s="36">
        <v>0.21299999999999999</v>
      </c>
      <c r="K85" s="36">
        <v>0.216</v>
      </c>
      <c r="L85" s="36">
        <v>0.21</v>
      </c>
      <c r="M85" s="37">
        <v>0.20399999999999999</v>
      </c>
      <c r="N85" s="43">
        <v>0.21</v>
      </c>
      <c r="O85" s="36">
        <v>0.20300000000000001</v>
      </c>
      <c r="P85" s="36">
        <v>0.20699999999999999</v>
      </c>
      <c r="Q85" s="36">
        <v>0.21</v>
      </c>
      <c r="R85" s="37">
        <v>0.20799999999999999</v>
      </c>
      <c r="S85" s="43">
        <v>0.20300000000000001</v>
      </c>
      <c r="T85" s="36">
        <v>0.20300000000000001</v>
      </c>
      <c r="U85" s="36">
        <v>0.20100000000000001</v>
      </c>
      <c r="V85" s="36">
        <v>0.20699999999999999</v>
      </c>
      <c r="W85" s="37">
        <v>0.20499999999999999</v>
      </c>
      <c r="X85" s="43">
        <v>0.21</v>
      </c>
      <c r="Y85" s="36">
        <v>0.21299999999999999</v>
      </c>
      <c r="Z85" s="36">
        <v>0.20599999999999999</v>
      </c>
      <c r="AA85" s="36">
        <v>0.20899999999999999</v>
      </c>
      <c r="AB85" s="37">
        <v>0.20399999999999999</v>
      </c>
      <c r="AC85" s="43">
        <v>0.21</v>
      </c>
      <c r="AD85" s="36">
        <v>0.216</v>
      </c>
      <c r="AE85" s="36">
        <v>0.215</v>
      </c>
      <c r="AF85" s="36">
        <v>0.217</v>
      </c>
      <c r="AG85" s="37">
        <v>0.21199999999999999</v>
      </c>
      <c r="AH85" s="43">
        <v>0.215</v>
      </c>
      <c r="AI85" s="36">
        <v>0.221</v>
      </c>
      <c r="AJ85" s="36">
        <v>0.219</v>
      </c>
      <c r="AK85" s="36">
        <v>0.215</v>
      </c>
      <c r="AL85" s="37">
        <v>0.21199999999999999</v>
      </c>
      <c r="AM85" s="43">
        <v>0.222</v>
      </c>
      <c r="AN85" s="36">
        <v>0.214</v>
      </c>
      <c r="AO85" s="36">
        <v>0.20899999999999999</v>
      </c>
      <c r="AP85" s="36">
        <v>0.20899999999999999</v>
      </c>
      <c r="AQ85" s="37">
        <v>0.20399999999999999</v>
      </c>
      <c r="AR85" s="43">
        <v>0.21199999999999999</v>
      </c>
      <c r="AS85" s="36">
        <v>0.20100000000000001</v>
      </c>
      <c r="AT85" s="36">
        <v>0.20399999999999999</v>
      </c>
      <c r="AU85" s="36">
        <v>0.19700000000000001</v>
      </c>
      <c r="AV85" s="37">
        <v>0.188</v>
      </c>
      <c r="AW85" s="43">
        <v>0.2</v>
      </c>
      <c r="AX85" s="36">
        <v>0.19</v>
      </c>
      <c r="AY85" s="36">
        <v>0.21199999999999999</v>
      </c>
      <c r="AZ85" s="36">
        <v>0.20300000000000001</v>
      </c>
      <c r="BA85" s="37">
        <v>0.20300000000000001</v>
      </c>
      <c r="BB85" s="43">
        <v>0.20300000000000001</v>
      </c>
      <c r="BC85" s="36">
        <v>0.19800000000000001</v>
      </c>
      <c r="BD85" s="36">
        <v>0.19600000000000001</v>
      </c>
      <c r="BE85" s="36">
        <v>0.21</v>
      </c>
      <c r="BF85" s="37">
        <v>0.19500000000000001</v>
      </c>
      <c r="BG85" s="43">
        <v>0.20200000000000001</v>
      </c>
      <c r="BH85" s="36">
        <v>0.19400000000000001</v>
      </c>
      <c r="BI85" s="36">
        <v>0.20300000000000001</v>
      </c>
      <c r="BJ85" s="36">
        <v>0.23499999999999999</v>
      </c>
      <c r="BK85" s="37">
        <v>0.19900000000000001</v>
      </c>
      <c r="BL85" s="43">
        <v>0.19400000000000001</v>
      </c>
      <c r="BM85" s="37">
        <v>0.223</v>
      </c>
      <c r="BN85" s="166">
        <f t="shared" ref="BN85:BN87" si="54">IFERROR(AVERAGE(D85:BM87),0)</f>
        <v>0.20587634408602157</v>
      </c>
      <c r="BO85" s="166">
        <f t="shared" ref="BO85:BO87" si="55">MIN(D85:BM87)</f>
        <v>0.17599999999999999</v>
      </c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65">
        <v>8.3000000000000004E-2</v>
      </c>
      <c r="B86" s="7" t="s">
        <v>41</v>
      </c>
      <c r="C86" s="11" t="s">
        <v>8</v>
      </c>
      <c r="D86" s="41">
        <v>0.22800000000000001</v>
      </c>
      <c r="E86" s="22">
        <v>0.20799999999999999</v>
      </c>
      <c r="F86" s="22">
        <v>0.21199999999999999</v>
      </c>
      <c r="G86" s="22">
        <v>0.21299999999999999</v>
      </c>
      <c r="H86" s="42">
        <v>0.21199999999999999</v>
      </c>
      <c r="I86" s="45">
        <v>0.19600000000000001</v>
      </c>
      <c r="J86" s="22">
        <v>0.215</v>
      </c>
      <c r="K86" s="22">
        <v>0.21099999999999999</v>
      </c>
      <c r="L86" s="22">
        <v>0.215</v>
      </c>
      <c r="M86" s="42">
        <v>0.20699999999999999</v>
      </c>
      <c r="N86" s="45">
        <v>0.20699999999999999</v>
      </c>
      <c r="O86" s="22">
        <v>0.20599999999999999</v>
      </c>
      <c r="P86" s="22">
        <v>0.21199999999999999</v>
      </c>
      <c r="Q86" s="22">
        <v>0.21099999999999999</v>
      </c>
      <c r="R86" s="42">
        <v>0.20599999999999999</v>
      </c>
      <c r="S86" s="45">
        <v>0.19600000000000001</v>
      </c>
      <c r="T86" s="22">
        <v>0.214</v>
      </c>
      <c r="U86" s="22">
        <v>0.21</v>
      </c>
      <c r="V86" s="22">
        <v>0.21299999999999999</v>
      </c>
      <c r="W86" s="42">
        <v>0.20499999999999999</v>
      </c>
      <c r="X86" s="45">
        <v>0.20399999999999999</v>
      </c>
      <c r="Y86" s="22">
        <v>0.214</v>
      </c>
      <c r="Z86" s="22">
        <v>0.20899999999999999</v>
      </c>
      <c r="AA86" s="22">
        <v>0.21099999999999999</v>
      </c>
      <c r="AB86" s="42">
        <v>0.21199999999999999</v>
      </c>
      <c r="AC86" s="45">
        <v>0.21299999999999999</v>
      </c>
      <c r="AD86" s="22">
        <v>0.20100000000000001</v>
      </c>
      <c r="AE86" s="22">
        <v>0.216</v>
      </c>
      <c r="AF86" s="22">
        <v>0.221</v>
      </c>
      <c r="AG86" s="42">
        <v>0.214</v>
      </c>
      <c r="AH86" s="45">
        <v>0.20399999999999999</v>
      </c>
      <c r="AI86" s="22">
        <v>0.20799999999999999</v>
      </c>
      <c r="AJ86" s="22">
        <v>0.22600000000000001</v>
      </c>
      <c r="AK86" s="22">
        <v>0.214</v>
      </c>
      <c r="AL86" s="42">
        <v>0.20799999999999999</v>
      </c>
      <c r="AM86" s="45">
        <v>0.22</v>
      </c>
      <c r="AN86" s="22">
        <v>0.20399999999999999</v>
      </c>
      <c r="AO86" s="22">
        <v>0.193</v>
      </c>
      <c r="AP86" s="22">
        <v>0.20300000000000001</v>
      </c>
      <c r="AQ86" s="42">
        <v>0.19700000000000001</v>
      </c>
      <c r="AR86" s="45">
        <v>0.22</v>
      </c>
      <c r="AS86" s="22">
        <v>0.188</v>
      </c>
      <c r="AT86" s="22">
        <v>0.192</v>
      </c>
      <c r="AU86" s="22">
        <v>0.182</v>
      </c>
      <c r="AV86" s="42">
        <v>0.189</v>
      </c>
      <c r="AW86" s="45">
        <v>0.193</v>
      </c>
      <c r="AX86" s="22">
        <v>0.19</v>
      </c>
      <c r="AY86" s="22">
        <v>0.20300000000000001</v>
      </c>
      <c r="AZ86" s="22">
        <v>0.19400000000000001</v>
      </c>
      <c r="BA86" s="42">
        <v>0.19600000000000001</v>
      </c>
      <c r="BB86" s="45">
        <v>0.184</v>
      </c>
      <c r="BC86" s="22">
        <v>0.19400000000000001</v>
      </c>
      <c r="BD86" s="22">
        <v>0.19800000000000001</v>
      </c>
      <c r="BE86" s="22">
        <v>0.184</v>
      </c>
      <c r="BF86" s="42">
        <v>0.182</v>
      </c>
      <c r="BG86" s="45">
        <v>0.19800000000000001</v>
      </c>
      <c r="BH86" s="22">
        <v>0.19400000000000001</v>
      </c>
      <c r="BI86" s="22">
        <v>0.19900000000000001</v>
      </c>
      <c r="BJ86" s="22">
        <v>0.23899999999999999</v>
      </c>
      <c r="BK86" s="42">
        <v>0.20699999999999999</v>
      </c>
      <c r="BL86" s="45">
        <v>0.217</v>
      </c>
      <c r="BM86" s="42">
        <v>0.217</v>
      </c>
      <c r="BN86" s="167">
        <f t="shared" si="54"/>
        <v>0.24181521739130446</v>
      </c>
      <c r="BO86" s="167">
        <f t="shared" si="55"/>
        <v>0.17599999999999999</v>
      </c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65"/>
      <c r="B87" s="8"/>
      <c r="C87" s="12" t="s">
        <v>14</v>
      </c>
      <c r="D87" s="38">
        <v>0.23100000000000001</v>
      </c>
      <c r="E87" s="39">
        <v>0.21</v>
      </c>
      <c r="F87" s="39">
        <v>0.216</v>
      </c>
      <c r="G87" s="39">
        <v>0.21099999999999999</v>
      </c>
      <c r="H87" s="40">
        <v>0.20899999999999999</v>
      </c>
      <c r="I87" s="44">
        <v>0.20100000000000001</v>
      </c>
      <c r="J87" s="39">
        <v>0.20200000000000001</v>
      </c>
      <c r="K87" s="39">
        <v>0.20899999999999999</v>
      </c>
      <c r="L87" s="39">
        <v>0.21199999999999999</v>
      </c>
      <c r="M87" s="40">
        <v>0.21299999999999999</v>
      </c>
      <c r="N87" s="44">
        <v>0.20499999999999999</v>
      </c>
      <c r="O87" s="39">
        <v>0.19900000000000001</v>
      </c>
      <c r="P87" s="39">
        <v>0.20899999999999999</v>
      </c>
      <c r="Q87" s="39">
        <v>0.21</v>
      </c>
      <c r="R87" s="40">
        <v>0.21099999999999999</v>
      </c>
      <c r="S87" s="44">
        <v>0.20200000000000001</v>
      </c>
      <c r="T87" s="39">
        <v>0.20499999999999999</v>
      </c>
      <c r="U87" s="39">
        <v>0.20399999999999999</v>
      </c>
      <c r="V87" s="39">
        <v>0.20799999999999999</v>
      </c>
      <c r="W87" s="40">
        <v>0.20499999999999999</v>
      </c>
      <c r="X87" s="44">
        <v>0.20200000000000001</v>
      </c>
      <c r="Y87" s="39">
        <v>0.21</v>
      </c>
      <c r="Z87" s="39">
        <v>0.22</v>
      </c>
      <c r="AA87" s="39">
        <v>0.19600000000000001</v>
      </c>
      <c r="AB87" s="40">
        <v>0.21199999999999999</v>
      </c>
      <c r="AC87" s="44">
        <v>0.19500000000000001</v>
      </c>
      <c r="AD87" s="39">
        <v>0.20599999999999999</v>
      </c>
      <c r="AE87" s="39">
        <v>0.20799999999999999</v>
      </c>
      <c r="AF87" s="39">
        <v>0.216</v>
      </c>
      <c r="AG87" s="40">
        <v>0.216</v>
      </c>
      <c r="AH87" s="44">
        <v>0.20599999999999999</v>
      </c>
      <c r="AI87" s="39">
        <v>0.216</v>
      </c>
      <c r="AJ87" s="39">
        <v>0.19600000000000001</v>
      </c>
      <c r="AK87" s="39">
        <v>0.23200000000000001</v>
      </c>
      <c r="AL87" s="40">
        <v>0.20399999999999999</v>
      </c>
      <c r="AM87" s="44">
        <v>0.214</v>
      </c>
      <c r="AN87" s="39">
        <v>0.222</v>
      </c>
      <c r="AO87" s="39">
        <v>0.20100000000000001</v>
      </c>
      <c r="AP87" s="39">
        <v>0.182</v>
      </c>
      <c r="AQ87" s="40">
        <v>0.19800000000000001</v>
      </c>
      <c r="AR87" s="44">
        <v>0.19900000000000001</v>
      </c>
      <c r="AS87" s="39">
        <v>0.17599999999999999</v>
      </c>
      <c r="AT87" s="39">
        <v>0.19</v>
      </c>
      <c r="AU87" s="39">
        <v>0.19400000000000001</v>
      </c>
      <c r="AV87" s="40">
        <v>0.193</v>
      </c>
      <c r="AW87" s="44">
        <v>0.19400000000000001</v>
      </c>
      <c r="AX87" s="39">
        <v>0.191</v>
      </c>
      <c r="AY87" s="39">
        <v>0.191</v>
      </c>
      <c r="AZ87" s="39">
        <v>0.187</v>
      </c>
      <c r="BA87" s="40">
        <v>0.191</v>
      </c>
      <c r="BB87" s="44">
        <v>0.184</v>
      </c>
      <c r="BC87" s="39">
        <v>0.188</v>
      </c>
      <c r="BD87" s="39">
        <v>0.191</v>
      </c>
      <c r="BE87" s="39">
        <v>0.184</v>
      </c>
      <c r="BF87" s="40">
        <v>0.188</v>
      </c>
      <c r="BG87" s="44">
        <v>0.191</v>
      </c>
      <c r="BH87" s="39">
        <v>0.19900000000000001</v>
      </c>
      <c r="BI87" s="39">
        <v>0.19500000000000001</v>
      </c>
      <c r="BJ87" s="39">
        <v>0.24</v>
      </c>
      <c r="BK87" s="40">
        <v>0.20899999999999999</v>
      </c>
      <c r="BL87" s="44">
        <v>0.216</v>
      </c>
      <c r="BM87" s="40">
        <v>0.221</v>
      </c>
      <c r="BN87" s="168">
        <f t="shared" si="54"/>
        <v>0.27762983425414373</v>
      </c>
      <c r="BO87" s="168">
        <f t="shared" si="55"/>
        <v>0.17599999999999999</v>
      </c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19</v>
      </c>
      <c r="B88" s="6"/>
      <c r="C88" s="11" t="s">
        <v>10</v>
      </c>
      <c r="D88" s="35">
        <v>0.32900000000000001</v>
      </c>
      <c r="E88" s="36" t="s">
        <v>20</v>
      </c>
      <c r="F88" s="36">
        <v>0.32500000000000001</v>
      </c>
      <c r="G88" s="36">
        <v>0.33200000000000002</v>
      </c>
      <c r="H88" s="37">
        <v>0.314</v>
      </c>
      <c r="I88" s="43">
        <v>0.32300000000000001</v>
      </c>
      <c r="J88" s="36">
        <v>0.32</v>
      </c>
      <c r="K88" s="36">
        <v>0.32900000000000001</v>
      </c>
      <c r="L88" s="36">
        <v>0.317</v>
      </c>
      <c r="M88" s="37">
        <v>0.307</v>
      </c>
      <c r="N88" s="43">
        <v>0.31</v>
      </c>
      <c r="O88" s="36">
        <v>0.318</v>
      </c>
      <c r="P88" s="36">
        <v>0.31</v>
      </c>
      <c r="Q88" s="36">
        <v>0.315</v>
      </c>
      <c r="R88" s="37">
        <v>0.33100000000000002</v>
      </c>
      <c r="S88" s="43">
        <v>0.32800000000000001</v>
      </c>
      <c r="T88" s="36">
        <v>0.32200000000000001</v>
      </c>
      <c r="U88" s="36">
        <v>0.307</v>
      </c>
      <c r="V88" s="36">
        <v>0.32100000000000001</v>
      </c>
      <c r="W88" s="37">
        <v>0.313</v>
      </c>
      <c r="X88" s="43">
        <v>0.315</v>
      </c>
      <c r="Y88" s="36">
        <v>0.33400000000000002</v>
      </c>
      <c r="Z88" s="36">
        <v>0.32300000000000001</v>
      </c>
      <c r="AA88" s="36">
        <v>0.32700000000000001</v>
      </c>
      <c r="AB88" s="37">
        <v>0.33200000000000002</v>
      </c>
      <c r="AC88" s="43">
        <v>0.31900000000000001</v>
      </c>
      <c r="AD88" s="36">
        <v>0.32200000000000001</v>
      </c>
      <c r="AE88" s="36">
        <v>0.32500000000000001</v>
      </c>
      <c r="AF88" s="36">
        <v>0.32700000000000001</v>
      </c>
      <c r="AG88" s="37">
        <v>0.32</v>
      </c>
      <c r="AH88" s="43">
        <v>0.32400000000000001</v>
      </c>
      <c r="AI88" s="36">
        <v>0.316</v>
      </c>
      <c r="AJ88" s="36">
        <v>0.317</v>
      </c>
      <c r="AK88" s="36">
        <v>0.32300000000000001</v>
      </c>
      <c r="AL88" s="37">
        <v>0.32300000000000001</v>
      </c>
      <c r="AM88" s="43">
        <v>0.313</v>
      </c>
      <c r="AN88" s="36">
        <v>0.316</v>
      </c>
      <c r="AO88" s="36">
        <v>0.32600000000000001</v>
      </c>
      <c r="AP88" s="36">
        <v>0.32300000000000001</v>
      </c>
      <c r="AQ88" s="37">
        <v>0.314</v>
      </c>
      <c r="AR88" s="43">
        <v>0.316</v>
      </c>
      <c r="AS88" s="36">
        <v>0.316</v>
      </c>
      <c r="AT88" s="36">
        <v>0.314</v>
      </c>
      <c r="AU88" s="36">
        <v>0.314</v>
      </c>
      <c r="AV88" s="37">
        <v>0.31900000000000001</v>
      </c>
      <c r="AW88" s="43">
        <v>0.30599999999999999</v>
      </c>
      <c r="AX88" s="36">
        <v>0.30599999999999999</v>
      </c>
      <c r="AY88" s="36">
        <v>0.313</v>
      </c>
      <c r="AZ88" s="36">
        <v>0.307</v>
      </c>
      <c r="BA88" s="37">
        <v>0.30399999999999999</v>
      </c>
      <c r="BB88" s="43">
        <v>0.307</v>
      </c>
      <c r="BC88" s="36">
        <v>0.29899999999999999</v>
      </c>
      <c r="BD88" s="36">
        <v>0.30599999999999999</v>
      </c>
      <c r="BE88" s="36">
        <v>0.32100000000000001</v>
      </c>
      <c r="BF88" s="37">
        <v>0.32100000000000001</v>
      </c>
      <c r="BG88" s="43">
        <v>0.32100000000000001</v>
      </c>
      <c r="BH88" s="36">
        <v>0.32300000000000001</v>
      </c>
      <c r="BI88" s="36">
        <v>0.317</v>
      </c>
      <c r="BJ88" s="36">
        <v>0.32</v>
      </c>
      <c r="BK88" s="37">
        <v>0.32600000000000001</v>
      </c>
      <c r="BL88" s="43">
        <v>0.32300000000000001</v>
      </c>
      <c r="BM88" s="37" t="s">
        <v>20</v>
      </c>
      <c r="BN88" s="166">
        <f t="shared" ref="BN88:BN90" si="56">IFERROR(AVERAGE(D88:BM90),0)</f>
        <v>0.3162586206896551</v>
      </c>
      <c r="BO88" s="166">
        <f t="shared" ref="BO88:BO90" si="57">MIN(D88:BM90)</f>
        <v>0.28399999999999997</v>
      </c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65">
        <v>8.3000000000000004E-2</v>
      </c>
      <c r="B89" s="7" t="s">
        <v>42</v>
      </c>
      <c r="C89" s="11" t="s">
        <v>8</v>
      </c>
      <c r="D89" s="41">
        <v>0.32900000000000001</v>
      </c>
      <c r="E89" s="22">
        <v>0.31900000000000001</v>
      </c>
      <c r="F89" s="22">
        <v>0.314</v>
      </c>
      <c r="G89" s="22">
        <v>0.32100000000000001</v>
      </c>
      <c r="H89" s="42">
        <v>0.316</v>
      </c>
      <c r="I89" s="45">
        <v>0.32400000000000001</v>
      </c>
      <c r="J89" s="22">
        <v>0.33300000000000002</v>
      </c>
      <c r="K89" s="22">
        <v>0.31900000000000001</v>
      </c>
      <c r="L89" s="22">
        <v>0.316</v>
      </c>
      <c r="M89" s="42">
        <v>0.30199999999999999</v>
      </c>
      <c r="N89" s="45">
        <v>0.30299999999999999</v>
      </c>
      <c r="O89" s="22">
        <v>0.307</v>
      </c>
      <c r="P89" s="22">
        <v>0.317</v>
      </c>
      <c r="Q89" s="22">
        <v>0.32100000000000001</v>
      </c>
      <c r="R89" s="42">
        <v>0.32500000000000001</v>
      </c>
      <c r="S89" s="45">
        <v>0.317</v>
      </c>
      <c r="T89" s="22">
        <v>0.33</v>
      </c>
      <c r="U89" s="22">
        <v>0.31</v>
      </c>
      <c r="V89" s="22">
        <v>0.318</v>
      </c>
      <c r="W89" s="42">
        <v>0.316</v>
      </c>
      <c r="X89" s="45">
        <v>0.309</v>
      </c>
      <c r="Y89" s="22">
        <v>0.32200000000000001</v>
      </c>
      <c r="Z89" s="22">
        <v>0.31900000000000001</v>
      </c>
      <c r="AA89" s="22">
        <v>0.33100000000000002</v>
      </c>
      <c r="AB89" s="42">
        <v>0.32500000000000001</v>
      </c>
      <c r="AC89" s="45">
        <v>0.32100000000000001</v>
      </c>
      <c r="AD89" s="22">
        <v>0.32500000000000001</v>
      </c>
      <c r="AE89" s="22" t="s">
        <v>20</v>
      </c>
      <c r="AF89" s="22">
        <v>0.311</v>
      </c>
      <c r="AG89" s="42">
        <v>0.32900000000000001</v>
      </c>
      <c r="AH89" s="45">
        <v>0.32300000000000001</v>
      </c>
      <c r="AI89" s="22">
        <v>0.317</v>
      </c>
      <c r="AJ89" s="22">
        <v>0.307</v>
      </c>
      <c r="AK89" s="22">
        <v>0.309</v>
      </c>
      <c r="AL89" s="42">
        <v>0.311</v>
      </c>
      <c r="AM89" s="45">
        <v>0.29899999999999999</v>
      </c>
      <c r="AN89" s="22">
        <v>0.29599999999999999</v>
      </c>
      <c r="AO89" s="22">
        <v>0.309</v>
      </c>
      <c r="AP89" s="22">
        <v>0.313</v>
      </c>
      <c r="AQ89" s="42">
        <v>0.307</v>
      </c>
      <c r="AR89" s="45">
        <v>0.309</v>
      </c>
      <c r="AS89" s="22">
        <v>0.30499999999999999</v>
      </c>
      <c r="AT89" s="22">
        <v>0.30599999999999999</v>
      </c>
      <c r="AU89" s="22">
        <v>0.30399999999999999</v>
      </c>
      <c r="AV89" s="42">
        <v>0.30599999999999999</v>
      </c>
      <c r="AW89" s="45">
        <v>0.29199999999999998</v>
      </c>
      <c r="AX89" s="22">
        <v>0.308</v>
      </c>
      <c r="AY89" s="22">
        <v>0.29599999999999999</v>
      </c>
      <c r="AZ89" s="22">
        <v>0.29399999999999998</v>
      </c>
      <c r="BA89" s="42">
        <v>0.30499999999999999</v>
      </c>
      <c r="BB89" s="45">
        <v>0.30299999999999999</v>
      </c>
      <c r="BC89" s="22">
        <v>0.29299999999999998</v>
      </c>
      <c r="BD89" s="22">
        <v>0.30399999999999999</v>
      </c>
      <c r="BE89" s="22">
        <v>0.30399999999999999</v>
      </c>
      <c r="BF89" s="42">
        <v>0.32</v>
      </c>
      <c r="BG89" s="45">
        <v>0.32100000000000001</v>
      </c>
      <c r="BH89" s="22" t="s">
        <v>20</v>
      </c>
      <c r="BI89" s="22" t="s">
        <v>20</v>
      </c>
      <c r="BJ89" s="22">
        <v>0.32600000000000001</v>
      </c>
      <c r="BK89" s="42">
        <v>0.33300000000000002</v>
      </c>
      <c r="BL89" s="45">
        <v>0.316</v>
      </c>
      <c r="BM89" s="42">
        <v>0.32100000000000001</v>
      </c>
      <c r="BN89" s="167">
        <f t="shared" si="56"/>
        <v>0.316735294117647</v>
      </c>
      <c r="BO89" s="167">
        <f t="shared" si="57"/>
        <v>0.28399999999999997</v>
      </c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65"/>
      <c r="B90" s="8"/>
      <c r="C90" s="12" t="s">
        <v>14</v>
      </c>
      <c r="D90" s="38" t="s">
        <v>20</v>
      </c>
      <c r="E90" s="39">
        <v>0.31900000000000001</v>
      </c>
      <c r="F90" s="39">
        <v>0.32500000000000001</v>
      </c>
      <c r="G90" s="39">
        <v>0.32300000000000001</v>
      </c>
      <c r="H90" s="40">
        <v>0.32700000000000001</v>
      </c>
      <c r="I90" s="44">
        <v>0.32300000000000001</v>
      </c>
      <c r="J90" s="39">
        <v>0.32800000000000001</v>
      </c>
      <c r="K90" s="39">
        <v>0.32400000000000001</v>
      </c>
      <c r="L90" s="39">
        <v>0.32100000000000001</v>
      </c>
      <c r="M90" s="40">
        <v>0.31</v>
      </c>
      <c r="N90" s="44" t="s">
        <v>20</v>
      </c>
      <c r="O90" s="39">
        <v>0.311</v>
      </c>
      <c r="P90" s="39">
        <v>0.32700000000000001</v>
      </c>
      <c r="Q90" s="39">
        <v>0.32400000000000001</v>
      </c>
      <c r="R90" s="40">
        <v>0.33200000000000002</v>
      </c>
      <c r="S90" s="44">
        <v>0.32600000000000001</v>
      </c>
      <c r="T90" s="39">
        <v>0.33700000000000002</v>
      </c>
      <c r="U90" s="39">
        <v>0.318</v>
      </c>
      <c r="V90" s="39">
        <v>0.34200000000000003</v>
      </c>
      <c r="W90" s="40">
        <v>0.317</v>
      </c>
      <c r="X90" s="44">
        <v>0.309</v>
      </c>
      <c r="Y90" s="39">
        <v>0.309</v>
      </c>
      <c r="Z90" s="39">
        <v>0.32</v>
      </c>
      <c r="AA90" s="39">
        <v>0.33300000000000002</v>
      </c>
      <c r="AB90" s="40">
        <v>0.314</v>
      </c>
      <c r="AC90" s="44">
        <v>0.316</v>
      </c>
      <c r="AD90" s="39">
        <v>0.311</v>
      </c>
      <c r="AE90" s="39">
        <v>0.32600000000000001</v>
      </c>
      <c r="AF90" s="39">
        <v>0.32500000000000001</v>
      </c>
      <c r="AG90" s="40">
        <v>0.32700000000000001</v>
      </c>
      <c r="AH90" s="44">
        <v>0.314</v>
      </c>
      <c r="AI90" s="39">
        <v>0.311</v>
      </c>
      <c r="AJ90" s="39">
        <v>0.30599999999999999</v>
      </c>
      <c r="AK90" s="39">
        <v>0.30599999999999999</v>
      </c>
      <c r="AL90" s="40">
        <v>0.316</v>
      </c>
      <c r="AM90" s="44">
        <v>0.31</v>
      </c>
      <c r="AN90" s="39">
        <v>0.3</v>
      </c>
      <c r="AO90" s="39">
        <v>0.30599999999999999</v>
      </c>
      <c r="AP90" s="39">
        <v>0.31900000000000001</v>
      </c>
      <c r="AQ90" s="40">
        <v>0.28399999999999997</v>
      </c>
      <c r="AR90" s="44">
        <v>0.308</v>
      </c>
      <c r="AS90" s="39">
        <v>0.308</v>
      </c>
      <c r="AT90" s="39">
        <v>0.314</v>
      </c>
      <c r="AU90" s="39">
        <v>0.30599999999999999</v>
      </c>
      <c r="AV90" s="40">
        <v>0.314</v>
      </c>
      <c r="AW90" s="44">
        <v>0.30499999999999999</v>
      </c>
      <c r="AX90" s="39">
        <v>0.314</v>
      </c>
      <c r="AY90" s="39">
        <v>0.3</v>
      </c>
      <c r="AZ90" s="39">
        <v>0.308</v>
      </c>
      <c r="BA90" s="40">
        <v>0.31</v>
      </c>
      <c r="BB90" s="44">
        <v>0.311</v>
      </c>
      <c r="BC90" s="39">
        <v>0.29699999999999999</v>
      </c>
      <c r="BD90" s="39">
        <v>0.32100000000000001</v>
      </c>
      <c r="BE90" s="39">
        <v>0.32300000000000001</v>
      </c>
      <c r="BF90" s="40" t="s">
        <v>20</v>
      </c>
      <c r="BG90" s="44" t="s">
        <v>20</v>
      </c>
      <c r="BH90" s="39" t="s">
        <v>20</v>
      </c>
      <c r="BI90" s="39">
        <v>0.32900000000000001</v>
      </c>
      <c r="BJ90" s="39" t="s">
        <v>20</v>
      </c>
      <c r="BK90" s="40" t="s">
        <v>20</v>
      </c>
      <c r="BL90" s="44">
        <v>0.32</v>
      </c>
      <c r="BM90" s="40">
        <v>0.33</v>
      </c>
      <c r="BN90" s="168">
        <f t="shared" si="56"/>
        <v>0.31852727272727288</v>
      </c>
      <c r="BO90" s="168">
        <f t="shared" si="57"/>
        <v>0.28399999999999997</v>
      </c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43</v>
      </c>
      <c r="B91" s="6"/>
      <c r="C91" s="11" t="s">
        <v>10</v>
      </c>
      <c r="D91" s="35">
        <v>0.34100000000000003</v>
      </c>
      <c r="E91" s="36" t="s">
        <v>20</v>
      </c>
      <c r="F91" s="36">
        <v>0.32400000000000001</v>
      </c>
      <c r="G91" s="36">
        <v>0.33</v>
      </c>
      <c r="H91" s="37" t="s">
        <v>20</v>
      </c>
      <c r="I91" s="43" t="s">
        <v>20</v>
      </c>
      <c r="J91" s="36">
        <v>0.32</v>
      </c>
      <c r="K91" s="36">
        <v>0.32700000000000001</v>
      </c>
      <c r="L91" s="36">
        <v>0.33100000000000002</v>
      </c>
      <c r="M91" s="37">
        <v>0.29899999999999999</v>
      </c>
      <c r="N91" s="43">
        <v>0.316</v>
      </c>
      <c r="O91" s="36">
        <v>0.317</v>
      </c>
      <c r="P91" s="36">
        <v>0.30499999999999999</v>
      </c>
      <c r="Q91" s="36">
        <v>0.32500000000000001</v>
      </c>
      <c r="R91" s="37">
        <v>0.32600000000000001</v>
      </c>
      <c r="S91" s="43">
        <v>0.31900000000000001</v>
      </c>
      <c r="T91" s="36">
        <v>0.32700000000000001</v>
      </c>
      <c r="U91" s="36">
        <v>0.315</v>
      </c>
      <c r="V91" s="36">
        <v>0.313</v>
      </c>
      <c r="W91" s="37">
        <v>0.30599999999999999</v>
      </c>
      <c r="X91" s="43">
        <v>0.32</v>
      </c>
      <c r="Y91" s="36">
        <v>0.33100000000000002</v>
      </c>
      <c r="Z91" s="36">
        <v>0.31900000000000001</v>
      </c>
      <c r="AA91" s="36">
        <v>0.32400000000000001</v>
      </c>
      <c r="AB91" s="37">
        <v>0.32600000000000001</v>
      </c>
      <c r="AC91" s="43">
        <v>0.32</v>
      </c>
      <c r="AD91" s="36">
        <v>0.308</v>
      </c>
      <c r="AE91" s="36">
        <v>0.315</v>
      </c>
      <c r="AF91" s="36">
        <v>0.32400000000000001</v>
      </c>
      <c r="AG91" s="37">
        <v>0.31900000000000001</v>
      </c>
      <c r="AH91" s="43">
        <v>0.32900000000000001</v>
      </c>
      <c r="AI91" s="36">
        <v>0.318</v>
      </c>
      <c r="AJ91" s="36">
        <v>0.309</v>
      </c>
      <c r="AK91" s="36">
        <v>0.31</v>
      </c>
      <c r="AL91" s="37">
        <v>0.32400000000000001</v>
      </c>
      <c r="AM91" s="43">
        <v>0.32100000000000001</v>
      </c>
      <c r="AN91" s="36">
        <v>0.32400000000000001</v>
      </c>
      <c r="AO91" s="36">
        <v>0.317</v>
      </c>
      <c r="AP91" s="36">
        <v>0.32600000000000001</v>
      </c>
      <c r="AQ91" s="37">
        <v>0.317</v>
      </c>
      <c r="AR91" s="43">
        <v>0.318</v>
      </c>
      <c r="AS91" s="36">
        <v>0.32100000000000001</v>
      </c>
      <c r="AT91" s="36">
        <v>0.311</v>
      </c>
      <c r="AU91" s="36">
        <v>0.315</v>
      </c>
      <c r="AV91" s="37">
        <v>0.32</v>
      </c>
      <c r="AW91" s="43">
        <v>0.316</v>
      </c>
      <c r="AX91" s="36">
        <v>0.312</v>
      </c>
      <c r="AY91" s="36">
        <v>0.32300000000000001</v>
      </c>
      <c r="AZ91" s="36">
        <v>0.32</v>
      </c>
      <c r="BA91" s="37">
        <v>0.309</v>
      </c>
      <c r="BB91" s="43">
        <v>0.31900000000000001</v>
      </c>
      <c r="BC91" s="36">
        <v>0.314</v>
      </c>
      <c r="BD91" s="36">
        <v>0.318</v>
      </c>
      <c r="BE91" s="36">
        <v>0.32700000000000001</v>
      </c>
      <c r="BF91" s="37">
        <v>0.32800000000000001</v>
      </c>
      <c r="BG91" s="43">
        <v>0.32400000000000001</v>
      </c>
      <c r="BH91" s="36">
        <v>0.33500000000000002</v>
      </c>
      <c r="BI91" s="36">
        <v>0.32800000000000001</v>
      </c>
      <c r="BJ91" s="36" t="s">
        <v>20</v>
      </c>
      <c r="BK91" s="37">
        <v>0.32500000000000001</v>
      </c>
      <c r="BL91" s="43" t="s">
        <v>20</v>
      </c>
      <c r="BM91" s="37" t="s">
        <v>20</v>
      </c>
      <c r="BN91" s="166">
        <f t="shared" ref="BN91:BN93" si="58">IFERROR(AVERAGE(D91:BM93),0)</f>
        <v>0.31974846625766884</v>
      </c>
      <c r="BO91" s="166">
        <f t="shared" ref="BO91:BO93" si="59">MIN(D91:BM93)</f>
        <v>0.29499999999999998</v>
      </c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65">
        <v>8.3000000000000004E-2</v>
      </c>
      <c r="B92" s="7" t="s">
        <v>44</v>
      </c>
      <c r="C92" s="11" t="s">
        <v>8</v>
      </c>
      <c r="D92" s="41" t="s">
        <v>20</v>
      </c>
      <c r="E92" s="22" t="s">
        <v>20</v>
      </c>
      <c r="F92" s="22">
        <v>0.32600000000000001</v>
      </c>
      <c r="G92" s="22" t="s">
        <v>20</v>
      </c>
      <c r="H92" s="42" t="s">
        <v>20</v>
      </c>
      <c r="I92" s="45">
        <v>0.33700000000000002</v>
      </c>
      <c r="J92" s="22" t="s">
        <v>20</v>
      </c>
      <c r="K92" s="22">
        <v>0.318</v>
      </c>
      <c r="L92" s="22">
        <v>0.308</v>
      </c>
      <c r="M92" s="42">
        <v>0.318</v>
      </c>
      <c r="N92" s="45">
        <v>0.308</v>
      </c>
      <c r="O92" s="22">
        <v>0.32400000000000001</v>
      </c>
      <c r="P92" s="22" t="s">
        <v>20</v>
      </c>
      <c r="Q92" s="22">
        <v>0.32300000000000001</v>
      </c>
      <c r="R92" s="42">
        <v>0.32100000000000001</v>
      </c>
      <c r="S92" s="45">
        <v>0.32400000000000001</v>
      </c>
      <c r="T92" s="22">
        <v>0.33500000000000002</v>
      </c>
      <c r="U92" s="22">
        <v>0.308</v>
      </c>
      <c r="V92" s="22">
        <v>0.316</v>
      </c>
      <c r="W92" s="42">
        <v>0.313</v>
      </c>
      <c r="X92" s="45">
        <v>0.32900000000000001</v>
      </c>
      <c r="Y92" s="22">
        <v>0.33400000000000002</v>
      </c>
      <c r="Z92" s="22">
        <v>0.32100000000000001</v>
      </c>
      <c r="AA92" s="22">
        <v>0.32100000000000001</v>
      </c>
      <c r="AB92" s="42">
        <v>0.32600000000000001</v>
      </c>
      <c r="AC92" s="45">
        <v>0.316</v>
      </c>
      <c r="AD92" s="22">
        <v>0.31900000000000001</v>
      </c>
      <c r="AE92" s="22">
        <v>0.312</v>
      </c>
      <c r="AF92" s="22">
        <v>0.31900000000000001</v>
      </c>
      <c r="AG92" s="42">
        <v>0.315</v>
      </c>
      <c r="AH92" s="45">
        <v>0.32100000000000001</v>
      </c>
      <c r="AI92" s="22">
        <v>0.317</v>
      </c>
      <c r="AJ92" s="22">
        <v>0.314</v>
      </c>
      <c r="AK92" s="22">
        <v>0.312</v>
      </c>
      <c r="AL92" s="42">
        <v>0.32800000000000001</v>
      </c>
      <c r="AM92" s="45">
        <v>0.31900000000000001</v>
      </c>
      <c r="AN92" s="22">
        <v>0.315</v>
      </c>
      <c r="AO92" s="22">
        <v>0.32200000000000001</v>
      </c>
      <c r="AP92" s="22">
        <v>0.32700000000000001</v>
      </c>
      <c r="AQ92" s="42">
        <v>0.29499999999999998</v>
      </c>
      <c r="AR92" s="45">
        <v>0.313</v>
      </c>
      <c r="AS92" s="22">
        <v>0.314</v>
      </c>
      <c r="AT92" s="22">
        <v>0.31</v>
      </c>
      <c r="AU92" s="22">
        <v>0.307</v>
      </c>
      <c r="AV92" s="42">
        <v>0.32100000000000001</v>
      </c>
      <c r="AW92" s="45">
        <v>0.29799999999999999</v>
      </c>
      <c r="AX92" s="22">
        <v>0.30599999999999999</v>
      </c>
      <c r="AY92" s="22">
        <v>0.32100000000000001</v>
      </c>
      <c r="AZ92" s="22">
        <v>0.32400000000000001</v>
      </c>
      <c r="BA92" s="42">
        <v>0.317</v>
      </c>
      <c r="BB92" s="45">
        <v>0.32</v>
      </c>
      <c r="BC92" s="22">
        <v>0.308</v>
      </c>
      <c r="BD92" s="22">
        <v>0.32</v>
      </c>
      <c r="BE92" s="22" t="s">
        <v>20</v>
      </c>
      <c r="BF92" s="42">
        <v>0.33</v>
      </c>
      <c r="BG92" s="45">
        <v>0.32900000000000001</v>
      </c>
      <c r="BH92" s="22">
        <v>0.32400000000000001</v>
      </c>
      <c r="BI92" s="22">
        <v>0.32500000000000001</v>
      </c>
      <c r="BJ92" s="22">
        <v>0.32400000000000001</v>
      </c>
      <c r="BK92" s="42">
        <v>0.32400000000000001</v>
      </c>
      <c r="BL92" s="45" t="s">
        <v>20</v>
      </c>
      <c r="BM92" s="42">
        <v>0.32200000000000001</v>
      </c>
      <c r="BN92" s="167">
        <f t="shared" si="58"/>
        <v>0.32106666666666672</v>
      </c>
      <c r="BO92" s="167">
        <f t="shared" si="59"/>
        <v>0.29499999999999998</v>
      </c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65"/>
      <c r="B93" s="8"/>
      <c r="C93" s="12" t="s">
        <v>14</v>
      </c>
      <c r="D93" s="38" t="s">
        <v>20</v>
      </c>
      <c r="E93" s="39" t="s">
        <v>20</v>
      </c>
      <c r="F93" s="39">
        <v>0.318</v>
      </c>
      <c r="G93" s="39" t="s">
        <v>20</v>
      </c>
      <c r="H93" s="40" t="s">
        <v>20</v>
      </c>
      <c r="I93" s="44">
        <v>0.33</v>
      </c>
      <c r="J93" s="39" t="s">
        <v>20</v>
      </c>
      <c r="K93" s="39" t="s">
        <v>20</v>
      </c>
      <c r="L93" s="39">
        <v>0.31</v>
      </c>
      <c r="M93" s="40">
        <v>0.32700000000000001</v>
      </c>
      <c r="N93" s="44">
        <v>0.31900000000000001</v>
      </c>
      <c r="O93" s="39">
        <v>0.309</v>
      </c>
      <c r="P93" s="39">
        <v>0.32600000000000001</v>
      </c>
      <c r="Q93" s="39">
        <v>0.32900000000000001</v>
      </c>
      <c r="R93" s="40">
        <v>0.32</v>
      </c>
      <c r="S93" s="44">
        <v>0.316</v>
      </c>
      <c r="T93" s="39">
        <v>0.33100000000000002</v>
      </c>
      <c r="U93" s="39">
        <v>0.32</v>
      </c>
      <c r="V93" s="39">
        <v>0.317</v>
      </c>
      <c r="W93" s="40">
        <v>0.315</v>
      </c>
      <c r="X93" s="44">
        <v>0.33</v>
      </c>
      <c r="Y93" s="39">
        <v>0.32900000000000001</v>
      </c>
      <c r="Z93" s="39">
        <v>0.32100000000000001</v>
      </c>
      <c r="AA93" s="39">
        <v>0.32400000000000001</v>
      </c>
      <c r="AB93" s="40">
        <v>0.32700000000000001</v>
      </c>
      <c r="AC93" s="44">
        <v>0.32400000000000001</v>
      </c>
      <c r="AD93" s="39">
        <v>0.32400000000000001</v>
      </c>
      <c r="AE93" s="39">
        <v>0.313</v>
      </c>
      <c r="AF93" s="39">
        <v>0.315</v>
      </c>
      <c r="AG93" s="40">
        <v>0.31900000000000001</v>
      </c>
      <c r="AH93" s="44">
        <v>0.32100000000000001</v>
      </c>
      <c r="AI93" s="39">
        <v>0.32300000000000001</v>
      </c>
      <c r="AJ93" s="39">
        <v>0.308</v>
      </c>
      <c r="AK93" s="39">
        <v>0.30599999999999999</v>
      </c>
      <c r="AL93" s="40">
        <v>0.32600000000000001</v>
      </c>
      <c r="AM93" s="44">
        <v>0.32100000000000001</v>
      </c>
      <c r="AN93" s="39">
        <v>0.311</v>
      </c>
      <c r="AO93" s="39">
        <v>0.313</v>
      </c>
      <c r="AP93" s="39">
        <v>0.32800000000000001</v>
      </c>
      <c r="AQ93" s="40">
        <v>0.307</v>
      </c>
      <c r="AR93" s="44">
        <v>0.315</v>
      </c>
      <c r="AS93" s="39">
        <v>0.318</v>
      </c>
      <c r="AT93" s="39">
        <v>0.33100000000000002</v>
      </c>
      <c r="AU93" s="39">
        <v>0.32200000000000001</v>
      </c>
      <c r="AV93" s="40">
        <v>0.32200000000000001</v>
      </c>
      <c r="AW93" s="44">
        <v>0.32300000000000001</v>
      </c>
      <c r="AX93" s="39">
        <v>0.308</v>
      </c>
      <c r="AY93" s="39">
        <v>0.31900000000000001</v>
      </c>
      <c r="AZ93" s="39">
        <v>0.31</v>
      </c>
      <c r="BA93" s="40">
        <v>0.314</v>
      </c>
      <c r="BB93" s="44">
        <v>0.32500000000000001</v>
      </c>
      <c r="BC93" s="39">
        <v>0.318</v>
      </c>
      <c r="BD93" s="39">
        <v>0.32300000000000001</v>
      </c>
      <c r="BE93" s="39">
        <v>0.32200000000000001</v>
      </c>
      <c r="BF93" s="40">
        <v>0.32100000000000001</v>
      </c>
      <c r="BG93" s="44">
        <v>0.32400000000000001</v>
      </c>
      <c r="BH93" s="39" t="s">
        <v>20</v>
      </c>
      <c r="BI93" s="39">
        <v>0.33200000000000002</v>
      </c>
      <c r="BJ93" s="39">
        <v>0.32100000000000001</v>
      </c>
      <c r="BK93" s="40">
        <v>0.33100000000000002</v>
      </c>
      <c r="BL93" s="44" t="s">
        <v>20</v>
      </c>
      <c r="BM93" s="40" t="s">
        <v>20</v>
      </c>
      <c r="BN93" s="168">
        <f t="shared" si="58"/>
        <v>0.32168047337278133</v>
      </c>
      <c r="BO93" s="168">
        <f t="shared" si="59"/>
        <v>0.28899999999999998</v>
      </c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43</v>
      </c>
      <c r="B94" s="6"/>
      <c r="C94" s="11" t="s">
        <v>10</v>
      </c>
      <c r="D94" s="35">
        <v>0.33100000000000002</v>
      </c>
      <c r="E94" s="36" t="s">
        <v>20</v>
      </c>
      <c r="F94" s="36" t="s">
        <v>20</v>
      </c>
      <c r="G94" s="36">
        <v>0.34499999999999997</v>
      </c>
      <c r="H94" s="37" t="s">
        <v>20</v>
      </c>
      <c r="I94" s="43">
        <v>0.32100000000000001</v>
      </c>
      <c r="J94" s="36">
        <v>0.33300000000000002</v>
      </c>
      <c r="K94" s="36">
        <v>0.32400000000000001</v>
      </c>
      <c r="L94" s="36">
        <v>0.32700000000000001</v>
      </c>
      <c r="M94" s="37">
        <v>0.32</v>
      </c>
      <c r="N94" s="43">
        <v>0.32400000000000001</v>
      </c>
      <c r="O94" s="36">
        <v>0.31900000000000001</v>
      </c>
      <c r="P94" s="36" t="s">
        <v>20</v>
      </c>
      <c r="Q94" s="36">
        <v>0.35599999999999998</v>
      </c>
      <c r="R94" s="37">
        <v>0.315</v>
      </c>
      <c r="S94" s="43">
        <v>0.33</v>
      </c>
      <c r="T94" s="36">
        <v>0.32</v>
      </c>
      <c r="U94" s="36">
        <v>0.318</v>
      </c>
      <c r="V94" s="36">
        <v>0.34599999999999997</v>
      </c>
      <c r="W94" s="37">
        <v>0.313</v>
      </c>
      <c r="X94" s="43">
        <v>0.34300000000000003</v>
      </c>
      <c r="Y94" s="36">
        <v>0.32400000000000001</v>
      </c>
      <c r="Z94" s="36">
        <v>0.33100000000000002</v>
      </c>
      <c r="AA94" s="36">
        <v>0.316</v>
      </c>
      <c r="AB94" s="37">
        <v>0.34599999999999997</v>
      </c>
      <c r="AC94" s="43">
        <v>0.35099999999999998</v>
      </c>
      <c r="AD94" s="36">
        <v>0.32400000000000001</v>
      </c>
      <c r="AE94" s="36">
        <v>0.32800000000000001</v>
      </c>
      <c r="AF94" s="36">
        <v>0.33</v>
      </c>
      <c r="AG94" s="37">
        <v>0.32</v>
      </c>
      <c r="AH94" s="43">
        <v>0.33300000000000002</v>
      </c>
      <c r="AI94" s="36">
        <v>0.32800000000000001</v>
      </c>
      <c r="AJ94" s="36">
        <v>0.311</v>
      </c>
      <c r="AK94" s="36">
        <v>0.32400000000000001</v>
      </c>
      <c r="AL94" s="37">
        <v>0.33</v>
      </c>
      <c r="AM94" s="43">
        <v>0.311</v>
      </c>
      <c r="AN94" s="36">
        <v>0.309</v>
      </c>
      <c r="AO94" s="36">
        <v>0.31900000000000001</v>
      </c>
      <c r="AP94" s="36">
        <v>0.32300000000000001</v>
      </c>
      <c r="AQ94" s="37">
        <v>0.34100000000000003</v>
      </c>
      <c r="AR94" s="43">
        <v>0.32100000000000001</v>
      </c>
      <c r="AS94" s="36">
        <v>0.32900000000000001</v>
      </c>
      <c r="AT94" s="36">
        <v>0.30499999999999999</v>
      </c>
      <c r="AU94" s="36">
        <v>0.30299999999999999</v>
      </c>
      <c r="AV94" s="37">
        <v>0.317</v>
      </c>
      <c r="AW94" s="43">
        <v>0.31</v>
      </c>
      <c r="AX94" s="36">
        <v>0.30099999999999999</v>
      </c>
      <c r="AY94" s="36">
        <v>0.35</v>
      </c>
      <c r="AZ94" s="36">
        <v>0.31</v>
      </c>
      <c r="BA94" s="37">
        <v>0.311</v>
      </c>
      <c r="BB94" s="43">
        <v>0.32400000000000001</v>
      </c>
      <c r="BC94" s="36">
        <v>0.313</v>
      </c>
      <c r="BD94" s="36">
        <v>0.311</v>
      </c>
      <c r="BE94" s="36">
        <v>0.33100000000000002</v>
      </c>
      <c r="BF94" s="37">
        <v>0.31900000000000001</v>
      </c>
      <c r="BG94" s="43">
        <v>0.31</v>
      </c>
      <c r="BH94" s="36">
        <v>0.32100000000000001</v>
      </c>
      <c r="BI94" s="36">
        <v>0.32200000000000001</v>
      </c>
      <c r="BJ94" s="36">
        <v>0.317</v>
      </c>
      <c r="BK94" s="37">
        <v>0.32</v>
      </c>
      <c r="BL94" s="43">
        <v>0.33</v>
      </c>
      <c r="BM94" s="37">
        <v>0.32300000000000001</v>
      </c>
      <c r="BN94" s="166">
        <f t="shared" ref="BN94:BN96" si="60">IFERROR(AVERAGE(D94:BM96),0)</f>
        <v>0.32383428571428591</v>
      </c>
      <c r="BO94" s="166">
        <f t="shared" ref="BO94:BO96" si="61">MIN(D94:BM96)</f>
        <v>0.28899999999999998</v>
      </c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65">
        <v>8.3000000000000004E-2</v>
      </c>
      <c r="B95" s="7" t="s">
        <v>45</v>
      </c>
      <c r="C95" s="11" t="s">
        <v>8</v>
      </c>
      <c r="D95" s="41">
        <v>0.33100000000000002</v>
      </c>
      <c r="E95" s="22" t="s">
        <v>20</v>
      </c>
      <c r="F95" s="22">
        <v>0.312</v>
      </c>
      <c r="G95" s="22" t="s">
        <v>20</v>
      </c>
      <c r="H95" s="42">
        <v>0.317</v>
      </c>
      <c r="I95" s="45" t="s">
        <v>20</v>
      </c>
      <c r="J95" s="22">
        <v>0.32600000000000001</v>
      </c>
      <c r="K95" s="22">
        <v>0.32600000000000001</v>
      </c>
      <c r="L95" s="22">
        <v>0.32500000000000001</v>
      </c>
      <c r="M95" s="42">
        <v>0.315</v>
      </c>
      <c r="N95" s="45">
        <v>0.30499999999999999</v>
      </c>
      <c r="O95" s="22">
        <v>0.32800000000000001</v>
      </c>
      <c r="P95" s="22">
        <v>0.32800000000000001</v>
      </c>
      <c r="Q95" s="22" t="s">
        <v>20</v>
      </c>
      <c r="R95" s="42">
        <v>0.34399999999999997</v>
      </c>
      <c r="S95" s="45">
        <v>0.32700000000000001</v>
      </c>
      <c r="T95" s="22">
        <v>0.32600000000000001</v>
      </c>
      <c r="U95" s="22">
        <v>0.313</v>
      </c>
      <c r="V95" s="22">
        <v>0.34499999999999997</v>
      </c>
      <c r="W95" s="42">
        <v>0.317</v>
      </c>
      <c r="X95" s="45">
        <v>0.32300000000000001</v>
      </c>
      <c r="Y95" s="22">
        <v>0.34100000000000003</v>
      </c>
      <c r="Z95" s="22">
        <v>0.32900000000000001</v>
      </c>
      <c r="AA95" s="22">
        <v>0.32600000000000001</v>
      </c>
      <c r="AB95" s="42">
        <v>0.33200000000000002</v>
      </c>
      <c r="AC95" s="45">
        <v>0.313</v>
      </c>
      <c r="AD95" s="22">
        <v>0.33200000000000002</v>
      </c>
      <c r="AE95" s="22">
        <v>0.33200000000000002</v>
      </c>
      <c r="AF95" s="22">
        <v>0.33700000000000002</v>
      </c>
      <c r="AG95" s="42">
        <v>0.317</v>
      </c>
      <c r="AH95" s="45">
        <v>0.32200000000000001</v>
      </c>
      <c r="AI95" s="22">
        <v>0.316</v>
      </c>
      <c r="AJ95" s="22">
        <v>0.33700000000000002</v>
      </c>
      <c r="AK95" s="22">
        <v>0.32800000000000001</v>
      </c>
      <c r="AL95" s="42">
        <v>0.32100000000000001</v>
      </c>
      <c r="AM95" s="45">
        <v>0.30599999999999999</v>
      </c>
      <c r="AN95" s="22">
        <v>0.30299999999999999</v>
      </c>
      <c r="AO95" s="22">
        <v>0.32400000000000001</v>
      </c>
      <c r="AP95" s="22">
        <v>0.32</v>
      </c>
      <c r="AQ95" s="42">
        <v>0.30099999999999999</v>
      </c>
      <c r="AR95" s="45">
        <v>0.32</v>
      </c>
      <c r="AS95" s="22">
        <v>0.32100000000000001</v>
      </c>
      <c r="AT95" s="22">
        <v>0.31900000000000001</v>
      </c>
      <c r="AU95" s="22">
        <v>0.32</v>
      </c>
      <c r="AV95" s="42">
        <v>0.32700000000000001</v>
      </c>
      <c r="AW95" s="45">
        <v>0.28899999999999998</v>
      </c>
      <c r="AX95" s="22">
        <v>0.308</v>
      </c>
      <c r="AY95" s="22">
        <v>0.31</v>
      </c>
      <c r="AZ95" s="22">
        <v>0.33600000000000002</v>
      </c>
      <c r="BA95" s="42">
        <v>0.313</v>
      </c>
      <c r="BB95" s="45">
        <v>0.318</v>
      </c>
      <c r="BC95" s="22">
        <v>0.29299999999999998</v>
      </c>
      <c r="BD95" s="22">
        <v>0.314</v>
      </c>
      <c r="BE95" s="22">
        <v>0.314</v>
      </c>
      <c r="BF95" s="42">
        <v>0.308</v>
      </c>
      <c r="BG95" s="45">
        <v>0.31900000000000001</v>
      </c>
      <c r="BH95" s="22">
        <v>0.32</v>
      </c>
      <c r="BI95" s="22">
        <v>0.34200000000000003</v>
      </c>
      <c r="BJ95" s="22">
        <v>0.318</v>
      </c>
      <c r="BK95" s="42">
        <v>0.30199999999999999</v>
      </c>
      <c r="BL95" s="45">
        <v>0.31900000000000001</v>
      </c>
      <c r="BM95" s="42">
        <v>0.33100000000000002</v>
      </c>
      <c r="BN95" s="167">
        <f t="shared" si="60"/>
        <v>0.31996470588235298</v>
      </c>
      <c r="BO95" s="167">
        <f t="shared" si="61"/>
        <v>0.28899999999999998</v>
      </c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65"/>
      <c r="B96" s="8"/>
      <c r="C96" s="12" t="s">
        <v>14</v>
      </c>
      <c r="D96" s="38">
        <v>0.33200000000000002</v>
      </c>
      <c r="E96" s="39" t="s">
        <v>20</v>
      </c>
      <c r="F96" s="39">
        <v>0.36899999999999999</v>
      </c>
      <c r="G96" s="39" t="s">
        <v>20</v>
      </c>
      <c r="H96" s="40">
        <v>0.32</v>
      </c>
      <c r="I96" s="44">
        <v>0.32700000000000001</v>
      </c>
      <c r="J96" s="39">
        <v>0.38600000000000001</v>
      </c>
      <c r="K96" s="39">
        <v>0.34200000000000003</v>
      </c>
      <c r="L96" s="39">
        <v>0.33</v>
      </c>
      <c r="M96" s="40">
        <v>0.33600000000000002</v>
      </c>
      <c r="N96" s="44">
        <v>0.307</v>
      </c>
      <c r="O96" s="39">
        <v>0.33200000000000002</v>
      </c>
      <c r="P96" s="39">
        <v>0.318</v>
      </c>
      <c r="Q96" s="39">
        <v>0.313</v>
      </c>
      <c r="R96" s="40">
        <v>0.33100000000000002</v>
      </c>
      <c r="S96" s="44">
        <v>0.33500000000000002</v>
      </c>
      <c r="T96" s="39">
        <v>0.35</v>
      </c>
      <c r="U96" s="39">
        <v>0.313</v>
      </c>
      <c r="V96" s="39" t="s">
        <v>20</v>
      </c>
      <c r="W96" s="40">
        <v>0.29599999999999999</v>
      </c>
      <c r="X96" s="44">
        <v>0.33900000000000002</v>
      </c>
      <c r="Y96" s="39">
        <v>0.32300000000000001</v>
      </c>
      <c r="Z96" s="39">
        <v>0.32500000000000001</v>
      </c>
      <c r="AA96" s="39">
        <v>0.33200000000000002</v>
      </c>
      <c r="AB96" s="40">
        <v>0.32200000000000001</v>
      </c>
      <c r="AC96" s="44">
        <v>0.32700000000000001</v>
      </c>
      <c r="AD96" s="39">
        <v>0.33200000000000002</v>
      </c>
      <c r="AE96" s="39">
        <v>0.35899999999999999</v>
      </c>
      <c r="AF96" s="39">
        <v>0.33800000000000002</v>
      </c>
      <c r="AG96" s="40">
        <v>0.33900000000000002</v>
      </c>
      <c r="AH96" s="44">
        <v>0.32800000000000001</v>
      </c>
      <c r="AI96" s="39">
        <v>0.31900000000000001</v>
      </c>
      <c r="AJ96" s="39">
        <v>0.316</v>
      </c>
      <c r="AK96" s="39">
        <v>0.36499999999999999</v>
      </c>
      <c r="AL96" s="40">
        <v>0.32500000000000001</v>
      </c>
      <c r="AM96" s="44">
        <v>0.30599999999999999</v>
      </c>
      <c r="AN96" s="39">
        <v>0.311</v>
      </c>
      <c r="AO96" s="39">
        <v>0.32700000000000001</v>
      </c>
      <c r="AP96" s="39">
        <v>0.32600000000000001</v>
      </c>
      <c r="AQ96" s="40">
        <v>0.30399999999999999</v>
      </c>
      <c r="AR96" s="44">
        <v>0.32700000000000001</v>
      </c>
      <c r="AS96" s="39">
        <v>0.35099999999999998</v>
      </c>
      <c r="AT96" s="39">
        <v>0.312</v>
      </c>
      <c r="AU96" s="39">
        <v>0.32100000000000001</v>
      </c>
      <c r="AV96" s="40">
        <v>0.32</v>
      </c>
      <c r="AW96" s="44">
        <v>0.313</v>
      </c>
      <c r="AX96" s="39">
        <v>0.32</v>
      </c>
      <c r="AY96" s="39">
        <v>0.30599999999999999</v>
      </c>
      <c r="AZ96" s="39">
        <v>0.31</v>
      </c>
      <c r="BA96" s="40">
        <v>0.32400000000000001</v>
      </c>
      <c r="BB96" s="44">
        <v>0.32700000000000001</v>
      </c>
      <c r="BC96" s="39">
        <v>0.30199999999999999</v>
      </c>
      <c r="BD96" s="39">
        <v>0.32200000000000001</v>
      </c>
      <c r="BE96" s="39">
        <v>0.317</v>
      </c>
      <c r="BF96" s="40">
        <v>0.314</v>
      </c>
      <c r="BG96" s="44">
        <v>0.33</v>
      </c>
      <c r="BH96" s="39">
        <v>0.32400000000000001</v>
      </c>
      <c r="BI96" s="39">
        <v>0.311</v>
      </c>
      <c r="BJ96" s="39">
        <v>0.32900000000000001</v>
      </c>
      <c r="BK96" s="40">
        <v>0.33100000000000002</v>
      </c>
      <c r="BL96" s="44">
        <v>0.33800000000000002</v>
      </c>
      <c r="BM96" s="40">
        <v>0.33400000000000002</v>
      </c>
      <c r="BN96" s="168">
        <f t="shared" si="60"/>
        <v>0.31625170068027209</v>
      </c>
      <c r="BO96" s="168">
        <f t="shared" si="61"/>
        <v>0.27700000000000002</v>
      </c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43</v>
      </c>
      <c r="B97" s="6"/>
      <c r="C97" s="11" t="s">
        <v>10</v>
      </c>
      <c r="D97" s="35">
        <v>0.32100000000000001</v>
      </c>
      <c r="E97" s="36">
        <v>0.32200000000000001</v>
      </c>
      <c r="F97" s="36">
        <v>0.32</v>
      </c>
      <c r="G97" s="36">
        <v>0.32400000000000001</v>
      </c>
      <c r="H97" s="37">
        <v>0.32200000000000001</v>
      </c>
      <c r="I97" s="43">
        <v>0.32400000000000001</v>
      </c>
      <c r="J97" s="36" t="s">
        <v>20</v>
      </c>
      <c r="K97" s="36">
        <v>0.307</v>
      </c>
      <c r="L97" s="36">
        <v>0.313</v>
      </c>
      <c r="M97" s="37">
        <v>0.32400000000000001</v>
      </c>
      <c r="N97" s="43" t="s">
        <v>20</v>
      </c>
      <c r="O97" s="36">
        <v>0.311</v>
      </c>
      <c r="P97" s="36">
        <v>0.32600000000000001</v>
      </c>
      <c r="Q97" s="36">
        <v>0.30599999999999999</v>
      </c>
      <c r="R97" s="37">
        <v>0.31</v>
      </c>
      <c r="S97" s="43">
        <v>0.311</v>
      </c>
      <c r="T97" s="36">
        <v>0.313</v>
      </c>
      <c r="U97" s="36" t="s">
        <v>20</v>
      </c>
      <c r="V97" s="36">
        <v>0.32200000000000001</v>
      </c>
      <c r="W97" s="37">
        <v>0.29399999999999998</v>
      </c>
      <c r="X97" s="43">
        <v>0.30099999999999999</v>
      </c>
      <c r="Y97" s="36">
        <v>0.32700000000000001</v>
      </c>
      <c r="Z97" s="36">
        <v>0.30199999999999999</v>
      </c>
      <c r="AA97" s="36">
        <v>0.30199999999999999</v>
      </c>
      <c r="AB97" s="37">
        <v>0.316</v>
      </c>
      <c r="AC97" s="43">
        <v>0.29299999999999998</v>
      </c>
      <c r="AD97" s="36">
        <v>0.30199999999999999</v>
      </c>
      <c r="AE97" s="36">
        <v>0.317</v>
      </c>
      <c r="AF97" s="36" t="s">
        <v>20</v>
      </c>
      <c r="AG97" s="37">
        <v>0.311</v>
      </c>
      <c r="AH97" s="43">
        <v>0.32300000000000001</v>
      </c>
      <c r="AI97" s="36">
        <v>0.32600000000000001</v>
      </c>
      <c r="AJ97" s="36">
        <v>0.31</v>
      </c>
      <c r="AK97" s="36" t="s">
        <v>20</v>
      </c>
      <c r="AL97" s="37" t="s">
        <v>20</v>
      </c>
      <c r="AM97" s="43">
        <v>0.30099999999999999</v>
      </c>
      <c r="AN97" s="36">
        <v>0.29299999999999998</v>
      </c>
      <c r="AO97" s="36">
        <v>0.30599999999999999</v>
      </c>
      <c r="AP97" s="36">
        <v>0.314</v>
      </c>
      <c r="AQ97" s="37">
        <v>0.317</v>
      </c>
      <c r="AR97" s="43">
        <v>0.317</v>
      </c>
      <c r="AS97" s="36">
        <v>0.32300000000000001</v>
      </c>
      <c r="AT97" s="36">
        <v>0.30199999999999999</v>
      </c>
      <c r="AU97" s="36" t="s">
        <v>20</v>
      </c>
      <c r="AV97" s="37">
        <v>0.31900000000000001</v>
      </c>
      <c r="AW97" s="43">
        <v>0.30399999999999999</v>
      </c>
      <c r="AX97" s="36">
        <v>0.29599999999999999</v>
      </c>
      <c r="AY97" s="36">
        <v>0.314</v>
      </c>
      <c r="AZ97" s="36">
        <v>0.32</v>
      </c>
      <c r="BA97" s="37">
        <v>0.308</v>
      </c>
      <c r="BB97" s="43" t="s">
        <v>20</v>
      </c>
      <c r="BC97" s="36">
        <v>0.29499999999999998</v>
      </c>
      <c r="BD97" s="36">
        <v>0.308</v>
      </c>
      <c r="BE97" s="36">
        <v>0.31</v>
      </c>
      <c r="BF97" s="37">
        <v>0.31</v>
      </c>
      <c r="BG97" s="43">
        <v>0.312</v>
      </c>
      <c r="BH97" s="36">
        <v>0.30599999999999999</v>
      </c>
      <c r="BI97" s="36">
        <v>0.309</v>
      </c>
      <c r="BJ97" s="36" t="s">
        <v>20</v>
      </c>
      <c r="BK97" s="37">
        <v>0.30599999999999999</v>
      </c>
      <c r="BL97" s="43">
        <v>0.311</v>
      </c>
      <c r="BM97" s="37">
        <v>0.30399999999999999</v>
      </c>
      <c r="BN97" s="166">
        <f t="shared" ref="BN97:BN99" si="62">IFERROR(AVERAGE(D97:BM99),0)</f>
        <v>0.30976923076923052</v>
      </c>
      <c r="BO97" s="166">
        <f t="shared" ref="BO97:BO99" si="63">MIN(D97:BM99)</f>
        <v>0.27700000000000002</v>
      </c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65">
        <v>8.3000000000000004E-2</v>
      </c>
      <c r="B98" s="7" t="s">
        <v>46</v>
      </c>
      <c r="C98" s="11" t="s">
        <v>8</v>
      </c>
      <c r="D98" s="41">
        <v>0.32600000000000001</v>
      </c>
      <c r="E98" s="22">
        <v>0.318</v>
      </c>
      <c r="F98" s="22">
        <v>0.311</v>
      </c>
      <c r="G98" s="22" t="s">
        <v>20</v>
      </c>
      <c r="H98" s="42">
        <v>0.308</v>
      </c>
      <c r="I98" s="45" t="s">
        <v>20</v>
      </c>
      <c r="J98" s="22" t="s">
        <v>20</v>
      </c>
      <c r="K98" s="22" t="s">
        <v>20</v>
      </c>
      <c r="L98" s="22">
        <v>0.32200000000000001</v>
      </c>
      <c r="M98" s="42">
        <v>0.32700000000000001</v>
      </c>
      <c r="N98" s="45">
        <v>0.29899999999999999</v>
      </c>
      <c r="O98" s="22">
        <v>0.30599999999999999</v>
      </c>
      <c r="P98" s="22">
        <v>0.29899999999999999</v>
      </c>
      <c r="Q98" s="22">
        <v>0.29799999999999999</v>
      </c>
      <c r="R98" s="42">
        <v>0.316</v>
      </c>
      <c r="S98" s="45" t="s">
        <v>20</v>
      </c>
      <c r="T98" s="22" t="s">
        <v>20</v>
      </c>
      <c r="U98" s="22">
        <v>0.30399999999999999</v>
      </c>
      <c r="V98" s="22">
        <v>0.30499999999999999</v>
      </c>
      <c r="W98" s="42">
        <v>0.28499999999999998</v>
      </c>
      <c r="X98" s="45">
        <v>0.307</v>
      </c>
      <c r="Y98" s="22" t="s">
        <v>20</v>
      </c>
      <c r="Z98" s="22">
        <v>0.27800000000000002</v>
      </c>
      <c r="AA98" s="22" t="s">
        <v>20</v>
      </c>
      <c r="AB98" s="42" t="s">
        <v>20</v>
      </c>
      <c r="AC98" s="45">
        <v>0.30499999999999999</v>
      </c>
      <c r="AD98" s="22">
        <v>0.30099999999999999</v>
      </c>
      <c r="AE98" s="22" t="s">
        <v>20</v>
      </c>
      <c r="AF98" s="22" t="s">
        <v>20</v>
      </c>
      <c r="AG98" s="42" t="s">
        <v>20</v>
      </c>
      <c r="AH98" s="45">
        <v>0.317</v>
      </c>
      <c r="AI98" s="22" t="s">
        <v>20</v>
      </c>
      <c r="AJ98" s="22">
        <v>0.30099999999999999</v>
      </c>
      <c r="AK98" s="22" t="s">
        <v>20</v>
      </c>
      <c r="AL98" s="42">
        <v>0.316</v>
      </c>
      <c r="AM98" s="45">
        <v>0.30099999999999999</v>
      </c>
      <c r="AN98" s="22">
        <v>0.29599999999999999</v>
      </c>
      <c r="AO98" s="22" t="s">
        <v>20</v>
      </c>
      <c r="AP98" s="22">
        <v>0.311</v>
      </c>
      <c r="AQ98" s="42">
        <v>0.29099999999999998</v>
      </c>
      <c r="AR98" s="45" t="s">
        <v>20</v>
      </c>
      <c r="AS98" s="22">
        <v>0.311</v>
      </c>
      <c r="AT98" s="22" t="s">
        <v>20</v>
      </c>
      <c r="AU98" s="22">
        <v>0.29699999999999999</v>
      </c>
      <c r="AV98" s="42" t="s">
        <v>20</v>
      </c>
      <c r="AW98" s="45" t="s">
        <v>20</v>
      </c>
      <c r="AX98" s="22" t="s">
        <v>20</v>
      </c>
      <c r="AY98" s="22">
        <v>0.307</v>
      </c>
      <c r="AZ98" s="22">
        <v>0.307</v>
      </c>
      <c r="BA98" s="42" t="s">
        <v>20</v>
      </c>
      <c r="BB98" s="45" t="s">
        <v>20</v>
      </c>
      <c r="BC98" s="22">
        <v>0.27700000000000002</v>
      </c>
      <c r="BD98" s="22" t="s">
        <v>20</v>
      </c>
      <c r="BE98" s="22">
        <v>0.31</v>
      </c>
      <c r="BF98" s="42">
        <v>0.314</v>
      </c>
      <c r="BG98" s="45" t="s">
        <v>20</v>
      </c>
      <c r="BH98" s="22" t="s">
        <v>20</v>
      </c>
      <c r="BI98" s="22">
        <v>0.30199999999999999</v>
      </c>
      <c r="BJ98" s="22" t="s">
        <v>20</v>
      </c>
      <c r="BK98" s="42">
        <v>0.30599999999999999</v>
      </c>
      <c r="BL98" s="45" t="s">
        <v>20</v>
      </c>
      <c r="BM98" s="42">
        <v>0.32200000000000001</v>
      </c>
      <c r="BN98" s="167">
        <f t="shared" si="62"/>
        <v>0.31245588235294131</v>
      </c>
      <c r="BO98" s="167">
        <f t="shared" si="63"/>
        <v>0.27700000000000002</v>
      </c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65"/>
      <c r="B99" s="8"/>
      <c r="C99" s="12" t="s">
        <v>14</v>
      </c>
      <c r="D99" s="38">
        <v>0.32300000000000001</v>
      </c>
      <c r="E99" s="39">
        <v>0.314</v>
      </c>
      <c r="F99" s="39" t="s">
        <v>20</v>
      </c>
      <c r="G99" s="39" t="s">
        <v>20</v>
      </c>
      <c r="H99" s="40">
        <v>0.311</v>
      </c>
      <c r="I99" s="44" t="s">
        <v>20</v>
      </c>
      <c r="J99" s="39">
        <v>0.31</v>
      </c>
      <c r="K99" s="39" t="s">
        <v>20</v>
      </c>
      <c r="L99" s="39">
        <v>0.307</v>
      </c>
      <c r="M99" s="40">
        <v>0.312</v>
      </c>
      <c r="N99" s="44" t="s">
        <v>20</v>
      </c>
      <c r="O99" s="39">
        <v>0.315</v>
      </c>
      <c r="P99" s="39">
        <v>0.311</v>
      </c>
      <c r="Q99" s="39">
        <v>0.30499999999999999</v>
      </c>
      <c r="R99" s="40">
        <v>0.31</v>
      </c>
      <c r="S99" s="44" t="s">
        <v>20</v>
      </c>
      <c r="T99" s="39" t="s">
        <v>20</v>
      </c>
      <c r="U99" s="39">
        <v>0.32500000000000001</v>
      </c>
      <c r="V99" s="39" t="s">
        <v>20</v>
      </c>
      <c r="W99" s="40">
        <v>0.32300000000000001</v>
      </c>
      <c r="X99" s="44">
        <v>0.32400000000000001</v>
      </c>
      <c r="Y99" s="39">
        <v>0.311</v>
      </c>
      <c r="Z99" s="39">
        <v>0.32200000000000001</v>
      </c>
      <c r="AA99" s="39">
        <v>0.309</v>
      </c>
      <c r="AB99" s="40">
        <v>0.30099999999999999</v>
      </c>
      <c r="AC99" s="44">
        <v>0.29899999999999999</v>
      </c>
      <c r="AD99" s="39">
        <v>0.31</v>
      </c>
      <c r="AE99" s="39">
        <v>0.32400000000000001</v>
      </c>
      <c r="AF99" s="39">
        <v>0.30099999999999999</v>
      </c>
      <c r="AG99" s="40">
        <v>0.30599999999999999</v>
      </c>
      <c r="AH99" s="44">
        <v>0.32500000000000001</v>
      </c>
      <c r="AI99" s="39" t="s">
        <v>20</v>
      </c>
      <c r="AJ99" s="39">
        <v>0.309</v>
      </c>
      <c r="AK99" s="39">
        <v>0.31</v>
      </c>
      <c r="AL99" s="40">
        <v>0.315</v>
      </c>
      <c r="AM99" s="44">
        <v>0.30099999999999999</v>
      </c>
      <c r="AN99" s="39">
        <v>0.30099999999999999</v>
      </c>
      <c r="AO99" s="39" t="s">
        <v>20</v>
      </c>
      <c r="AP99" s="39">
        <v>0.308</v>
      </c>
      <c r="AQ99" s="40">
        <v>0.312</v>
      </c>
      <c r="AR99" s="44">
        <v>0.318</v>
      </c>
      <c r="AS99" s="39">
        <v>0.309</v>
      </c>
      <c r="AT99" s="39">
        <v>0.309</v>
      </c>
      <c r="AU99" s="39">
        <v>0.29299999999999998</v>
      </c>
      <c r="AV99" s="40" t="s">
        <v>20</v>
      </c>
      <c r="AW99" s="44">
        <v>0.30299999999999999</v>
      </c>
      <c r="AX99" s="39">
        <v>0.31</v>
      </c>
      <c r="AY99" s="39" t="s">
        <v>20</v>
      </c>
      <c r="AZ99" s="39">
        <v>0.30099999999999999</v>
      </c>
      <c r="BA99" s="40" t="s">
        <v>20</v>
      </c>
      <c r="BB99" s="44" t="s">
        <v>20</v>
      </c>
      <c r="BC99" s="39" t="s">
        <v>20</v>
      </c>
      <c r="BD99" s="39" t="s">
        <v>20</v>
      </c>
      <c r="BE99" s="39">
        <v>0.30599999999999999</v>
      </c>
      <c r="BF99" s="40">
        <v>0.31</v>
      </c>
      <c r="BG99" s="44" t="s">
        <v>20</v>
      </c>
      <c r="BH99" s="39" t="s">
        <v>20</v>
      </c>
      <c r="BI99" s="39" t="s">
        <v>20</v>
      </c>
      <c r="BJ99" s="39" t="s">
        <v>20</v>
      </c>
      <c r="BK99" s="40">
        <v>0.30599999999999999</v>
      </c>
      <c r="BL99" s="44">
        <v>0.318</v>
      </c>
      <c r="BM99" s="40">
        <v>0.32700000000000001</v>
      </c>
      <c r="BN99" s="168">
        <f t="shared" si="62"/>
        <v>0.31402515723270441</v>
      </c>
      <c r="BO99" s="168">
        <f t="shared" si="63"/>
        <v>0.28299999999999997</v>
      </c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43</v>
      </c>
      <c r="B100" s="6"/>
      <c r="C100" s="11" t="s">
        <v>10</v>
      </c>
      <c r="D100" s="35">
        <v>0.32900000000000001</v>
      </c>
      <c r="E100" s="36">
        <v>0.316</v>
      </c>
      <c r="F100" s="36">
        <v>0.318</v>
      </c>
      <c r="G100" s="36">
        <v>0.31900000000000001</v>
      </c>
      <c r="H100" s="37">
        <v>0.30099999999999999</v>
      </c>
      <c r="I100" s="43">
        <v>0.317</v>
      </c>
      <c r="J100" s="36">
        <v>0.318</v>
      </c>
      <c r="K100" s="36">
        <v>0.33100000000000002</v>
      </c>
      <c r="L100" s="36">
        <v>0.30399999999999999</v>
      </c>
      <c r="M100" s="37">
        <v>0.313</v>
      </c>
      <c r="N100" s="43">
        <v>0.307</v>
      </c>
      <c r="O100" s="36">
        <v>0.31</v>
      </c>
      <c r="P100" s="36" t="s">
        <v>20</v>
      </c>
      <c r="Q100" s="36">
        <v>0.315</v>
      </c>
      <c r="R100" s="37">
        <v>0.317</v>
      </c>
      <c r="S100" s="43">
        <v>0.314</v>
      </c>
      <c r="T100" s="36">
        <v>0.309</v>
      </c>
      <c r="U100" s="36">
        <v>0.312</v>
      </c>
      <c r="V100" s="36">
        <v>0.28299999999999997</v>
      </c>
      <c r="W100" s="37">
        <v>0.30099999999999999</v>
      </c>
      <c r="X100" s="43">
        <v>0.32400000000000001</v>
      </c>
      <c r="Y100" s="36">
        <v>0.311</v>
      </c>
      <c r="Z100" s="36">
        <v>0.33</v>
      </c>
      <c r="AA100" s="36">
        <v>0.3</v>
      </c>
      <c r="AB100" s="37">
        <v>0.311</v>
      </c>
      <c r="AC100" s="43">
        <v>0.318</v>
      </c>
      <c r="AD100" s="36">
        <v>0.32500000000000001</v>
      </c>
      <c r="AE100" s="36">
        <v>0.33700000000000002</v>
      </c>
      <c r="AF100" s="36">
        <v>0.32500000000000001</v>
      </c>
      <c r="AG100" s="37">
        <v>0.32900000000000001</v>
      </c>
      <c r="AH100" s="43">
        <v>0.35</v>
      </c>
      <c r="AI100" s="36">
        <v>0.32900000000000001</v>
      </c>
      <c r="AJ100" s="36">
        <v>0.32300000000000001</v>
      </c>
      <c r="AK100" s="36">
        <v>0.315</v>
      </c>
      <c r="AL100" s="37">
        <v>0.30399999999999999</v>
      </c>
      <c r="AM100" s="43">
        <v>0.314</v>
      </c>
      <c r="AN100" s="36">
        <v>0.32</v>
      </c>
      <c r="AO100" s="36">
        <v>0.315</v>
      </c>
      <c r="AP100" s="36">
        <v>0.31900000000000001</v>
      </c>
      <c r="AQ100" s="37">
        <v>0.30099999999999999</v>
      </c>
      <c r="AR100" s="43">
        <v>0.32600000000000001</v>
      </c>
      <c r="AS100" s="36">
        <v>0.33200000000000002</v>
      </c>
      <c r="AT100" s="36">
        <v>0.32500000000000001</v>
      </c>
      <c r="AU100" s="36">
        <v>0.316</v>
      </c>
      <c r="AV100" s="37">
        <v>0.33100000000000002</v>
      </c>
      <c r="AW100" s="43">
        <v>0.311</v>
      </c>
      <c r="AX100" s="36">
        <v>0.309</v>
      </c>
      <c r="AY100" s="36">
        <v>0.314</v>
      </c>
      <c r="AZ100" s="36">
        <v>0.30599999999999999</v>
      </c>
      <c r="BA100" s="37">
        <v>0.29799999999999999</v>
      </c>
      <c r="BB100" s="43">
        <v>0.308</v>
      </c>
      <c r="BC100" s="36">
        <v>0.307</v>
      </c>
      <c r="BD100" s="36">
        <v>0.31900000000000001</v>
      </c>
      <c r="BE100" s="36">
        <v>0.29599999999999999</v>
      </c>
      <c r="BF100" s="37">
        <v>0.32100000000000001</v>
      </c>
      <c r="BG100" s="43">
        <v>0.32400000000000001</v>
      </c>
      <c r="BH100" s="36">
        <v>0.34200000000000003</v>
      </c>
      <c r="BI100" s="36">
        <v>0.316</v>
      </c>
      <c r="BJ100" s="36">
        <v>0.373</v>
      </c>
      <c r="BK100" s="37" t="s">
        <v>20</v>
      </c>
      <c r="BL100" s="43" t="s">
        <v>20</v>
      </c>
      <c r="BM100" s="37">
        <v>0.32100000000000001</v>
      </c>
      <c r="BN100" s="166">
        <f t="shared" ref="BN100:BN102" si="64">IFERROR(AVERAGE(D100:BM102),0)</f>
        <v>0.31610795454545448</v>
      </c>
      <c r="BO100" s="166">
        <f t="shared" ref="BO100:BO102" si="65">MIN(D100:BM102)</f>
        <v>0.28299999999999997</v>
      </c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65">
        <v>8.3000000000000004E-2</v>
      </c>
      <c r="B101" s="7" t="s">
        <v>47</v>
      </c>
      <c r="C101" s="11" t="s">
        <v>8</v>
      </c>
      <c r="D101" s="41">
        <v>0.32200000000000001</v>
      </c>
      <c r="E101" s="22" t="s">
        <v>20</v>
      </c>
      <c r="F101" s="22">
        <v>0.316</v>
      </c>
      <c r="G101" s="22">
        <v>0.32100000000000001</v>
      </c>
      <c r="H101" s="42">
        <v>0.30399999999999999</v>
      </c>
      <c r="I101" s="45">
        <v>0.32700000000000001</v>
      </c>
      <c r="J101" s="22">
        <v>0.315</v>
      </c>
      <c r="K101" s="22">
        <v>0.313</v>
      </c>
      <c r="L101" s="22">
        <v>0.30299999999999999</v>
      </c>
      <c r="M101" s="42">
        <v>0.30199999999999999</v>
      </c>
      <c r="N101" s="45">
        <v>0.29499999999999998</v>
      </c>
      <c r="O101" s="22">
        <v>0.33500000000000002</v>
      </c>
      <c r="P101" s="22">
        <v>0.30099999999999999</v>
      </c>
      <c r="Q101" s="22">
        <v>0.28999999999999998</v>
      </c>
      <c r="R101" s="42">
        <v>0.311</v>
      </c>
      <c r="S101" s="45">
        <v>0.33800000000000002</v>
      </c>
      <c r="T101" s="22">
        <v>0.32300000000000001</v>
      </c>
      <c r="U101" s="22">
        <v>0.32100000000000001</v>
      </c>
      <c r="V101" s="22">
        <v>0.29799999999999999</v>
      </c>
      <c r="W101" s="42">
        <v>0.318</v>
      </c>
      <c r="X101" s="45">
        <v>0.32100000000000001</v>
      </c>
      <c r="Y101" s="22">
        <v>0.315</v>
      </c>
      <c r="Z101" s="22">
        <v>0.32400000000000001</v>
      </c>
      <c r="AA101" s="22">
        <v>0.32100000000000001</v>
      </c>
      <c r="AB101" s="42">
        <v>0.34100000000000003</v>
      </c>
      <c r="AC101" s="45">
        <v>0.307</v>
      </c>
      <c r="AD101" s="22">
        <v>0.33300000000000002</v>
      </c>
      <c r="AE101" s="22">
        <v>0.32300000000000001</v>
      </c>
      <c r="AF101" s="22">
        <v>0.313</v>
      </c>
      <c r="AG101" s="42">
        <v>0.31900000000000001</v>
      </c>
      <c r="AH101" s="45">
        <v>0.32200000000000001</v>
      </c>
      <c r="AI101" s="22">
        <v>0.31900000000000001</v>
      </c>
      <c r="AJ101" s="22">
        <v>0.317</v>
      </c>
      <c r="AK101" s="22">
        <v>0.315</v>
      </c>
      <c r="AL101" s="42">
        <v>0.316</v>
      </c>
      <c r="AM101" s="45">
        <v>0.313</v>
      </c>
      <c r="AN101" s="22">
        <v>0.29399999999999998</v>
      </c>
      <c r="AO101" s="22">
        <v>0.30299999999999999</v>
      </c>
      <c r="AP101" s="22">
        <v>0.30299999999999999</v>
      </c>
      <c r="AQ101" s="42">
        <v>0.29899999999999999</v>
      </c>
      <c r="AR101" s="45">
        <v>0.32300000000000001</v>
      </c>
      <c r="AS101" s="22">
        <v>0.307</v>
      </c>
      <c r="AT101" s="22">
        <v>0.30099999999999999</v>
      </c>
      <c r="AU101" s="22">
        <v>0.29599999999999999</v>
      </c>
      <c r="AV101" s="42">
        <v>0.32900000000000001</v>
      </c>
      <c r="AW101" s="45">
        <v>0.30199999999999999</v>
      </c>
      <c r="AX101" s="22">
        <v>0.3</v>
      </c>
      <c r="AY101" s="22">
        <v>0.30399999999999999</v>
      </c>
      <c r="AZ101" s="22">
        <v>0.29499999999999998</v>
      </c>
      <c r="BA101" s="42">
        <v>0.29499999999999998</v>
      </c>
      <c r="BB101" s="45">
        <v>0.29299999999999998</v>
      </c>
      <c r="BC101" s="22">
        <v>0.309</v>
      </c>
      <c r="BD101" s="22">
        <v>0.3</v>
      </c>
      <c r="BE101" s="22">
        <v>0.29199999999999998</v>
      </c>
      <c r="BF101" s="42">
        <v>0.32</v>
      </c>
      <c r="BG101" s="45">
        <v>0.32700000000000001</v>
      </c>
      <c r="BH101" s="22">
        <v>0.318</v>
      </c>
      <c r="BI101" s="22">
        <v>0.317</v>
      </c>
      <c r="BJ101" s="22" t="s">
        <v>20</v>
      </c>
      <c r="BK101" s="42" t="s">
        <v>20</v>
      </c>
      <c r="BL101" s="45" t="s">
        <v>20</v>
      </c>
      <c r="BM101" s="42">
        <v>0.33800000000000002</v>
      </c>
      <c r="BN101" s="167">
        <f t="shared" si="64"/>
        <v>0.31688387096774207</v>
      </c>
      <c r="BO101" s="167">
        <f t="shared" si="65"/>
        <v>0.28999999999999998</v>
      </c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65"/>
      <c r="B102" s="8"/>
      <c r="C102" s="12" t="s">
        <v>14</v>
      </c>
      <c r="D102" s="38">
        <v>0.32</v>
      </c>
      <c r="E102" s="39">
        <v>0.32700000000000001</v>
      </c>
      <c r="F102" s="39">
        <v>0.32</v>
      </c>
      <c r="G102" s="39">
        <v>0.31900000000000001</v>
      </c>
      <c r="H102" s="40">
        <v>0.33400000000000002</v>
      </c>
      <c r="I102" s="44">
        <v>0.32300000000000001</v>
      </c>
      <c r="J102" s="39">
        <v>0.32600000000000001</v>
      </c>
      <c r="K102" s="39">
        <v>0.32900000000000001</v>
      </c>
      <c r="L102" s="39">
        <v>0.32900000000000001</v>
      </c>
      <c r="M102" s="40">
        <v>0.31900000000000001</v>
      </c>
      <c r="N102" s="44">
        <v>0.32700000000000001</v>
      </c>
      <c r="O102" s="39">
        <v>0.308</v>
      </c>
      <c r="P102" s="39">
        <v>0.309</v>
      </c>
      <c r="Q102" s="39">
        <v>0.315</v>
      </c>
      <c r="R102" s="40">
        <v>0.32300000000000001</v>
      </c>
      <c r="S102" s="44">
        <v>0.33500000000000002</v>
      </c>
      <c r="T102" s="39">
        <v>0.309</v>
      </c>
      <c r="U102" s="39">
        <v>0.33700000000000002</v>
      </c>
      <c r="V102" s="39">
        <v>0.33600000000000002</v>
      </c>
      <c r="W102" s="40">
        <v>0.318</v>
      </c>
      <c r="X102" s="44">
        <v>0.314</v>
      </c>
      <c r="Y102" s="39">
        <v>0.316</v>
      </c>
      <c r="Z102" s="39">
        <v>0.307</v>
      </c>
      <c r="AA102" s="39">
        <v>0.33500000000000002</v>
      </c>
      <c r="AB102" s="40">
        <v>0.311</v>
      </c>
      <c r="AC102" s="44">
        <v>0.30599999999999999</v>
      </c>
      <c r="AD102" s="39">
        <v>0.32600000000000001</v>
      </c>
      <c r="AE102" s="39">
        <v>0.34899999999999998</v>
      </c>
      <c r="AF102" s="39">
        <v>0.32400000000000001</v>
      </c>
      <c r="AG102" s="40">
        <v>0.33700000000000002</v>
      </c>
      <c r="AH102" s="44">
        <v>0.32900000000000001</v>
      </c>
      <c r="AI102" s="39">
        <v>0.32600000000000001</v>
      </c>
      <c r="AJ102" s="39">
        <v>0.34499999999999997</v>
      </c>
      <c r="AK102" s="39">
        <v>0.32200000000000001</v>
      </c>
      <c r="AL102" s="40">
        <v>0.32700000000000001</v>
      </c>
      <c r="AM102" s="44">
        <v>0.313</v>
      </c>
      <c r="AN102" s="39">
        <v>0.318</v>
      </c>
      <c r="AO102" s="39">
        <v>0.318</v>
      </c>
      <c r="AP102" s="39">
        <v>0.30599999999999999</v>
      </c>
      <c r="AQ102" s="40">
        <v>0.32900000000000001</v>
      </c>
      <c r="AR102" s="44">
        <v>0.309</v>
      </c>
      <c r="AS102" s="39">
        <v>0.30099999999999999</v>
      </c>
      <c r="AT102" s="39">
        <v>0.30099999999999999</v>
      </c>
      <c r="AU102" s="39">
        <v>0.312</v>
      </c>
      <c r="AV102" s="40">
        <v>0.29299999999999998</v>
      </c>
      <c r="AW102" s="44">
        <v>0.317</v>
      </c>
      <c r="AX102" s="39">
        <v>0.3</v>
      </c>
      <c r="AY102" s="39">
        <v>0.29199999999999998</v>
      </c>
      <c r="AZ102" s="39">
        <v>0.30099999999999999</v>
      </c>
      <c r="BA102" s="40">
        <v>0.30299999999999999</v>
      </c>
      <c r="BB102" s="44">
        <v>0.308</v>
      </c>
      <c r="BC102" s="39">
        <v>0.311</v>
      </c>
      <c r="BD102" s="39">
        <v>0.29699999999999999</v>
      </c>
      <c r="BE102" s="39">
        <v>0.30199999999999999</v>
      </c>
      <c r="BF102" s="40">
        <v>0.30099999999999999</v>
      </c>
      <c r="BG102" s="44">
        <v>0.34200000000000003</v>
      </c>
      <c r="BH102" s="39">
        <v>0.32100000000000001</v>
      </c>
      <c r="BI102" s="39">
        <v>0.316</v>
      </c>
      <c r="BJ102" s="39" t="s">
        <v>20</v>
      </c>
      <c r="BK102" s="40" t="s">
        <v>20</v>
      </c>
      <c r="BL102" s="44" t="s">
        <v>20</v>
      </c>
      <c r="BM102" s="40">
        <v>0.32100000000000001</v>
      </c>
      <c r="BN102" s="168">
        <f t="shared" si="64"/>
        <v>0.31856296296296299</v>
      </c>
      <c r="BO102" s="168">
        <f t="shared" si="65"/>
        <v>0.29199999999999998</v>
      </c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43</v>
      </c>
      <c r="B103" s="6" t="s">
        <v>9</v>
      </c>
      <c r="C103" s="11" t="s">
        <v>10</v>
      </c>
      <c r="D103" s="35" t="s">
        <v>11</v>
      </c>
      <c r="E103" s="36" t="s">
        <v>11</v>
      </c>
      <c r="F103" s="36">
        <v>0.33100000000000002</v>
      </c>
      <c r="G103" s="36">
        <v>0.32700000000000001</v>
      </c>
      <c r="H103" s="37" t="s">
        <v>11</v>
      </c>
      <c r="I103" s="43">
        <v>0.33600000000000002</v>
      </c>
      <c r="J103" s="36">
        <v>0.32500000000000001</v>
      </c>
      <c r="K103" s="36" t="s">
        <v>11</v>
      </c>
      <c r="L103" s="36">
        <v>0.32</v>
      </c>
      <c r="M103" s="37">
        <v>0.30499999999999999</v>
      </c>
      <c r="N103" s="43" t="s">
        <v>11</v>
      </c>
      <c r="O103" s="36">
        <v>0.307</v>
      </c>
      <c r="P103" s="36">
        <v>0.30599999999999999</v>
      </c>
      <c r="Q103" s="36" t="s">
        <v>11</v>
      </c>
      <c r="R103" s="37">
        <v>0.33</v>
      </c>
      <c r="S103" s="43">
        <v>0.32200000000000001</v>
      </c>
      <c r="T103" s="36" t="s">
        <v>11</v>
      </c>
      <c r="U103" s="36">
        <v>0.311</v>
      </c>
      <c r="V103" s="36">
        <v>0.31900000000000001</v>
      </c>
      <c r="W103" s="37" t="s">
        <v>11</v>
      </c>
      <c r="X103" s="43">
        <v>0.32600000000000001</v>
      </c>
      <c r="Y103" s="36">
        <v>0.318</v>
      </c>
      <c r="Z103" s="36" t="s">
        <v>11</v>
      </c>
      <c r="AA103" s="36">
        <v>0.32300000000000001</v>
      </c>
      <c r="AB103" s="37">
        <v>0.32400000000000001</v>
      </c>
      <c r="AC103" s="43" t="s">
        <v>11</v>
      </c>
      <c r="AD103" s="36" t="s">
        <v>11</v>
      </c>
      <c r="AE103" s="36">
        <v>0.317</v>
      </c>
      <c r="AF103" s="36">
        <v>0.32100000000000001</v>
      </c>
      <c r="AG103" s="37" t="s">
        <v>11</v>
      </c>
      <c r="AH103" s="43">
        <v>0.32800000000000001</v>
      </c>
      <c r="AI103" s="36">
        <v>0.32400000000000001</v>
      </c>
      <c r="AJ103" s="36" t="s">
        <v>11</v>
      </c>
      <c r="AK103" s="36">
        <v>0.32</v>
      </c>
      <c r="AL103" s="37">
        <v>0.315</v>
      </c>
      <c r="AM103" s="43" t="s">
        <v>11</v>
      </c>
      <c r="AN103" s="36" t="s">
        <v>11</v>
      </c>
      <c r="AO103" s="36">
        <v>0.32600000000000001</v>
      </c>
      <c r="AP103" s="36">
        <v>0.32700000000000001</v>
      </c>
      <c r="AQ103" s="37" t="s">
        <v>11</v>
      </c>
      <c r="AR103" s="43">
        <v>0.32100000000000001</v>
      </c>
      <c r="AS103" s="36">
        <v>0.32100000000000001</v>
      </c>
      <c r="AT103" s="36" t="s">
        <v>11</v>
      </c>
      <c r="AU103" s="36">
        <v>0.316</v>
      </c>
      <c r="AV103" s="37">
        <v>0.314</v>
      </c>
      <c r="AW103" s="43" t="s">
        <v>11</v>
      </c>
      <c r="AX103" s="36">
        <v>0.316</v>
      </c>
      <c r="AY103" s="36">
        <v>0.33100000000000002</v>
      </c>
      <c r="AZ103" s="36" t="s">
        <v>11</v>
      </c>
      <c r="BA103" s="37">
        <v>0.32800000000000001</v>
      </c>
      <c r="BB103" s="43">
        <v>0.315</v>
      </c>
      <c r="BC103" s="36" t="s">
        <v>11</v>
      </c>
      <c r="BD103" s="36">
        <v>0.32</v>
      </c>
      <c r="BE103" s="36">
        <v>0.31900000000000001</v>
      </c>
      <c r="BF103" s="37" t="s">
        <v>11</v>
      </c>
      <c r="BG103" s="43">
        <v>0.33800000000000002</v>
      </c>
      <c r="BH103" s="36">
        <v>0.32200000000000001</v>
      </c>
      <c r="BI103" s="36" t="s">
        <v>11</v>
      </c>
      <c r="BJ103" s="36">
        <v>0.32700000000000001</v>
      </c>
      <c r="BK103" s="37">
        <v>0.315</v>
      </c>
      <c r="BL103" s="43" t="s">
        <v>11</v>
      </c>
      <c r="BM103" s="37" t="s">
        <v>11</v>
      </c>
      <c r="BN103" s="166">
        <f t="shared" ref="BN103:BN105" si="66">IFERROR(AVERAGE(D103:BM105),0)</f>
        <v>0.31850877192982463</v>
      </c>
      <c r="BO103" s="166">
        <f t="shared" ref="BO103:BO105" si="67">MIN(D103:BM105)</f>
        <v>0.29699999999999999</v>
      </c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65">
        <v>8.3000000000000004E-2</v>
      </c>
      <c r="B104" s="7" t="s">
        <v>12</v>
      </c>
      <c r="C104" s="11" t="s">
        <v>8</v>
      </c>
      <c r="D104" s="41" t="s">
        <v>11</v>
      </c>
      <c r="E104" s="22" t="s">
        <v>11</v>
      </c>
      <c r="F104" s="22">
        <v>0.33</v>
      </c>
      <c r="G104" s="22">
        <v>0.32300000000000001</v>
      </c>
      <c r="H104" s="42" t="s">
        <v>11</v>
      </c>
      <c r="I104" s="45">
        <v>0.32500000000000001</v>
      </c>
      <c r="J104" s="22">
        <v>0.32600000000000001</v>
      </c>
      <c r="K104" s="22" t="s">
        <v>11</v>
      </c>
      <c r="L104" s="22">
        <v>0.309</v>
      </c>
      <c r="M104" s="42">
        <v>0.311</v>
      </c>
      <c r="N104" s="45" t="s">
        <v>11</v>
      </c>
      <c r="O104" s="22">
        <v>0.29699999999999999</v>
      </c>
      <c r="P104" s="22">
        <v>0.30399999999999999</v>
      </c>
      <c r="Q104" s="22" t="s">
        <v>11</v>
      </c>
      <c r="R104" s="42">
        <v>0.317</v>
      </c>
      <c r="S104" s="45">
        <v>0.313</v>
      </c>
      <c r="T104" s="22" t="s">
        <v>11</v>
      </c>
      <c r="U104" s="22">
        <v>0.30599999999999999</v>
      </c>
      <c r="V104" s="22">
        <v>0.314</v>
      </c>
      <c r="W104" s="42" t="s">
        <v>11</v>
      </c>
      <c r="X104" s="45">
        <v>0.317</v>
      </c>
      <c r="Y104" s="22">
        <v>0.33100000000000002</v>
      </c>
      <c r="Z104" s="22" t="s">
        <v>11</v>
      </c>
      <c r="AA104" s="22">
        <v>0.31900000000000001</v>
      </c>
      <c r="AB104" s="42">
        <v>0.318</v>
      </c>
      <c r="AC104" s="45" t="s">
        <v>11</v>
      </c>
      <c r="AD104" s="22" t="s">
        <v>11</v>
      </c>
      <c r="AE104" s="22">
        <v>0.31</v>
      </c>
      <c r="AF104" s="22">
        <v>0.32</v>
      </c>
      <c r="AG104" s="42" t="s">
        <v>11</v>
      </c>
      <c r="AH104" s="45">
        <v>0.32900000000000001</v>
      </c>
      <c r="AI104" s="22">
        <v>0.32200000000000001</v>
      </c>
      <c r="AJ104" s="22" t="s">
        <v>11</v>
      </c>
      <c r="AK104" s="22">
        <v>0.29699999999999999</v>
      </c>
      <c r="AL104" s="42">
        <v>0.307</v>
      </c>
      <c r="AM104" s="45" t="s">
        <v>11</v>
      </c>
      <c r="AN104" s="22" t="s">
        <v>11</v>
      </c>
      <c r="AO104" s="22">
        <v>0.32100000000000001</v>
      </c>
      <c r="AP104" s="22">
        <v>0.31900000000000001</v>
      </c>
      <c r="AQ104" s="42" t="s">
        <v>11</v>
      </c>
      <c r="AR104" s="45">
        <v>0.32200000000000001</v>
      </c>
      <c r="AS104" s="22">
        <v>0.316</v>
      </c>
      <c r="AT104" s="22" t="s">
        <v>11</v>
      </c>
      <c r="AU104" s="22">
        <v>0.309</v>
      </c>
      <c r="AV104" s="42">
        <v>0.32100000000000001</v>
      </c>
      <c r="AW104" s="45" t="s">
        <v>11</v>
      </c>
      <c r="AX104" s="22">
        <v>0.29699999999999999</v>
      </c>
      <c r="AY104" s="22">
        <v>0.32100000000000001</v>
      </c>
      <c r="AZ104" s="22" t="s">
        <v>11</v>
      </c>
      <c r="BA104" s="42">
        <v>0.315</v>
      </c>
      <c r="BB104" s="45">
        <v>0.314</v>
      </c>
      <c r="BC104" s="22" t="s">
        <v>11</v>
      </c>
      <c r="BD104" s="22">
        <v>0.317</v>
      </c>
      <c r="BE104" s="22">
        <v>0.308</v>
      </c>
      <c r="BF104" s="42" t="s">
        <v>11</v>
      </c>
      <c r="BG104" s="45">
        <v>0.33700000000000002</v>
      </c>
      <c r="BH104" s="22">
        <v>0.31900000000000001</v>
      </c>
      <c r="BI104" s="22" t="s">
        <v>11</v>
      </c>
      <c r="BJ104" s="22">
        <v>0.318</v>
      </c>
      <c r="BK104" s="42">
        <v>0.32700000000000001</v>
      </c>
      <c r="BL104" s="45" t="s">
        <v>11</v>
      </c>
      <c r="BM104" s="42" t="s">
        <v>11</v>
      </c>
      <c r="BN104" s="167">
        <f t="shared" si="66"/>
        <v>0.31672807017543864</v>
      </c>
      <c r="BO104" s="167">
        <f t="shared" si="67"/>
        <v>0.29499999999999998</v>
      </c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65"/>
      <c r="B105" s="8" t="s">
        <v>48</v>
      </c>
      <c r="C105" s="12" t="s">
        <v>14</v>
      </c>
      <c r="D105" s="38" t="s">
        <v>11</v>
      </c>
      <c r="E105" s="39" t="s">
        <v>11</v>
      </c>
      <c r="F105" s="39">
        <v>0.32</v>
      </c>
      <c r="G105" s="39">
        <v>0.33300000000000002</v>
      </c>
      <c r="H105" s="40" t="s">
        <v>11</v>
      </c>
      <c r="I105" s="44">
        <v>0.32900000000000001</v>
      </c>
      <c r="J105" s="39">
        <v>0.312</v>
      </c>
      <c r="K105" s="39" t="s">
        <v>11</v>
      </c>
      <c r="L105" s="39">
        <v>0.307</v>
      </c>
      <c r="M105" s="40">
        <v>0.32900000000000001</v>
      </c>
      <c r="N105" s="44" t="s">
        <v>11</v>
      </c>
      <c r="O105" s="39">
        <v>0.33500000000000002</v>
      </c>
      <c r="P105" s="39">
        <v>0.318</v>
      </c>
      <c r="Q105" s="39" t="s">
        <v>11</v>
      </c>
      <c r="R105" s="40">
        <v>0.32200000000000001</v>
      </c>
      <c r="S105" s="44">
        <v>0.315</v>
      </c>
      <c r="T105" s="39" t="s">
        <v>11</v>
      </c>
      <c r="U105" s="39">
        <v>0.31</v>
      </c>
      <c r="V105" s="39">
        <v>0.32600000000000001</v>
      </c>
      <c r="W105" s="40" t="s">
        <v>11</v>
      </c>
      <c r="X105" s="44">
        <v>0.318</v>
      </c>
      <c r="Y105" s="39">
        <v>0.31</v>
      </c>
      <c r="Z105" s="39" t="s">
        <v>11</v>
      </c>
      <c r="AA105" s="39">
        <v>0.309</v>
      </c>
      <c r="AB105" s="40">
        <v>0.32200000000000001</v>
      </c>
      <c r="AC105" s="44" t="s">
        <v>11</v>
      </c>
      <c r="AD105" s="39" t="s">
        <v>11</v>
      </c>
      <c r="AE105" s="39">
        <v>0.30399999999999999</v>
      </c>
      <c r="AF105" s="39">
        <v>0.30599999999999999</v>
      </c>
      <c r="AG105" s="40" t="s">
        <v>11</v>
      </c>
      <c r="AH105" s="44">
        <v>0.312</v>
      </c>
      <c r="AI105" s="39">
        <v>0.32</v>
      </c>
      <c r="AJ105" s="39" t="s">
        <v>11</v>
      </c>
      <c r="AK105" s="39">
        <v>0.30299999999999999</v>
      </c>
      <c r="AL105" s="40">
        <v>0.316</v>
      </c>
      <c r="AM105" s="44" t="s">
        <v>11</v>
      </c>
      <c r="AN105" s="39" t="s">
        <v>11</v>
      </c>
      <c r="AO105" s="39">
        <v>0.317</v>
      </c>
      <c r="AP105" s="39">
        <v>0.33100000000000002</v>
      </c>
      <c r="AQ105" s="40" t="s">
        <v>11</v>
      </c>
      <c r="AR105" s="44">
        <v>0.311</v>
      </c>
      <c r="AS105" s="39">
        <v>0.313</v>
      </c>
      <c r="AT105" s="39" t="s">
        <v>11</v>
      </c>
      <c r="AU105" s="39">
        <v>0.30099999999999999</v>
      </c>
      <c r="AV105" s="40">
        <v>0.33200000000000002</v>
      </c>
      <c r="AW105" s="44" t="s">
        <v>11</v>
      </c>
      <c r="AX105" s="39">
        <v>0.31900000000000001</v>
      </c>
      <c r="AY105" s="39">
        <v>0.30599999999999999</v>
      </c>
      <c r="AZ105" s="39" t="s">
        <v>11</v>
      </c>
      <c r="BA105" s="40">
        <v>0.32400000000000001</v>
      </c>
      <c r="BB105" s="44">
        <v>0.317</v>
      </c>
      <c r="BC105" s="39" t="s">
        <v>11</v>
      </c>
      <c r="BD105" s="39">
        <v>0.316</v>
      </c>
      <c r="BE105" s="39">
        <v>0.315</v>
      </c>
      <c r="BF105" s="40" t="s">
        <v>11</v>
      </c>
      <c r="BG105" s="44">
        <v>0.32600000000000001</v>
      </c>
      <c r="BH105" s="39">
        <v>0.32800000000000001</v>
      </c>
      <c r="BI105" s="39" t="s">
        <v>11</v>
      </c>
      <c r="BJ105" s="39">
        <v>0.32100000000000001</v>
      </c>
      <c r="BK105" s="40">
        <v>0.32</v>
      </c>
      <c r="BL105" s="44" t="s">
        <v>11</v>
      </c>
      <c r="BM105" s="40" t="s">
        <v>11</v>
      </c>
      <c r="BN105" s="168">
        <f t="shared" si="66"/>
        <v>0.31700877192982463</v>
      </c>
      <c r="BO105" s="168">
        <f t="shared" si="67"/>
        <v>0.29499999999999998</v>
      </c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43</v>
      </c>
      <c r="B106" s="6" t="s">
        <v>15</v>
      </c>
      <c r="C106" s="11" t="s">
        <v>10</v>
      </c>
      <c r="D106" s="35" t="s">
        <v>11</v>
      </c>
      <c r="E106" s="36" t="s">
        <v>11</v>
      </c>
      <c r="F106" s="36">
        <v>0.31</v>
      </c>
      <c r="G106" s="36">
        <v>0.32200000000000001</v>
      </c>
      <c r="H106" s="37" t="s">
        <v>11</v>
      </c>
      <c r="I106" s="43">
        <v>0.316</v>
      </c>
      <c r="J106" s="36">
        <v>0.32700000000000001</v>
      </c>
      <c r="K106" s="36" t="s">
        <v>11</v>
      </c>
      <c r="L106" s="36">
        <v>0.314</v>
      </c>
      <c r="M106" s="37">
        <v>0.317</v>
      </c>
      <c r="N106" s="43" t="s">
        <v>11</v>
      </c>
      <c r="O106" s="36">
        <v>0.3</v>
      </c>
      <c r="P106" s="36">
        <v>0.315</v>
      </c>
      <c r="Q106" s="36" t="s">
        <v>11</v>
      </c>
      <c r="R106" s="37">
        <v>0.32900000000000001</v>
      </c>
      <c r="S106" s="43">
        <v>0.318</v>
      </c>
      <c r="T106" s="36" t="s">
        <v>11</v>
      </c>
      <c r="U106" s="36">
        <v>0.32</v>
      </c>
      <c r="V106" s="36">
        <v>0.30599999999999999</v>
      </c>
      <c r="W106" s="37" t="s">
        <v>11</v>
      </c>
      <c r="X106" s="43">
        <v>0.31</v>
      </c>
      <c r="Y106" s="36">
        <v>0.32800000000000001</v>
      </c>
      <c r="Z106" s="36" t="s">
        <v>11</v>
      </c>
      <c r="AA106" s="36">
        <v>0.313</v>
      </c>
      <c r="AB106" s="37">
        <v>0.32100000000000001</v>
      </c>
      <c r="AC106" s="43" t="s">
        <v>11</v>
      </c>
      <c r="AD106" s="36" t="s">
        <v>11</v>
      </c>
      <c r="AE106" s="36">
        <v>0.32200000000000001</v>
      </c>
      <c r="AF106" s="36">
        <v>0.32700000000000001</v>
      </c>
      <c r="AG106" s="37" t="s">
        <v>11</v>
      </c>
      <c r="AH106" s="43">
        <v>0.32900000000000001</v>
      </c>
      <c r="AI106" s="36">
        <v>0.32900000000000001</v>
      </c>
      <c r="AJ106" s="36" t="s">
        <v>11</v>
      </c>
      <c r="AK106" s="36">
        <v>0.314</v>
      </c>
      <c r="AL106" s="37">
        <v>0.31900000000000001</v>
      </c>
      <c r="AM106" s="43" t="s">
        <v>11</v>
      </c>
      <c r="AN106" s="36" t="s">
        <v>11</v>
      </c>
      <c r="AO106" s="36">
        <v>0.308</v>
      </c>
      <c r="AP106" s="36">
        <v>0.309</v>
      </c>
      <c r="AQ106" s="37" t="s">
        <v>11</v>
      </c>
      <c r="AR106" s="43">
        <v>0.315</v>
      </c>
      <c r="AS106" s="36">
        <v>0.33</v>
      </c>
      <c r="AT106" s="36" t="s">
        <v>11</v>
      </c>
      <c r="AU106" s="36">
        <v>0.30099999999999999</v>
      </c>
      <c r="AV106" s="37">
        <v>0.32500000000000001</v>
      </c>
      <c r="AW106" s="43" t="s">
        <v>11</v>
      </c>
      <c r="AX106" s="36">
        <v>0.29499999999999998</v>
      </c>
      <c r="AY106" s="36">
        <v>0.32200000000000001</v>
      </c>
      <c r="AZ106" s="36" t="s">
        <v>11</v>
      </c>
      <c r="BA106" s="37">
        <v>0.315</v>
      </c>
      <c r="BB106" s="43">
        <v>0.31</v>
      </c>
      <c r="BC106" s="36" t="s">
        <v>11</v>
      </c>
      <c r="BD106" s="36">
        <v>0.308</v>
      </c>
      <c r="BE106" s="36">
        <v>0.318</v>
      </c>
      <c r="BF106" s="37" t="s">
        <v>11</v>
      </c>
      <c r="BG106" s="43">
        <v>0.309</v>
      </c>
      <c r="BH106" s="36">
        <v>0.311</v>
      </c>
      <c r="BI106" s="36" t="s">
        <v>11</v>
      </c>
      <c r="BJ106" s="36">
        <v>0.314</v>
      </c>
      <c r="BK106" s="37">
        <v>0.312</v>
      </c>
      <c r="BL106" s="43" t="s">
        <v>11</v>
      </c>
      <c r="BM106" s="37" t="s">
        <v>11</v>
      </c>
      <c r="BN106" s="166">
        <f t="shared" ref="BN106:BN108" si="68">IFERROR(AVERAGE(D106:BM108),0)</f>
        <v>0.31592982456140351</v>
      </c>
      <c r="BO106" s="166">
        <f t="shared" ref="BO106:BO108" si="69">MIN(D106:BM108)</f>
        <v>0.29499999999999998</v>
      </c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65">
        <v>8.3000000000000004E-2</v>
      </c>
      <c r="B107" s="7" t="s">
        <v>12</v>
      </c>
      <c r="C107" s="11" t="s">
        <v>8</v>
      </c>
      <c r="D107" s="41" t="s">
        <v>11</v>
      </c>
      <c r="E107" s="22" t="s">
        <v>11</v>
      </c>
      <c r="F107" s="22">
        <v>0.312</v>
      </c>
      <c r="G107" s="22">
        <v>0.316</v>
      </c>
      <c r="H107" s="42" t="s">
        <v>11</v>
      </c>
      <c r="I107" s="45">
        <v>0.313</v>
      </c>
      <c r="J107" s="22">
        <v>0.315</v>
      </c>
      <c r="K107" s="22" t="s">
        <v>11</v>
      </c>
      <c r="L107" s="22">
        <v>0.33100000000000002</v>
      </c>
      <c r="M107" s="42">
        <v>0.311</v>
      </c>
      <c r="N107" s="45" t="s">
        <v>11</v>
      </c>
      <c r="O107" s="22">
        <v>0.308</v>
      </c>
      <c r="P107" s="22">
        <v>0.309</v>
      </c>
      <c r="Q107" s="22" t="s">
        <v>11</v>
      </c>
      <c r="R107" s="42">
        <v>0.33500000000000002</v>
      </c>
      <c r="S107" s="45">
        <v>0.32100000000000001</v>
      </c>
      <c r="T107" s="22" t="s">
        <v>11</v>
      </c>
      <c r="U107" s="22">
        <v>0.307</v>
      </c>
      <c r="V107" s="22">
        <v>0.313</v>
      </c>
      <c r="W107" s="42" t="s">
        <v>11</v>
      </c>
      <c r="X107" s="45">
        <v>0.314</v>
      </c>
      <c r="Y107" s="22">
        <v>0.317</v>
      </c>
      <c r="Z107" s="22" t="s">
        <v>11</v>
      </c>
      <c r="AA107" s="22">
        <v>0.316</v>
      </c>
      <c r="AB107" s="42">
        <v>0.317</v>
      </c>
      <c r="AC107" s="45" t="s">
        <v>11</v>
      </c>
      <c r="AD107" s="22" t="s">
        <v>11</v>
      </c>
      <c r="AE107" s="22">
        <v>0.30299999999999999</v>
      </c>
      <c r="AF107" s="22">
        <v>0.32300000000000001</v>
      </c>
      <c r="AG107" s="42" t="s">
        <v>11</v>
      </c>
      <c r="AH107" s="45">
        <v>0.32200000000000001</v>
      </c>
      <c r="AI107" s="22">
        <v>0.32700000000000001</v>
      </c>
      <c r="AJ107" s="22" t="s">
        <v>11</v>
      </c>
      <c r="AK107" s="22">
        <v>0.312</v>
      </c>
      <c r="AL107" s="42">
        <v>0.32900000000000001</v>
      </c>
      <c r="AM107" s="45" t="s">
        <v>11</v>
      </c>
      <c r="AN107" s="22" t="s">
        <v>11</v>
      </c>
      <c r="AO107" s="22">
        <v>0.32900000000000001</v>
      </c>
      <c r="AP107" s="22">
        <v>0.318</v>
      </c>
      <c r="AQ107" s="42" t="s">
        <v>11</v>
      </c>
      <c r="AR107" s="45">
        <v>0.317</v>
      </c>
      <c r="AS107" s="22">
        <v>0.32300000000000001</v>
      </c>
      <c r="AT107" s="22" t="s">
        <v>11</v>
      </c>
      <c r="AU107" s="22">
        <v>0.317</v>
      </c>
      <c r="AV107" s="42">
        <v>0.32300000000000001</v>
      </c>
      <c r="AW107" s="45" t="s">
        <v>11</v>
      </c>
      <c r="AX107" s="22">
        <v>0.30599999999999999</v>
      </c>
      <c r="AY107" s="22">
        <v>0.30399999999999999</v>
      </c>
      <c r="AZ107" s="22" t="s">
        <v>11</v>
      </c>
      <c r="BA107" s="42">
        <v>0.29699999999999999</v>
      </c>
      <c r="BB107" s="45">
        <v>0.30399999999999999</v>
      </c>
      <c r="BC107" s="22" t="s">
        <v>11</v>
      </c>
      <c r="BD107" s="22">
        <v>0.313</v>
      </c>
      <c r="BE107" s="22">
        <v>0.30499999999999999</v>
      </c>
      <c r="BF107" s="42" t="s">
        <v>11</v>
      </c>
      <c r="BG107" s="45">
        <v>0.309</v>
      </c>
      <c r="BH107" s="22">
        <v>0.35699999999999998</v>
      </c>
      <c r="BI107" s="22" t="s">
        <v>11</v>
      </c>
      <c r="BJ107" s="22">
        <v>0.35799999999999998</v>
      </c>
      <c r="BK107" s="42">
        <v>0.307</v>
      </c>
      <c r="BL107" s="45" t="s">
        <v>11</v>
      </c>
      <c r="BM107" s="42" t="s">
        <v>11</v>
      </c>
      <c r="BN107" s="167">
        <f t="shared" si="68"/>
        <v>0.31693859649122819</v>
      </c>
      <c r="BO107" s="167">
        <f t="shared" si="69"/>
        <v>0.29699999999999999</v>
      </c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65"/>
      <c r="B108" s="8" t="s">
        <v>48</v>
      </c>
      <c r="C108" s="12" t="s">
        <v>14</v>
      </c>
      <c r="D108" s="38" t="s">
        <v>11</v>
      </c>
      <c r="E108" s="39" t="s">
        <v>11</v>
      </c>
      <c r="F108" s="39">
        <v>0.32800000000000001</v>
      </c>
      <c r="G108" s="39">
        <v>0.314</v>
      </c>
      <c r="H108" s="40" t="s">
        <v>11</v>
      </c>
      <c r="I108" s="44">
        <v>0.32700000000000001</v>
      </c>
      <c r="J108" s="39">
        <v>0.32400000000000001</v>
      </c>
      <c r="K108" s="39" t="s">
        <v>11</v>
      </c>
      <c r="L108" s="39">
        <v>0.314</v>
      </c>
      <c r="M108" s="40">
        <v>0.307</v>
      </c>
      <c r="N108" s="44" t="s">
        <v>11</v>
      </c>
      <c r="O108" s="39">
        <v>0.309</v>
      </c>
      <c r="P108" s="39">
        <v>0.30499999999999999</v>
      </c>
      <c r="Q108" s="39" t="s">
        <v>11</v>
      </c>
      <c r="R108" s="40">
        <v>0.308</v>
      </c>
      <c r="S108" s="44">
        <v>0.31900000000000001</v>
      </c>
      <c r="T108" s="39" t="s">
        <v>11</v>
      </c>
      <c r="U108" s="39">
        <v>0.313</v>
      </c>
      <c r="V108" s="39">
        <v>0.315</v>
      </c>
      <c r="W108" s="40" t="s">
        <v>11</v>
      </c>
      <c r="X108" s="44">
        <v>0.30599999999999999</v>
      </c>
      <c r="Y108" s="39">
        <v>0.32</v>
      </c>
      <c r="Z108" s="39" t="s">
        <v>11</v>
      </c>
      <c r="AA108" s="39">
        <v>0.307</v>
      </c>
      <c r="AB108" s="40">
        <v>0.308</v>
      </c>
      <c r="AC108" s="44" t="s">
        <v>11</v>
      </c>
      <c r="AD108" s="39" t="s">
        <v>11</v>
      </c>
      <c r="AE108" s="39">
        <v>0.30399999999999999</v>
      </c>
      <c r="AF108" s="39">
        <v>0.33100000000000002</v>
      </c>
      <c r="AG108" s="40" t="s">
        <v>11</v>
      </c>
      <c r="AH108" s="44">
        <v>0.30599999999999999</v>
      </c>
      <c r="AI108" s="39">
        <v>0.317</v>
      </c>
      <c r="AJ108" s="39" t="s">
        <v>11</v>
      </c>
      <c r="AK108" s="39">
        <v>0.3</v>
      </c>
      <c r="AL108" s="40">
        <v>0.317</v>
      </c>
      <c r="AM108" s="44" t="s">
        <v>11</v>
      </c>
      <c r="AN108" s="39" t="s">
        <v>11</v>
      </c>
      <c r="AO108" s="39">
        <v>0.32200000000000001</v>
      </c>
      <c r="AP108" s="39">
        <v>0.312</v>
      </c>
      <c r="AQ108" s="40" t="s">
        <v>11</v>
      </c>
      <c r="AR108" s="44">
        <v>0.312</v>
      </c>
      <c r="AS108" s="39">
        <v>0.312</v>
      </c>
      <c r="AT108" s="39" t="s">
        <v>11</v>
      </c>
      <c r="AU108" s="39">
        <v>0.32</v>
      </c>
      <c r="AV108" s="40">
        <v>0.312</v>
      </c>
      <c r="AW108" s="44" t="s">
        <v>11</v>
      </c>
      <c r="AX108" s="39">
        <v>0.308</v>
      </c>
      <c r="AY108" s="39">
        <v>0.30199999999999999</v>
      </c>
      <c r="AZ108" s="39" t="s">
        <v>11</v>
      </c>
      <c r="BA108" s="40">
        <v>0.30299999999999999</v>
      </c>
      <c r="BB108" s="44">
        <v>0.317</v>
      </c>
      <c r="BC108" s="39" t="s">
        <v>11</v>
      </c>
      <c r="BD108" s="39">
        <v>0.31900000000000001</v>
      </c>
      <c r="BE108" s="39">
        <v>0.311</v>
      </c>
      <c r="BF108" s="40" t="s">
        <v>11</v>
      </c>
      <c r="BG108" s="44">
        <v>0.314</v>
      </c>
      <c r="BH108" s="39">
        <v>0.32200000000000001</v>
      </c>
      <c r="BI108" s="39" t="s">
        <v>11</v>
      </c>
      <c r="BJ108" s="39">
        <v>0.35899999999999999</v>
      </c>
      <c r="BK108" s="40">
        <v>0.30599999999999999</v>
      </c>
      <c r="BL108" s="44" t="s">
        <v>11</v>
      </c>
      <c r="BM108" s="40" t="s">
        <v>11</v>
      </c>
      <c r="BN108" s="168">
        <f t="shared" si="68"/>
        <v>0.31636842105263152</v>
      </c>
      <c r="BO108" s="168">
        <f t="shared" si="69"/>
        <v>0.3</v>
      </c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43</v>
      </c>
      <c r="B109" s="6" t="s">
        <v>17</v>
      </c>
      <c r="C109" s="11" t="s">
        <v>10</v>
      </c>
      <c r="D109" s="35" t="s">
        <v>11</v>
      </c>
      <c r="E109" s="36" t="s">
        <v>11</v>
      </c>
      <c r="F109" s="36">
        <v>0.30299999999999999</v>
      </c>
      <c r="G109" s="36">
        <v>0.31900000000000001</v>
      </c>
      <c r="H109" s="37" t="s">
        <v>11</v>
      </c>
      <c r="I109" s="43">
        <v>0.32200000000000001</v>
      </c>
      <c r="J109" s="36">
        <v>0.315</v>
      </c>
      <c r="K109" s="36" t="s">
        <v>11</v>
      </c>
      <c r="L109" s="36">
        <v>0.31900000000000001</v>
      </c>
      <c r="M109" s="37">
        <v>0.308</v>
      </c>
      <c r="N109" s="43" t="s">
        <v>11</v>
      </c>
      <c r="O109" s="36">
        <v>0.316</v>
      </c>
      <c r="P109" s="36">
        <v>0.31900000000000001</v>
      </c>
      <c r="Q109" s="36" t="s">
        <v>11</v>
      </c>
      <c r="R109" s="37">
        <v>0.32700000000000001</v>
      </c>
      <c r="S109" s="43">
        <v>0.318</v>
      </c>
      <c r="T109" s="36" t="s">
        <v>11</v>
      </c>
      <c r="U109" s="36">
        <v>0.307</v>
      </c>
      <c r="V109" s="36">
        <v>0.32300000000000001</v>
      </c>
      <c r="W109" s="37" t="s">
        <v>11</v>
      </c>
      <c r="X109" s="43">
        <v>0.30199999999999999</v>
      </c>
      <c r="Y109" s="36">
        <v>0.31900000000000001</v>
      </c>
      <c r="Z109" s="36" t="s">
        <v>11</v>
      </c>
      <c r="AA109" s="36">
        <v>0.31</v>
      </c>
      <c r="AB109" s="37">
        <v>0.32600000000000001</v>
      </c>
      <c r="AC109" s="43" t="s">
        <v>11</v>
      </c>
      <c r="AD109" s="36" t="s">
        <v>11</v>
      </c>
      <c r="AE109" s="36">
        <v>0.315</v>
      </c>
      <c r="AF109" s="36">
        <v>0.32700000000000001</v>
      </c>
      <c r="AG109" s="37" t="s">
        <v>11</v>
      </c>
      <c r="AH109" s="43">
        <v>0.32600000000000001</v>
      </c>
      <c r="AI109" s="36">
        <v>0.32300000000000001</v>
      </c>
      <c r="AJ109" s="36" t="s">
        <v>11</v>
      </c>
      <c r="AK109" s="36">
        <v>0.32800000000000001</v>
      </c>
      <c r="AL109" s="37">
        <v>0.32</v>
      </c>
      <c r="AM109" s="43" t="s">
        <v>11</v>
      </c>
      <c r="AN109" s="36" t="s">
        <v>11</v>
      </c>
      <c r="AO109" s="36">
        <v>0.33</v>
      </c>
      <c r="AP109" s="36">
        <v>0.32200000000000001</v>
      </c>
      <c r="AQ109" s="37" t="s">
        <v>11</v>
      </c>
      <c r="AR109" s="43">
        <v>0.32500000000000001</v>
      </c>
      <c r="AS109" s="36">
        <v>0.316</v>
      </c>
      <c r="AT109" s="36" t="s">
        <v>11</v>
      </c>
      <c r="AU109" s="36">
        <v>0.32200000000000001</v>
      </c>
      <c r="AV109" s="37">
        <v>0.317</v>
      </c>
      <c r="AW109" s="43" t="s">
        <v>11</v>
      </c>
      <c r="AX109" s="36">
        <v>0.32200000000000001</v>
      </c>
      <c r="AY109" s="36">
        <v>0.318</v>
      </c>
      <c r="AZ109" s="36" t="s">
        <v>11</v>
      </c>
      <c r="BA109" s="37">
        <v>0.32300000000000001</v>
      </c>
      <c r="BB109" s="43">
        <v>0.33900000000000002</v>
      </c>
      <c r="BC109" s="36" t="s">
        <v>11</v>
      </c>
      <c r="BD109" s="36">
        <v>0.30099999999999999</v>
      </c>
      <c r="BE109" s="36">
        <v>0.315</v>
      </c>
      <c r="BF109" s="37" t="s">
        <v>11</v>
      </c>
      <c r="BG109" s="43">
        <v>0.32200000000000001</v>
      </c>
      <c r="BH109" s="36">
        <v>0.33</v>
      </c>
      <c r="BI109" s="36" t="s">
        <v>11</v>
      </c>
      <c r="BJ109" s="36">
        <v>0.307</v>
      </c>
      <c r="BK109" s="37">
        <v>0.32200000000000001</v>
      </c>
      <c r="BL109" s="43" t="s">
        <v>11</v>
      </c>
      <c r="BM109" s="37" t="s">
        <v>11</v>
      </c>
      <c r="BN109" s="166">
        <f t="shared" ref="BN109:BN111" si="70">IFERROR(AVERAGE(D109:BM111),0)</f>
        <v>0.31666666666666676</v>
      </c>
      <c r="BO109" s="166">
        <f t="shared" ref="BO109:BO111" si="71">MIN(D109:BM111)</f>
        <v>0.29499999999999998</v>
      </c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65">
        <v>8.3000000000000004E-2</v>
      </c>
      <c r="B110" s="7" t="s">
        <v>12</v>
      </c>
      <c r="C110" s="11" t="s">
        <v>8</v>
      </c>
      <c r="D110" s="41" t="s">
        <v>11</v>
      </c>
      <c r="E110" s="22" t="s">
        <v>11</v>
      </c>
      <c r="F110" s="22">
        <v>0.312</v>
      </c>
      <c r="G110" s="22">
        <v>0.31</v>
      </c>
      <c r="H110" s="42" t="s">
        <v>11</v>
      </c>
      <c r="I110" s="45">
        <v>0.32900000000000001</v>
      </c>
      <c r="J110" s="22">
        <v>0.30399999999999999</v>
      </c>
      <c r="K110" s="22" t="s">
        <v>11</v>
      </c>
      <c r="L110" s="22">
        <v>0.317</v>
      </c>
      <c r="M110" s="42">
        <v>0.311</v>
      </c>
      <c r="N110" s="45" t="s">
        <v>11</v>
      </c>
      <c r="O110" s="22">
        <v>0.317</v>
      </c>
      <c r="P110" s="22">
        <v>0.316</v>
      </c>
      <c r="Q110" s="22" t="s">
        <v>11</v>
      </c>
      <c r="R110" s="42">
        <v>0.317</v>
      </c>
      <c r="S110" s="45">
        <v>0.30599999999999999</v>
      </c>
      <c r="T110" s="22" t="s">
        <v>11</v>
      </c>
      <c r="U110" s="22">
        <v>0.30199999999999999</v>
      </c>
      <c r="V110" s="22">
        <v>0.309</v>
      </c>
      <c r="W110" s="42" t="s">
        <v>11</v>
      </c>
      <c r="X110" s="45">
        <v>0.309</v>
      </c>
      <c r="Y110" s="22">
        <v>0.31</v>
      </c>
      <c r="Z110" s="22" t="s">
        <v>11</v>
      </c>
      <c r="AA110" s="22">
        <v>0.31</v>
      </c>
      <c r="AB110" s="42">
        <v>0.32200000000000001</v>
      </c>
      <c r="AC110" s="45" t="s">
        <v>11</v>
      </c>
      <c r="AD110" s="22" t="s">
        <v>11</v>
      </c>
      <c r="AE110" s="22">
        <v>0.315</v>
      </c>
      <c r="AF110" s="22">
        <v>0.318</v>
      </c>
      <c r="AG110" s="42" t="s">
        <v>11</v>
      </c>
      <c r="AH110" s="45">
        <v>0.32100000000000001</v>
      </c>
      <c r="AI110" s="22">
        <v>0.32900000000000001</v>
      </c>
      <c r="AJ110" s="22" t="s">
        <v>11</v>
      </c>
      <c r="AK110" s="22">
        <v>0.316</v>
      </c>
      <c r="AL110" s="42">
        <v>0.316</v>
      </c>
      <c r="AM110" s="45" t="s">
        <v>11</v>
      </c>
      <c r="AN110" s="22" t="s">
        <v>11</v>
      </c>
      <c r="AO110" s="22">
        <v>0.34599999999999997</v>
      </c>
      <c r="AP110" s="22">
        <v>0.32300000000000001</v>
      </c>
      <c r="AQ110" s="42" t="s">
        <v>11</v>
      </c>
      <c r="AR110" s="45">
        <v>0.30499999999999999</v>
      </c>
      <c r="AS110" s="22">
        <v>0.311</v>
      </c>
      <c r="AT110" s="22" t="s">
        <v>11</v>
      </c>
      <c r="AU110" s="22">
        <v>0.32600000000000001</v>
      </c>
      <c r="AV110" s="42">
        <v>0.312</v>
      </c>
      <c r="AW110" s="45" t="s">
        <v>11</v>
      </c>
      <c r="AX110" s="22">
        <v>0.309</v>
      </c>
      <c r="AY110" s="22">
        <v>0.31900000000000001</v>
      </c>
      <c r="AZ110" s="22" t="s">
        <v>11</v>
      </c>
      <c r="BA110" s="42">
        <v>0.314</v>
      </c>
      <c r="BB110" s="45">
        <v>0.311</v>
      </c>
      <c r="BC110" s="22" t="s">
        <v>11</v>
      </c>
      <c r="BD110" s="22">
        <v>0.312</v>
      </c>
      <c r="BE110" s="22">
        <v>0.315</v>
      </c>
      <c r="BF110" s="42" t="s">
        <v>11</v>
      </c>
      <c r="BG110" s="45">
        <v>0.32</v>
      </c>
      <c r="BH110" s="22">
        <v>0.317</v>
      </c>
      <c r="BI110" s="22" t="s">
        <v>11</v>
      </c>
      <c r="BJ110" s="22">
        <v>0.31900000000000001</v>
      </c>
      <c r="BK110" s="42">
        <v>0.318</v>
      </c>
      <c r="BL110" s="45" t="s">
        <v>11</v>
      </c>
      <c r="BM110" s="42" t="s">
        <v>11</v>
      </c>
      <c r="BN110" s="167">
        <f t="shared" si="70"/>
        <v>0.32491729323308272</v>
      </c>
      <c r="BO110" s="167">
        <f t="shared" si="71"/>
        <v>0.29499999999999998</v>
      </c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65"/>
      <c r="B111" s="8" t="s">
        <v>48</v>
      </c>
      <c r="C111" s="12" t="s">
        <v>14</v>
      </c>
      <c r="D111" s="38" t="s">
        <v>11</v>
      </c>
      <c r="E111" s="39" t="s">
        <v>11</v>
      </c>
      <c r="F111" s="39">
        <v>0.313</v>
      </c>
      <c r="G111" s="39">
        <v>0.32</v>
      </c>
      <c r="H111" s="40" t="s">
        <v>11</v>
      </c>
      <c r="I111" s="44">
        <v>0.32800000000000001</v>
      </c>
      <c r="J111" s="39">
        <v>0.30299999999999999</v>
      </c>
      <c r="K111" s="39" t="s">
        <v>11</v>
      </c>
      <c r="L111" s="39">
        <v>0.307</v>
      </c>
      <c r="M111" s="40">
        <v>0.316</v>
      </c>
      <c r="N111" s="44" t="s">
        <v>11</v>
      </c>
      <c r="O111" s="39">
        <v>0.32500000000000001</v>
      </c>
      <c r="P111" s="39">
        <v>0.29899999999999999</v>
      </c>
      <c r="Q111" s="39" t="s">
        <v>11</v>
      </c>
      <c r="R111" s="40">
        <v>0.33</v>
      </c>
      <c r="S111" s="44">
        <v>0.30499999999999999</v>
      </c>
      <c r="T111" s="39" t="s">
        <v>11</v>
      </c>
      <c r="U111" s="39">
        <v>0.313</v>
      </c>
      <c r="V111" s="39">
        <v>0.314</v>
      </c>
      <c r="W111" s="40" t="s">
        <v>11</v>
      </c>
      <c r="X111" s="44">
        <v>0.318</v>
      </c>
      <c r="Y111" s="39">
        <v>0.315</v>
      </c>
      <c r="Z111" s="39" t="s">
        <v>11</v>
      </c>
      <c r="AA111" s="39">
        <v>0.311</v>
      </c>
      <c r="AB111" s="40">
        <v>0.29499999999999998</v>
      </c>
      <c r="AC111" s="44" t="s">
        <v>11</v>
      </c>
      <c r="AD111" s="39" t="s">
        <v>11</v>
      </c>
      <c r="AE111" s="39">
        <v>0.32</v>
      </c>
      <c r="AF111" s="39">
        <v>0.33200000000000002</v>
      </c>
      <c r="AG111" s="40" t="s">
        <v>11</v>
      </c>
      <c r="AH111" s="44">
        <v>0.32400000000000001</v>
      </c>
      <c r="AI111" s="39">
        <v>0.309</v>
      </c>
      <c r="AJ111" s="39" t="s">
        <v>11</v>
      </c>
      <c r="AK111" s="39">
        <v>0.313</v>
      </c>
      <c r="AL111" s="40">
        <v>0.33</v>
      </c>
      <c r="AM111" s="44" t="s">
        <v>11</v>
      </c>
      <c r="AN111" s="39" t="s">
        <v>11</v>
      </c>
      <c r="AO111" s="39">
        <v>0.31900000000000001</v>
      </c>
      <c r="AP111" s="39">
        <v>0.32600000000000001</v>
      </c>
      <c r="AQ111" s="40" t="s">
        <v>11</v>
      </c>
      <c r="AR111" s="44">
        <v>0.33400000000000002</v>
      </c>
      <c r="AS111" s="39">
        <v>0.30499999999999999</v>
      </c>
      <c r="AT111" s="39" t="s">
        <v>11</v>
      </c>
      <c r="AU111" s="39">
        <v>0.32700000000000001</v>
      </c>
      <c r="AV111" s="40">
        <v>0.30499999999999999</v>
      </c>
      <c r="AW111" s="44" t="s">
        <v>11</v>
      </c>
      <c r="AX111" s="39">
        <v>0.30199999999999999</v>
      </c>
      <c r="AY111" s="39">
        <v>0.308</v>
      </c>
      <c r="AZ111" s="39" t="s">
        <v>11</v>
      </c>
      <c r="BA111" s="40">
        <v>0.307</v>
      </c>
      <c r="BB111" s="44">
        <v>0.30499999999999999</v>
      </c>
      <c r="BC111" s="39" t="s">
        <v>11</v>
      </c>
      <c r="BD111" s="39">
        <v>0.30499999999999999</v>
      </c>
      <c r="BE111" s="39">
        <v>0.30399999999999999</v>
      </c>
      <c r="BF111" s="40" t="s">
        <v>11</v>
      </c>
      <c r="BG111" s="44">
        <v>0.33500000000000002</v>
      </c>
      <c r="BH111" s="39">
        <v>0.32500000000000001</v>
      </c>
      <c r="BI111" s="39" t="s">
        <v>11</v>
      </c>
      <c r="BJ111" s="39">
        <v>0.315</v>
      </c>
      <c r="BK111" s="40">
        <v>0.32200000000000001</v>
      </c>
      <c r="BL111" s="44" t="s">
        <v>11</v>
      </c>
      <c r="BM111" s="40" t="s">
        <v>11</v>
      </c>
      <c r="BN111" s="168">
        <f t="shared" si="70"/>
        <v>0.33109210526315785</v>
      </c>
      <c r="BO111" s="168">
        <f t="shared" si="71"/>
        <v>0.29499999999999998</v>
      </c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43</v>
      </c>
      <c r="B112" s="6"/>
      <c r="C112" s="11" t="s">
        <v>10</v>
      </c>
      <c r="D112" s="35">
        <v>0.35699999999999998</v>
      </c>
      <c r="E112" s="36" t="s">
        <v>20</v>
      </c>
      <c r="F112" s="36">
        <v>0.33500000000000002</v>
      </c>
      <c r="G112" s="36">
        <v>0.34200000000000003</v>
      </c>
      <c r="H112" s="37">
        <v>0.33200000000000002</v>
      </c>
      <c r="I112" s="43">
        <v>0.34300000000000003</v>
      </c>
      <c r="J112" s="36">
        <v>0.32100000000000001</v>
      </c>
      <c r="K112" s="36">
        <v>0.34300000000000003</v>
      </c>
      <c r="L112" s="36">
        <v>0.32600000000000001</v>
      </c>
      <c r="M112" s="37">
        <v>0.32900000000000001</v>
      </c>
      <c r="N112" s="43">
        <v>0.34100000000000003</v>
      </c>
      <c r="O112" s="36">
        <v>0.32100000000000001</v>
      </c>
      <c r="P112" s="36">
        <v>0.32500000000000001</v>
      </c>
      <c r="Q112" s="36">
        <v>0.32900000000000001</v>
      </c>
      <c r="R112" s="37">
        <v>0.32300000000000001</v>
      </c>
      <c r="S112" s="43">
        <v>0.32700000000000001</v>
      </c>
      <c r="T112" s="36">
        <v>0.33200000000000002</v>
      </c>
      <c r="U112" s="36">
        <v>0.35199999999999998</v>
      </c>
      <c r="V112" s="36">
        <v>0.35299999999999998</v>
      </c>
      <c r="W112" s="37">
        <v>0.35099999999999998</v>
      </c>
      <c r="X112" s="43">
        <v>0.33500000000000002</v>
      </c>
      <c r="Y112" s="36">
        <v>0.35099999999999998</v>
      </c>
      <c r="Z112" s="36">
        <v>0.33</v>
      </c>
      <c r="AA112" s="36" t="s">
        <v>20</v>
      </c>
      <c r="AB112" s="37" t="s">
        <v>20</v>
      </c>
      <c r="AC112" s="43" t="s">
        <v>20</v>
      </c>
      <c r="AD112" s="36">
        <v>0.32600000000000001</v>
      </c>
      <c r="AE112" s="36" t="s">
        <v>20</v>
      </c>
      <c r="AF112" s="36">
        <v>0.35199999999999998</v>
      </c>
      <c r="AG112" s="37">
        <v>0.32800000000000001</v>
      </c>
      <c r="AH112" s="43">
        <v>0.33300000000000002</v>
      </c>
      <c r="AI112" s="36">
        <v>0.33100000000000002</v>
      </c>
      <c r="AJ112" s="36">
        <v>0.32400000000000001</v>
      </c>
      <c r="AK112" s="36">
        <v>0.33600000000000002</v>
      </c>
      <c r="AL112" s="37">
        <v>0.33200000000000002</v>
      </c>
      <c r="AM112" s="43">
        <v>0.33600000000000002</v>
      </c>
      <c r="AN112" s="36">
        <v>0.32700000000000001</v>
      </c>
      <c r="AO112" s="36">
        <v>0.36</v>
      </c>
      <c r="AP112" s="36">
        <v>0.35499999999999998</v>
      </c>
      <c r="AQ112" s="37">
        <v>0.33300000000000002</v>
      </c>
      <c r="AR112" s="43">
        <v>0.33700000000000002</v>
      </c>
      <c r="AS112" s="36">
        <v>0.317</v>
      </c>
      <c r="AT112" s="36">
        <v>0.36399999999999999</v>
      </c>
      <c r="AU112" s="36">
        <v>0.33</v>
      </c>
      <c r="AV112" s="37">
        <v>0.33100000000000002</v>
      </c>
      <c r="AW112" s="43">
        <v>0.317</v>
      </c>
      <c r="AX112" s="36">
        <v>0.34499999999999997</v>
      </c>
      <c r="AY112" s="36">
        <v>0.33300000000000002</v>
      </c>
      <c r="AZ112" s="36">
        <v>0.32</v>
      </c>
      <c r="BA112" s="37">
        <v>0.34599999999999997</v>
      </c>
      <c r="BB112" s="43">
        <v>0.34699999999999998</v>
      </c>
      <c r="BC112" s="36">
        <v>0.31900000000000001</v>
      </c>
      <c r="BD112" s="36">
        <v>0.34200000000000003</v>
      </c>
      <c r="BE112" s="36">
        <v>0.33100000000000002</v>
      </c>
      <c r="BF112" s="37">
        <v>0.34799999999999998</v>
      </c>
      <c r="BG112" s="43">
        <v>0.33400000000000002</v>
      </c>
      <c r="BH112" s="36">
        <v>0.35499999999999998</v>
      </c>
      <c r="BI112" s="36">
        <v>0.34599999999999997</v>
      </c>
      <c r="BJ112" s="36">
        <v>0.33800000000000002</v>
      </c>
      <c r="BK112" s="37">
        <v>0.35899999999999999</v>
      </c>
      <c r="BL112" s="43">
        <v>0.35299999999999998</v>
      </c>
      <c r="BM112" s="37">
        <v>0.35399999999999998</v>
      </c>
      <c r="BN112" s="166">
        <f t="shared" ref="BN112:BN114" si="72">IFERROR(AVERAGE(D112:BM114),0)</f>
        <v>0.33633720930232569</v>
      </c>
      <c r="BO112" s="166">
        <f t="shared" ref="BO112:BO114" si="73">MIN(D112:BM114)</f>
        <v>0.312</v>
      </c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65">
        <v>8.3000000000000004E-2</v>
      </c>
      <c r="B113" s="7" t="s">
        <v>49</v>
      </c>
      <c r="C113" s="11" t="s">
        <v>8</v>
      </c>
      <c r="D113" s="41">
        <v>0.35399999999999998</v>
      </c>
      <c r="E113" s="22" t="s">
        <v>20</v>
      </c>
      <c r="F113" s="22">
        <v>0.33600000000000002</v>
      </c>
      <c r="G113" s="22">
        <v>0.38700000000000001</v>
      </c>
      <c r="H113" s="42">
        <v>0.33300000000000002</v>
      </c>
      <c r="I113" s="45">
        <v>0.32400000000000001</v>
      </c>
      <c r="J113" s="22">
        <v>0.32100000000000001</v>
      </c>
      <c r="K113" s="22">
        <v>0.32900000000000001</v>
      </c>
      <c r="L113" s="22">
        <v>0.32200000000000001</v>
      </c>
      <c r="M113" s="42">
        <v>0.32500000000000001</v>
      </c>
      <c r="N113" s="45">
        <v>0.34599999999999997</v>
      </c>
      <c r="O113" s="22">
        <v>0.32200000000000001</v>
      </c>
      <c r="P113" s="22">
        <v>0.32800000000000001</v>
      </c>
      <c r="Q113" s="22">
        <v>0.36</v>
      </c>
      <c r="R113" s="42">
        <v>0.32300000000000001</v>
      </c>
      <c r="S113" s="45">
        <v>0.32700000000000001</v>
      </c>
      <c r="T113" s="22">
        <v>0.35599999999999998</v>
      </c>
      <c r="U113" s="22">
        <v>0.32200000000000001</v>
      </c>
      <c r="V113" s="22">
        <v>0.313</v>
      </c>
      <c r="W113" s="42">
        <v>0.33200000000000002</v>
      </c>
      <c r="X113" s="45">
        <v>0.35399999999999998</v>
      </c>
      <c r="Y113" s="22">
        <v>0.33300000000000002</v>
      </c>
      <c r="Z113" s="22">
        <v>0.35199999999999998</v>
      </c>
      <c r="AA113" s="22" t="s">
        <v>20</v>
      </c>
      <c r="AB113" s="42" t="s">
        <v>20</v>
      </c>
      <c r="AC113" s="45">
        <v>0.32500000000000001</v>
      </c>
      <c r="AD113" s="22" t="s">
        <v>20</v>
      </c>
      <c r="AE113" s="22" t="s">
        <v>20</v>
      </c>
      <c r="AF113" s="22">
        <v>0.34799999999999998</v>
      </c>
      <c r="AG113" s="42">
        <v>0.33600000000000002</v>
      </c>
      <c r="AH113" s="45">
        <v>0.32400000000000001</v>
      </c>
      <c r="AI113" s="22">
        <v>0.316</v>
      </c>
      <c r="AJ113" s="22">
        <v>0.33700000000000002</v>
      </c>
      <c r="AK113" s="22">
        <v>0.33100000000000002</v>
      </c>
      <c r="AL113" s="42">
        <v>0.35799999999999998</v>
      </c>
      <c r="AM113" s="45">
        <v>0.35199999999999998</v>
      </c>
      <c r="AN113" s="22">
        <v>0.34699999999999998</v>
      </c>
      <c r="AO113" s="22">
        <v>0.35599999999999998</v>
      </c>
      <c r="AP113" s="22">
        <v>0.34599999999999997</v>
      </c>
      <c r="AQ113" s="42">
        <v>0.318</v>
      </c>
      <c r="AR113" s="45">
        <v>0.33500000000000002</v>
      </c>
      <c r="AS113" s="22">
        <v>0.33300000000000002</v>
      </c>
      <c r="AT113" s="22">
        <v>0.33</v>
      </c>
      <c r="AU113" s="22">
        <v>0.31900000000000001</v>
      </c>
      <c r="AV113" s="42">
        <v>0.34799999999999998</v>
      </c>
      <c r="AW113" s="45">
        <v>0.312</v>
      </c>
      <c r="AX113" s="22">
        <v>0.317</v>
      </c>
      <c r="AY113" s="22">
        <v>0.32100000000000001</v>
      </c>
      <c r="AZ113" s="22">
        <v>0.318</v>
      </c>
      <c r="BA113" s="42">
        <v>0.32400000000000001</v>
      </c>
      <c r="BB113" s="45">
        <v>0.32400000000000001</v>
      </c>
      <c r="BC113" s="22">
        <v>0.34</v>
      </c>
      <c r="BD113" s="22">
        <v>0.32300000000000001</v>
      </c>
      <c r="BE113" s="22">
        <v>0.32200000000000001</v>
      </c>
      <c r="BF113" s="42">
        <v>0.33100000000000002</v>
      </c>
      <c r="BG113" s="45">
        <v>0.34599999999999997</v>
      </c>
      <c r="BH113" s="22">
        <v>0.33200000000000002</v>
      </c>
      <c r="BI113" s="22">
        <v>0.34399999999999997</v>
      </c>
      <c r="BJ113" s="22">
        <v>0.34300000000000003</v>
      </c>
      <c r="BK113" s="42">
        <v>0.33900000000000002</v>
      </c>
      <c r="BL113" s="45">
        <v>0.35199999999999998</v>
      </c>
      <c r="BM113" s="42">
        <v>0.35899999999999999</v>
      </c>
      <c r="BN113" s="167">
        <f t="shared" si="72"/>
        <v>11.252050847457628</v>
      </c>
      <c r="BO113" s="167">
        <f t="shared" si="73"/>
        <v>0.312</v>
      </c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65"/>
      <c r="B114" s="8"/>
      <c r="C114" s="12" t="s">
        <v>14</v>
      </c>
      <c r="D114" s="38">
        <v>0.35499999999999998</v>
      </c>
      <c r="E114" s="39" t="s">
        <v>20</v>
      </c>
      <c r="F114" s="39">
        <v>0.34699999999999998</v>
      </c>
      <c r="G114" s="39">
        <v>0.35</v>
      </c>
      <c r="H114" s="40">
        <v>0.33200000000000002</v>
      </c>
      <c r="I114" s="44">
        <v>0.33900000000000002</v>
      </c>
      <c r="J114" s="39">
        <v>0.34</v>
      </c>
      <c r="K114" s="39">
        <v>0.32900000000000001</v>
      </c>
      <c r="L114" s="39">
        <v>0.33400000000000002</v>
      </c>
      <c r="M114" s="40">
        <v>0.33700000000000002</v>
      </c>
      <c r="N114" s="44">
        <v>0.33100000000000002</v>
      </c>
      <c r="O114" s="39">
        <v>0.33</v>
      </c>
      <c r="P114" s="39">
        <v>0.32200000000000001</v>
      </c>
      <c r="Q114" s="39">
        <v>0.33500000000000002</v>
      </c>
      <c r="R114" s="40">
        <v>0.33200000000000002</v>
      </c>
      <c r="S114" s="44">
        <v>0.32500000000000001</v>
      </c>
      <c r="T114" s="39">
        <v>0.33500000000000002</v>
      </c>
      <c r="U114" s="39">
        <v>0.32300000000000001</v>
      </c>
      <c r="V114" s="39">
        <v>0.33500000000000002</v>
      </c>
      <c r="W114" s="40">
        <v>0.316</v>
      </c>
      <c r="X114" s="44">
        <v>0.33200000000000002</v>
      </c>
      <c r="Y114" s="39">
        <v>0.35299999999999998</v>
      </c>
      <c r="Z114" s="39">
        <v>0.34699999999999998</v>
      </c>
      <c r="AA114" s="39" t="s">
        <v>20</v>
      </c>
      <c r="AB114" s="40" t="s">
        <v>20</v>
      </c>
      <c r="AC114" s="44" t="s">
        <v>20</v>
      </c>
      <c r="AD114" s="39">
        <v>0.33100000000000002</v>
      </c>
      <c r="AE114" s="39">
        <v>0.33400000000000002</v>
      </c>
      <c r="AF114" s="39">
        <v>0.35099999999999998</v>
      </c>
      <c r="AG114" s="40">
        <v>0.33300000000000002</v>
      </c>
      <c r="AH114" s="44">
        <v>0.33800000000000002</v>
      </c>
      <c r="AI114" s="39">
        <v>0.33</v>
      </c>
      <c r="AJ114" s="39">
        <v>0.34100000000000003</v>
      </c>
      <c r="AK114" s="39">
        <v>0.35199999999999998</v>
      </c>
      <c r="AL114" s="40">
        <v>0.33700000000000002</v>
      </c>
      <c r="AM114" s="44">
        <v>0.35199999999999998</v>
      </c>
      <c r="AN114" s="39">
        <v>0.35</v>
      </c>
      <c r="AO114" s="39">
        <v>0.32700000000000001</v>
      </c>
      <c r="AP114" s="39">
        <v>0.32700000000000001</v>
      </c>
      <c r="AQ114" s="40">
        <v>0.32400000000000001</v>
      </c>
      <c r="AR114" s="44">
        <v>0.32500000000000001</v>
      </c>
      <c r="AS114" s="39">
        <v>0.34599999999999997</v>
      </c>
      <c r="AT114" s="39">
        <v>0.32500000000000001</v>
      </c>
      <c r="AU114" s="39">
        <v>0.32400000000000001</v>
      </c>
      <c r="AV114" s="40">
        <v>0.33</v>
      </c>
      <c r="AW114" s="44">
        <v>0.318</v>
      </c>
      <c r="AX114" s="39">
        <v>0.33200000000000002</v>
      </c>
      <c r="AY114" s="39">
        <v>0.32400000000000001</v>
      </c>
      <c r="AZ114" s="39">
        <v>0.33</v>
      </c>
      <c r="BA114" s="40">
        <v>0.32700000000000001</v>
      </c>
      <c r="BB114" s="44">
        <v>0.33900000000000002</v>
      </c>
      <c r="BC114" s="39">
        <v>0.34499999999999997</v>
      </c>
      <c r="BD114" s="39">
        <v>0.317</v>
      </c>
      <c r="BE114" s="39">
        <v>0.32500000000000001</v>
      </c>
      <c r="BF114" s="40">
        <v>0.33600000000000002</v>
      </c>
      <c r="BG114" s="44">
        <v>0.34300000000000003</v>
      </c>
      <c r="BH114" s="39">
        <v>0.34300000000000003</v>
      </c>
      <c r="BI114" s="39">
        <v>0.34899999999999998</v>
      </c>
      <c r="BJ114" s="39">
        <v>0.35899999999999999</v>
      </c>
      <c r="BK114" s="40">
        <v>0.35299999999999998</v>
      </c>
      <c r="BL114" s="44">
        <v>0.35299999999999998</v>
      </c>
      <c r="BM114" s="40">
        <v>0.35899999999999999</v>
      </c>
      <c r="BN114" s="168">
        <f t="shared" si="72"/>
        <v>16.437566666666665</v>
      </c>
      <c r="BO114" s="168">
        <f t="shared" si="73"/>
        <v>0.316</v>
      </c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customHeight="1" x14ac:dyDescent="0.2">
      <c r="A115" s="163" t="s">
        <v>4</v>
      </c>
      <c r="B115" s="164"/>
      <c r="C115" s="18" t="s">
        <v>5</v>
      </c>
      <c r="D115" s="26">
        <v>1</v>
      </c>
      <c r="E115" s="27">
        <v>2</v>
      </c>
      <c r="F115" s="27">
        <v>3</v>
      </c>
      <c r="G115" s="27">
        <v>4</v>
      </c>
      <c r="H115" s="27">
        <v>5</v>
      </c>
      <c r="I115" s="27">
        <v>6</v>
      </c>
      <c r="J115" s="27">
        <v>7</v>
      </c>
      <c r="K115" s="27">
        <v>8</v>
      </c>
      <c r="L115" s="27">
        <v>9</v>
      </c>
      <c r="M115" s="27">
        <v>10</v>
      </c>
      <c r="N115" s="27">
        <v>11</v>
      </c>
      <c r="O115" s="27">
        <v>12</v>
      </c>
      <c r="P115" s="27">
        <v>13</v>
      </c>
      <c r="Q115" s="27">
        <v>14</v>
      </c>
      <c r="R115" s="27">
        <v>15</v>
      </c>
      <c r="S115" s="27">
        <v>16</v>
      </c>
      <c r="T115" s="27">
        <v>17</v>
      </c>
      <c r="U115" s="27">
        <v>18</v>
      </c>
      <c r="V115" s="27">
        <v>19</v>
      </c>
      <c r="W115" s="27">
        <v>20</v>
      </c>
      <c r="X115" s="27">
        <v>21</v>
      </c>
      <c r="Y115" s="27">
        <v>22</v>
      </c>
      <c r="Z115" s="27">
        <v>23</v>
      </c>
      <c r="AA115" s="27">
        <v>24</v>
      </c>
      <c r="AB115" s="27">
        <v>25</v>
      </c>
      <c r="AC115" s="27">
        <v>26</v>
      </c>
      <c r="AD115" s="27">
        <v>27</v>
      </c>
      <c r="AE115" s="27">
        <v>28</v>
      </c>
      <c r="AF115" s="27">
        <v>29</v>
      </c>
      <c r="AG115" s="27">
        <v>30</v>
      </c>
      <c r="AH115" s="27">
        <v>31</v>
      </c>
      <c r="AI115" s="27">
        <v>32</v>
      </c>
      <c r="AJ115" s="27">
        <v>33</v>
      </c>
      <c r="AK115" s="27">
        <v>34</v>
      </c>
      <c r="AL115" s="27">
        <v>35</v>
      </c>
      <c r="AM115" s="27">
        <v>36</v>
      </c>
      <c r="AN115" s="27">
        <v>37</v>
      </c>
      <c r="AO115" s="27">
        <v>38</v>
      </c>
      <c r="AP115" s="27">
        <v>39</v>
      </c>
      <c r="AQ115" s="27">
        <v>40</v>
      </c>
      <c r="AR115" s="27">
        <v>41</v>
      </c>
      <c r="AS115" s="27">
        <v>42</v>
      </c>
      <c r="AT115" s="27">
        <v>43</v>
      </c>
      <c r="AU115" s="27">
        <v>44</v>
      </c>
      <c r="AV115" s="27">
        <v>45</v>
      </c>
      <c r="AW115" s="27">
        <v>46</v>
      </c>
      <c r="AX115" s="27">
        <v>47</v>
      </c>
      <c r="AY115" s="27">
        <v>48</v>
      </c>
      <c r="AZ115" s="27">
        <v>49</v>
      </c>
      <c r="BA115" s="27">
        <v>50</v>
      </c>
      <c r="BB115" s="27">
        <v>51</v>
      </c>
      <c r="BC115" s="27">
        <v>52</v>
      </c>
      <c r="BD115" s="27">
        <v>53</v>
      </c>
      <c r="BE115" s="27">
        <v>54</v>
      </c>
      <c r="BF115" s="27">
        <v>55</v>
      </c>
      <c r="BG115" s="27">
        <v>56</v>
      </c>
      <c r="BH115" s="27">
        <v>57</v>
      </c>
      <c r="BI115" s="27">
        <v>58</v>
      </c>
      <c r="BJ115" s="27">
        <v>59</v>
      </c>
      <c r="BK115" s="27">
        <v>60</v>
      </c>
      <c r="BL115" s="27">
        <v>61</v>
      </c>
      <c r="BM115" s="28">
        <v>62</v>
      </c>
      <c r="BN115" s="29" t="s">
        <v>6</v>
      </c>
      <c r="BO115" s="30" t="s">
        <v>7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customHeight="1" x14ac:dyDescent="0.2">
      <c r="A118" s="9" t="s">
        <v>8</v>
      </c>
      <c r="B118" s="83" t="s">
        <v>50</v>
      </c>
      <c r="C118" s="208" t="s">
        <v>51</v>
      </c>
      <c r="D118" s="209"/>
      <c r="E118" s="209"/>
      <c r="F118" s="209"/>
      <c r="G118" s="209"/>
      <c r="H118" s="209"/>
      <c r="I118" s="209"/>
      <c r="J118" s="209"/>
      <c r="K118" s="209"/>
      <c r="L118" s="209"/>
      <c r="M118" s="210" t="s">
        <v>52</v>
      </c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2">
        <v>2.9689999999999999</v>
      </c>
      <c r="AA118" s="212"/>
      <c r="AB118" s="212"/>
      <c r="AC118" s="212"/>
      <c r="AD118" s="212"/>
      <c r="AE118" s="212"/>
      <c r="AF118" s="213"/>
      <c r="AG118" s="214" t="s">
        <v>53</v>
      </c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6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customHeight="1" x14ac:dyDescent="0.2">
      <c r="A119" s="217" t="s">
        <v>54</v>
      </c>
      <c r="B119" s="84" t="s">
        <v>55</v>
      </c>
      <c r="C119" s="218" t="s">
        <v>56</v>
      </c>
      <c r="D119" s="219"/>
      <c r="E119" s="219"/>
      <c r="F119" s="219"/>
      <c r="G119" s="219"/>
      <c r="H119" s="219"/>
      <c r="I119" s="219"/>
      <c r="J119" s="219"/>
      <c r="K119" s="219"/>
      <c r="L119" s="219"/>
      <c r="M119" s="220" t="s">
        <v>57</v>
      </c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2" t="s">
        <v>58</v>
      </c>
      <c r="AA119" s="222"/>
      <c r="AB119" s="222"/>
      <c r="AC119" s="222"/>
      <c r="AD119" s="222"/>
      <c r="AE119" s="222"/>
      <c r="AF119" s="222"/>
      <c r="AG119" s="223">
        <f>TRUNC(MAX(D4:BM6,D7:BM9,D10:BM12),3)</f>
        <v>0.20399999999999999</v>
      </c>
      <c r="AH119" s="224"/>
      <c r="AI119" s="224"/>
      <c r="AJ119" s="224"/>
      <c r="AK119" s="224"/>
      <c r="AL119" s="225" t="s">
        <v>59</v>
      </c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customHeight="1" x14ac:dyDescent="0.2">
      <c r="A120" s="217"/>
      <c r="B120" s="85" t="s">
        <v>60</v>
      </c>
      <c r="C120" s="228" t="s">
        <v>61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0" t="s">
        <v>62</v>
      </c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30">
        <v>0.18</v>
      </c>
      <c r="AA120" s="230"/>
      <c r="AB120" s="230"/>
      <c r="AC120" s="230"/>
      <c r="AD120" s="230"/>
      <c r="AE120" s="230"/>
      <c r="AF120" s="230"/>
      <c r="AG120" s="231">
        <f>TRUNC(AVERAGE(D4:BM6,D7:BM9,D10:BM12),3)</f>
        <v>0.17599999999999999</v>
      </c>
      <c r="AH120" s="232"/>
      <c r="AI120" s="232"/>
      <c r="AJ120" s="232"/>
      <c r="AK120" s="232"/>
      <c r="AL120" s="233" t="s">
        <v>63</v>
      </c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5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customHeight="1" x14ac:dyDescent="0.2">
      <c r="A121" s="217"/>
      <c r="B121" s="86" t="s">
        <v>64</v>
      </c>
      <c r="C121" s="236" t="s">
        <v>65</v>
      </c>
      <c r="D121" s="237"/>
      <c r="E121" s="237"/>
      <c r="F121" s="237"/>
      <c r="G121" s="237"/>
      <c r="H121" s="237"/>
      <c r="I121" s="237"/>
      <c r="J121" s="237"/>
      <c r="K121" s="237"/>
      <c r="L121" s="237"/>
      <c r="M121" s="220" t="s">
        <v>66</v>
      </c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38">
        <v>9.9000000000000005E-2</v>
      </c>
      <c r="AA121" s="238"/>
      <c r="AB121" s="238"/>
      <c r="AC121" s="238"/>
      <c r="AD121" s="238"/>
      <c r="AE121" s="238"/>
      <c r="AF121" s="238"/>
      <c r="AG121" s="239">
        <f>TRUNC(MIN(D4:BM6,D7:BM9,D10:BM12),3)</f>
        <v>0.159</v>
      </c>
      <c r="AH121" s="232"/>
      <c r="AI121" s="232"/>
      <c r="AJ121" s="232"/>
      <c r="AK121" s="232"/>
      <c r="AL121" s="233" t="s">
        <v>67</v>
      </c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5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customHeight="1" x14ac:dyDescent="0.2">
      <c r="A122" s="217"/>
      <c r="B122" s="87" t="s">
        <v>68</v>
      </c>
      <c r="C122" s="240" t="s">
        <v>69</v>
      </c>
      <c r="D122" s="237"/>
      <c r="E122" s="237"/>
      <c r="F122" s="237"/>
      <c r="G122" s="237"/>
      <c r="H122" s="237"/>
      <c r="I122" s="237"/>
      <c r="J122" s="237"/>
      <c r="K122" s="237"/>
      <c r="L122" s="237"/>
      <c r="M122" s="241" t="s">
        <v>70</v>
      </c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3">
        <v>0.11</v>
      </c>
      <c r="AA122" s="243"/>
      <c r="AB122" s="243"/>
      <c r="AC122" s="243"/>
      <c r="AD122" s="243"/>
      <c r="AE122" s="243"/>
      <c r="AF122" s="243"/>
      <c r="AG122" s="244">
        <f>STDEV(D4:BM6,D7:BM9,D10:BM12)</f>
        <v>6.247698651217339E-3</v>
      </c>
      <c r="AH122" s="245"/>
      <c r="AI122" s="245"/>
      <c r="AJ122" s="245"/>
      <c r="AK122" s="245"/>
      <c r="AL122" s="246" t="s">
        <v>71</v>
      </c>
      <c r="AM122" s="247"/>
      <c r="AN122" s="247"/>
      <c r="AO122" s="247"/>
      <c r="AP122" s="247"/>
      <c r="AQ122" s="247"/>
      <c r="AR122" s="247"/>
      <c r="AS122" s="247"/>
      <c r="AT122" s="247"/>
      <c r="AU122" s="247"/>
      <c r="AV122" s="248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customHeight="1" x14ac:dyDescent="0.2">
      <c r="A123" s="82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customHeight="1" x14ac:dyDescent="0.2">
      <c r="A124" s="9" t="s">
        <v>19</v>
      </c>
      <c r="B124" s="83" t="s">
        <v>72</v>
      </c>
      <c r="C124" s="208" t="s">
        <v>73</v>
      </c>
      <c r="D124" s="209"/>
      <c r="E124" s="209"/>
      <c r="F124" s="209"/>
      <c r="G124" s="209"/>
      <c r="H124" s="209"/>
      <c r="I124" s="209"/>
      <c r="J124" s="209"/>
      <c r="K124" s="209"/>
      <c r="L124" s="209"/>
      <c r="M124" s="210" t="s">
        <v>52</v>
      </c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2">
        <v>3</v>
      </c>
      <c r="AA124" s="212"/>
      <c r="AB124" s="212"/>
      <c r="AC124" s="212"/>
      <c r="AD124" s="212"/>
      <c r="AE124" s="212"/>
      <c r="AF124" s="213"/>
      <c r="AG124" s="214" t="s">
        <v>53</v>
      </c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6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customHeight="1" x14ac:dyDescent="0.2">
      <c r="A125" s="217" t="s">
        <v>54</v>
      </c>
      <c r="B125" s="84" t="s">
        <v>74</v>
      </c>
      <c r="C125" s="218" t="s">
        <v>75</v>
      </c>
      <c r="D125" s="219"/>
      <c r="E125" s="219"/>
      <c r="F125" s="219"/>
      <c r="G125" s="219"/>
      <c r="H125" s="219"/>
      <c r="I125" s="219"/>
      <c r="J125" s="219"/>
      <c r="K125" s="219"/>
      <c r="L125" s="219"/>
      <c r="M125" s="220" t="s">
        <v>57</v>
      </c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2" t="s">
        <v>76</v>
      </c>
      <c r="AA125" s="222"/>
      <c r="AB125" s="222"/>
      <c r="AC125" s="222"/>
      <c r="AD125" s="222"/>
      <c r="AE125" s="222"/>
      <c r="AF125" s="222"/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>0.34200000000000003</v>
      </c>
      <c r="AH125" s="224"/>
      <c r="AI125" s="224"/>
      <c r="AJ125" s="224"/>
      <c r="AK125" s="224"/>
      <c r="AL125" s="225" t="s">
        <v>59</v>
      </c>
      <c r="AM125" s="226"/>
      <c r="AN125" s="226"/>
      <c r="AO125" s="226"/>
      <c r="AP125" s="226"/>
      <c r="AQ125" s="226"/>
      <c r="AR125" s="226"/>
      <c r="AS125" s="226"/>
      <c r="AT125" s="226"/>
      <c r="AU125" s="226"/>
      <c r="AV125" s="22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217"/>
      <c r="B126" s="85" t="s">
        <v>77</v>
      </c>
      <c r="C126" s="228" t="s">
        <v>78</v>
      </c>
      <c r="D126" s="229"/>
      <c r="E126" s="229"/>
      <c r="F126" s="229"/>
      <c r="G126" s="229"/>
      <c r="H126" s="229"/>
      <c r="I126" s="229"/>
      <c r="J126" s="229"/>
      <c r="K126" s="229"/>
      <c r="L126" s="229"/>
      <c r="M126" s="220" t="s">
        <v>62</v>
      </c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30">
        <v>0.20300000000000001</v>
      </c>
      <c r="AA126" s="230"/>
      <c r="AB126" s="230"/>
      <c r="AC126" s="230"/>
      <c r="AD126" s="230"/>
      <c r="AE126" s="230"/>
      <c r="AF126" s="230"/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>0.217</v>
      </c>
      <c r="AH126" s="232"/>
      <c r="AI126" s="232"/>
      <c r="AJ126" s="232"/>
      <c r="AK126" s="232"/>
      <c r="AL126" s="233" t="s">
        <v>63</v>
      </c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5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217"/>
      <c r="B127" s="86" t="s">
        <v>79</v>
      </c>
      <c r="C127" s="236" t="s">
        <v>80</v>
      </c>
      <c r="D127" s="237"/>
      <c r="E127" s="237"/>
      <c r="F127" s="237"/>
      <c r="G127" s="237"/>
      <c r="H127" s="237"/>
      <c r="I127" s="237"/>
      <c r="J127" s="237"/>
      <c r="K127" s="237"/>
      <c r="L127" s="237"/>
      <c r="M127" s="220" t="s">
        <v>66</v>
      </c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38">
        <v>8.3000000000000004E-2</v>
      </c>
      <c r="AA127" s="238"/>
      <c r="AB127" s="238"/>
      <c r="AC127" s="238"/>
      <c r="AD127" s="238"/>
      <c r="AE127" s="238"/>
      <c r="AF127" s="238"/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>0.152</v>
      </c>
      <c r="AH127" s="232"/>
      <c r="AI127" s="232"/>
      <c r="AJ127" s="232"/>
      <c r="AK127" s="232"/>
      <c r="AL127" s="233" t="s">
        <v>67</v>
      </c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5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7"/>
      <c r="B128" s="87" t="s">
        <v>81</v>
      </c>
      <c r="C128" s="240" t="s">
        <v>82</v>
      </c>
      <c r="D128" s="237"/>
      <c r="E128" s="237"/>
      <c r="F128" s="237"/>
      <c r="G128" s="237"/>
      <c r="H128" s="237"/>
      <c r="I128" s="237"/>
      <c r="J128" s="237"/>
      <c r="K128" s="237"/>
      <c r="L128" s="237"/>
      <c r="M128" s="241" t="s">
        <v>70</v>
      </c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3">
        <v>0.1</v>
      </c>
      <c r="AA128" s="243"/>
      <c r="AB128" s="243"/>
      <c r="AC128" s="243"/>
      <c r="AD128" s="243"/>
      <c r="AE128" s="243"/>
      <c r="AF128" s="243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>2.7645163859104479E-2</v>
      </c>
      <c r="AH128" s="245"/>
      <c r="AI128" s="245"/>
      <c r="AJ128" s="245"/>
      <c r="AK128" s="245"/>
      <c r="AL128" s="246" t="s">
        <v>71</v>
      </c>
      <c r="AM128" s="247"/>
      <c r="AN128" s="247"/>
      <c r="AO128" s="247"/>
      <c r="AP128" s="247"/>
      <c r="AQ128" s="247"/>
      <c r="AR128" s="247"/>
      <c r="AS128" s="247"/>
      <c r="AT128" s="247"/>
      <c r="AU128" s="247"/>
      <c r="AV128" s="248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6" customHeight="1" x14ac:dyDescent="0.2">
      <c r="A129" s="1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24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6" customHeight="1" x14ac:dyDescent="0.2">
      <c r="A130" s="9" t="s">
        <v>43</v>
      </c>
      <c r="B130" s="83" t="s">
        <v>72</v>
      </c>
      <c r="C130" s="208" t="s">
        <v>83</v>
      </c>
      <c r="D130" s="209"/>
      <c r="E130" s="209"/>
      <c r="F130" s="209"/>
      <c r="G130" s="209"/>
      <c r="H130" s="209"/>
      <c r="I130" s="209"/>
      <c r="J130" s="209"/>
      <c r="K130" s="209"/>
      <c r="L130" s="209"/>
      <c r="M130" s="210" t="s">
        <v>52</v>
      </c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2">
        <v>3</v>
      </c>
      <c r="AA130" s="212"/>
      <c r="AB130" s="212"/>
      <c r="AC130" s="212"/>
      <c r="AD130" s="212"/>
      <c r="AE130" s="212"/>
      <c r="AF130" s="213"/>
      <c r="AG130" s="214" t="s">
        <v>53</v>
      </c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6"/>
      <c r="AW130" s="192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  <c r="BI130" s="193"/>
      <c r="BJ130" s="193"/>
      <c r="BK130" s="193"/>
      <c r="BL130" s="193"/>
      <c r="BM130" s="193"/>
      <c r="BN130" s="193"/>
      <c r="BO130" s="193"/>
      <c r="BP130" s="193"/>
      <c r="BQ130" s="193"/>
      <c r="BR130" s="184" t="s">
        <v>84</v>
      </c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5"/>
      <c r="CL130" s="175" t="s">
        <v>85</v>
      </c>
      <c r="CM130" s="176"/>
      <c r="CN130" s="176"/>
      <c r="CO130" s="176"/>
      <c r="CP130" s="176"/>
      <c r="CQ130" s="176"/>
      <c r="CR130" s="176"/>
      <c r="CS130" s="176"/>
      <c r="CT130" s="176"/>
      <c r="CU130" s="176"/>
      <c r="CV130" s="176"/>
      <c r="CW130" s="176"/>
      <c r="CX130" s="176"/>
      <c r="CY130" s="176"/>
      <c r="CZ130" s="176"/>
      <c r="DA130" s="176"/>
      <c r="DB130" s="176"/>
      <c r="DC130" s="176"/>
      <c r="DD130" s="176"/>
      <c r="DE130" s="176"/>
      <c r="DF130" s="176"/>
      <c r="DG130" s="176"/>
      <c r="DH130" s="176"/>
      <c r="DI130" s="176"/>
      <c r="DJ130" s="176"/>
      <c r="DK130" s="176"/>
      <c r="DL130" s="176"/>
      <c r="DM130" s="176"/>
      <c r="DN130" s="176"/>
      <c r="DO130" s="176"/>
      <c r="DP130" s="176"/>
      <c r="DQ130" s="176"/>
      <c r="DR130" s="176"/>
      <c r="DS130" s="176"/>
      <c r="DT130" s="176"/>
      <c r="DU130" s="176"/>
      <c r="DV130" s="176"/>
      <c r="DW130" s="176"/>
      <c r="DX130" s="176"/>
      <c r="DY130" s="176"/>
      <c r="DZ130" s="177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6" customHeight="1" x14ac:dyDescent="0.2">
      <c r="A131" s="217" t="s">
        <v>54</v>
      </c>
      <c r="B131" s="84" t="s">
        <v>86</v>
      </c>
      <c r="C131" s="218" t="s">
        <v>87</v>
      </c>
      <c r="D131" s="219"/>
      <c r="E131" s="219"/>
      <c r="F131" s="219"/>
      <c r="G131" s="219"/>
      <c r="H131" s="219"/>
      <c r="I131" s="219"/>
      <c r="J131" s="219"/>
      <c r="K131" s="219"/>
      <c r="L131" s="219"/>
      <c r="M131" s="220" t="s">
        <v>57</v>
      </c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2" t="s">
        <v>88</v>
      </c>
      <c r="AA131" s="222"/>
      <c r="AB131" s="222"/>
      <c r="AC131" s="222"/>
      <c r="AD131" s="222"/>
      <c r="AE131" s="222"/>
      <c r="AF131" s="222"/>
      <c r="AG131" s="223">
        <f>TRUNC(MAX(D91:BM93,D94:BM96,D97:BM99,D100:BM102,D103:BM105,D106:BM108,D109:BM111,D112:BM114),3)</f>
        <v>0.38700000000000001</v>
      </c>
      <c r="AH131" s="224"/>
      <c r="AI131" s="224"/>
      <c r="AJ131" s="224"/>
      <c r="AK131" s="224"/>
      <c r="AL131" s="225" t="s">
        <v>59</v>
      </c>
      <c r="AM131" s="226"/>
      <c r="AN131" s="226"/>
      <c r="AO131" s="226"/>
      <c r="AP131" s="226"/>
      <c r="AQ131" s="226"/>
      <c r="AR131" s="226"/>
      <c r="AS131" s="226"/>
      <c r="AT131" s="226"/>
      <c r="AU131" s="226"/>
      <c r="AV131" s="227"/>
      <c r="AW131" s="194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7"/>
      <c r="CL131" s="178" t="s">
        <v>89</v>
      </c>
      <c r="CM131" s="179"/>
      <c r="CN131" s="179"/>
      <c r="CO131" s="179"/>
      <c r="CP131" s="179"/>
      <c r="CQ131" s="179"/>
      <c r="CR131" s="179"/>
      <c r="CS131" s="179"/>
      <c r="CT131" s="179"/>
      <c r="CU131" s="179"/>
      <c r="CV131" s="179"/>
      <c r="CW131" s="179"/>
      <c r="CX131" s="179"/>
      <c r="CY131" s="179"/>
      <c r="CZ131" s="179"/>
      <c r="DA131" s="179"/>
      <c r="DB131" s="179"/>
      <c r="DC131" s="179"/>
      <c r="DD131" s="179"/>
      <c r="DE131" s="179"/>
      <c r="DF131" s="179"/>
      <c r="DG131" s="179"/>
      <c r="DH131" s="179"/>
      <c r="DI131" s="179"/>
      <c r="DJ131" s="179"/>
      <c r="DK131" s="179"/>
      <c r="DL131" s="179"/>
      <c r="DM131" s="179"/>
      <c r="DN131" s="179"/>
      <c r="DO131" s="179"/>
      <c r="DP131" s="179"/>
      <c r="DQ131" s="179"/>
      <c r="DR131" s="179"/>
      <c r="DS131" s="179"/>
      <c r="DT131" s="179"/>
      <c r="DU131" s="179"/>
      <c r="DV131" s="179"/>
      <c r="DW131" s="179"/>
      <c r="DX131" s="179"/>
      <c r="DY131" s="179"/>
      <c r="DZ131" s="180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ht="36" customHeight="1" x14ac:dyDescent="0.2">
      <c r="A132" s="217"/>
      <c r="B132" s="85" t="s">
        <v>90</v>
      </c>
      <c r="C132" s="228" t="s">
        <v>91</v>
      </c>
      <c r="D132" s="229"/>
      <c r="E132" s="229"/>
      <c r="F132" s="229"/>
      <c r="G132" s="229"/>
      <c r="H132" s="229"/>
      <c r="I132" s="229"/>
      <c r="J132" s="229"/>
      <c r="K132" s="229"/>
      <c r="L132" s="229"/>
      <c r="M132" s="220" t="s">
        <v>62</v>
      </c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30">
        <v>0.3</v>
      </c>
      <c r="AA132" s="230"/>
      <c r="AB132" s="230"/>
      <c r="AC132" s="230"/>
      <c r="AD132" s="230"/>
      <c r="AE132" s="230"/>
      <c r="AF132" s="230"/>
      <c r="AG132" s="231">
        <f>TRUNC(AVERAGE(D91:BM93,D94:BM96,D97:BM99,D100:BM102,D103:BM105,D106:BM108,D109:BM111,D112:BM114),3)</f>
        <v>0.32</v>
      </c>
      <c r="AH132" s="232"/>
      <c r="AI132" s="232"/>
      <c r="AJ132" s="232"/>
      <c r="AK132" s="232"/>
      <c r="AL132" s="233" t="s">
        <v>63</v>
      </c>
      <c r="AM132" s="234"/>
      <c r="AN132" s="234"/>
      <c r="AO132" s="234"/>
      <c r="AP132" s="234"/>
      <c r="AQ132" s="234"/>
      <c r="AR132" s="234"/>
      <c r="AS132" s="234"/>
      <c r="AT132" s="234"/>
      <c r="AU132" s="234"/>
      <c r="AV132" s="235"/>
      <c r="AW132" s="194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7"/>
      <c r="CL132" s="172" t="s">
        <v>92</v>
      </c>
      <c r="CM132" s="173"/>
      <c r="CN132" s="173"/>
      <c r="CO132" s="173"/>
      <c r="CP132" s="173"/>
      <c r="CQ132" s="173"/>
      <c r="CR132" s="173"/>
      <c r="CS132" s="173"/>
      <c r="CT132" s="173"/>
      <c r="CU132" s="173"/>
      <c r="CV132" s="173"/>
      <c r="CW132" s="173"/>
      <c r="CX132" s="173"/>
      <c r="CY132" s="173"/>
      <c r="CZ132" s="173"/>
      <c r="DA132" s="173"/>
      <c r="DB132" s="173"/>
      <c r="DC132" s="173"/>
      <c r="DD132" s="173"/>
      <c r="DE132" s="173"/>
      <c r="DF132" s="173"/>
      <c r="DG132" s="173"/>
      <c r="DH132" s="173"/>
      <c r="DI132" s="173"/>
      <c r="DJ132" s="173"/>
      <c r="DK132" s="173"/>
      <c r="DL132" s="173"/>
      <c r="DM132" s="173"/>
      <c r="DN132" s="173"/>
      <c r="DO132" s="173"/>
      <c r="DP132" s="173"/>
      <c r="DQ132" s="173"/>
      <c r="DR132" s="173"/>
      <c r="DS132" s="173"/>
      <c r="DT132" s="173"/>
      <c r="DU132" s="173"/>
      <c r="DV132" s="173"/>
      <c r="DW132" s="173"/>
      <c r="DX132" s="173"/>
      <c r="DY132" s="173"/>
      <c r="DZ132" s="174"/>
    </row>
    <row r="133" spans="1:182" ht="36" customHeight="1" x14ac:dyDescent="0.2">
      <c r="A133" s="217"/>
      <c r="B133" s="86" t="s">
        <v>93</v>
      </c>
      <c r="C133" s="236" t="s">
        <v>94</v>
      </c>
      <c r="D133" s="237"/>
      <c r="E133" s="237"/>
      <c r="F133" s="237"/>
      <c r="G133" s="237"/>
      <c r="H133" s="237"/>
      <c r="I133" s="237"/>
      <c r="J133" s="237"/>
      <c r="K133" s="237"/>
      <c r="L133" s="237"/>
      <c r="M133" s="220" t="s">
        <v>66</v>
      </c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38">
        <v>8.3000000000000004E-2</v>
      </c>
      <c r="AA133" s="238"/>
      <c r="AB133" s="238"/>
      <c r="AC133" s="238"/>
      <c r="AD133" s="238"/>
      <c r="AE133" s="238"/>
      <c r="AF133" s="238"/>
      <c r="AG133" s="239">
        <f>TRUNC(MIN(D91:BM93,D94:BM96,D97:BM99,D100:BM102,D103:BM105,D106:BM108,D109:BM111,D112:BM114),3)</f>
        <v>0.27700000000000002</v>
      </c>
      <c r="AH133" s="232"/>
      <c r="AI133" s="232"/>
      <c r="AJ133" s="232"/>
      <c r="AK133" s="232"/>
      <c r="AL133" s="233" t="s">
        <v>67</v>
      </c>
      <c r="AM133" s="234"/>
      <c r="AN133" s="234"/>
      <c r="AO133" s="234"/>
      <c r="AP133" s="234"/>
      <c r="AQ133" s="234"/>
      <c r="AR133" s="234"/>
      <c r="AS133" s="234"/>
      <c r="AT133" s="234"/>
      <c r="AU133" s="234"/>
      <c r="AV133" s="235"/>
      <c r="AW133" s="196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9"/>
      <c r="CL133" s="172" t="s">
        <v>95</v>
      </c>
      <c r="CM133" s="173"/>
      <c r="CN133" s="173"/>
      <c r="CO133" s="173"/>
      <c r="CP133" s="173"/>
      <c r="CQ133" s="173"/>
      <c r="CR133" s="173"/>
      <c r="CS133" s="173"/>
      <c r="CT133" s="173"/>
      <c r="CU133" s="173"/>
      <c r="CV133" s="173"/>
      <c r="CW133" s="173"/>
      <c r="CX133" s="173"/>
      <c r="CY133" s="173"/>
      <c r="CZ133" s="173"/>
      <c r="DA133" s="173"/>
      <c r="DB133" s="173"/>
      <c r="DC133" s="173"/>
      <c r="DD133" s="173"/>
      <c r="DE133" s="173"/>
      <c r="DF133" s="173"/>
      <c r="DG133" s="173"/>
      <c r="DH133" s="173"/>
      <c r="DI133" s="173"/>
      <c r="DJ133" s="173"/>
      <c r="DK133" s="173"/>
      <c r="DL133" s="173"/>
      <c r="DM133" s="173"/>
      <c r="DN133" s="173"/>
      <c r="DO133" s="173"/>
      <c r="DP133" s="173"/>
      <c r="DQ133" s="173"/>
      <c r="DR133" s="173"/>
      <c r="DS133" s="173"/>
      <c r="DT133" s="173"/>
      <c r="DU133" s="173"/>
      <c r="DV133" s="173"/>
      <c r="DW133" s="173"/>
      <c r="DX133" s="173"/>
      <c r="DY133" s="173"/>
      <c r="DZ133" s="174"/>
    </row>
    <row r="134" spans="1:182" ht="36" customHeight="1" x14ac:dyDescent="0.2">
      <c r="A134" s="217"/>
      <c r="B134" s="87" t="s">
        <v>96</v>
      </c>
      <c r="C134" s="240" t="s">
        <v>97</v>
      </c>
      <c r="D134" s="237"/>
      <c r="E134" s="237"/>
      <c r="F134" s="237"/>
      <c r="G134" s="237"/>
      <c r="H134" s="237"/>
      <c r="I134" s="237"/>
      <c r="J134" s="237"/>
      <c r="K134" s="237"/>
      <c r="L134" s="237"/>
      <c r="M134" s="241" t="s">
        <v>70</v>
      </c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3">
        <v>0.2</v>
      </c>
      <c r="AA134" s="243"/>
      <c r="AB134" s="243"/>
      <c r="AC134" s="243"/>
      <c r="AD134" s="243"/>
      <c r="AE134" s="243"/>
      <c r="AF134" s="243"/>
      <c r="AG134" s="244">
        <f>STDEV(D91:BM93,D94:BM96,D97:BM99,D100:BM102,D103:BM105,D106:BM108,D109:BM111,D112:BM114)</f>
        <v>1.3634351062846061E-2</v>
      </c>
      <c r="AH134" s="245"/>
      <c r="AI134" s="245"/>
      <c r="AJ134" s="245"/>
      <c r="AK134" s="245"/>
      <c r="AL134" s="246" t="s">
        <v>71</v>
      </c>
      <c r="AM134" s="247"/>
      <c r="AN134" s="247"/>
      <c r="AO134" s="247"/>
      <c r="AP134" s="247"/>
      <c r="AQ134" s="247"/>
      <c r="AR134" s="247"/>
      <c r="AS134" s="247"/>
      <c r="AT134" s="247"/>
      <c r="AU134" s="247"/>
      <c r="AV134" s="248"/>
      <c r="AW134" s="190" t="s">
        <v>98</v>
      </c>
      <c r="AX134" s="190"/>
      <c r="AY134" s="190"/>
      <c r="AZ134" s="190"/>
      <c r="BA134" s="190"/>
      <c r="BB134" s="190"/>
      <c r="BC134" s="190"/>
      <c r="BD134" s="190"/>
      <c r="BE134" s="190"/>
      <c r="BF134" s="190"/>
      <c r="BG134" s="190"/>
      <c r="BH134" s="190"/>
      <c r="BI134" s="190"/>
      <c r="BJ134" s="190"/>
      <c r="BK134" s="190"/>
      <c r="BL134" s="190"/>
      <c r="BM134" s="190"/>
      <c r="BN134" s="190"/>
      <c r="BO134" s="190"/>
      <c r="BP134" s="190"/>
      <c r="BQ134" s="190"/>
      <c r="BR134" s="190"/>
      <c r="BS134" s="190"/>
      <c r="BT134" s="190"/>
      <c r="BU134" s="190"/>
      <c r="BV134" s="190"/>
      <c r="BW134" s="190"/>
      <c r="BX134" s="190"/>
      <c r="BY134" s="190"/>
      <c r="BZ134" s="190"/>
      <c r="CA134" s="190"/>
      <c r="CB134" s="190"/>
      <c r="CC134" s="190"/>
      <c r="CD134" s="190"/>
      <c r="CE134" s="190"/>
      <c r="CF134" s="190"/>
      <c r="CG134" s="190"/>
      <c r="CH134" s="190"/>
      <c r="CI134" s="190"/>
      <c r="CJ134" s="190"/>
      <c r="CK134" s="191"/>
      <c r="CL134" s="181" t="s">
        <v>99</v>
      </c>
      <c r="CM134" s="182"/>
      <c r="CN134" s="182"/>
      <c r="CO134" s="182"/>
      <c r="CP134" s="182"/>
      <c r="CQ134" s="182"/>
      <c r="CR134" s="182"/>
      <c r="CS134" s="182"/>
      <c r="CT134" s="182"/>
      <c r="CU134" s="182"/>
      <c r="CV134" s="182"/>
      <c r="CW134" s="182"/>
      <c r="CX134" s="182"/>
      <c r="CY134" s="182"/>
      <c r="CZ134" s="182"/>
      <c r="DA134" s="182"/>
      <c r="DB134" s="182"/>
      <c r="DC134" s="182"/>
      <c r="DD134" s="182"/>
      <c r="DE134" s="182"/>
      <c r="DF134" s="182"/>
      <c r="DG134" s="182"/>
      <c r="DH134" s="182"/>
      <c r="DI134" s="182"/>
      <c r="DJ134" s="182"/>
      <c r="DK134" s="182"/>
      <c r="DL134" s="182"/>
      <c r="DM134" s="182"/>
      <c r="DN134" s="182"/>
      <c r="DO134" s="182"/>
      <c r="DP134" s="182"/>
      <c r="DQ134" s="182"/>
      <c r="DR134" s="182"/>
      <c r="DS134" s="182"/>
      <c r="DT134" s="182"/>
      <c r="DU134" s="182"/>
      <c r="DV134" s="182"/>
      <c r="DW134" s="182"/>
      <c r="DX134" s="182"/>
      <c r="DY134" s="182"/>
      <c r="DZ134" s="183"/>
    </row>
    <row r="135" spans="1:182" ht="36" customHeight="1" x14ac:dyDescent="0.35">
      <c r="B135" s="16" t="s">
        <v>100</v>
      </c>
    </row>
    <row r="136" spans="1:182" ht="36" customHeight="1" x14ac:dyDescent="0.2"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182" ht="36" customHeight="1" x14ac:dyDescent="0.2"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82" x14ac:dyDescent="0.2"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BJ138" s="3"/>
      <c r="BK138" s="3"/>
      <c r="BL138" s="3"/>
      <c r="BM138" s="3"/>
      <c r="BN138" s="3"/>
      <c r="BO138" s="3"/>
      <c r="BP138" s="3"/>
      <c r="BQ138" s="3"/>
      <c r="BR138" s="184" t="s">
        <v>84</v>
      </c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5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82" x14ac:dyDescent="0.2">
      <c r="BJ139" s="3"/>
      <c r="BK139" s="3"/>
      <c r="BL139" s="3"/>
      <c r="BM139" s="3"/>
      <c r="BN139" s="3"/>
      <c r="BO139" s="3"/>
      <c r="BP139" s="3"/>
      <c r="BQ139" s="3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7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82" x14ac:dyDescent="0.2"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7"/>
    </row>
    <row r="141" spans="1:182" x14ac:dyDescent="0.2"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9"/>
    </row>
    <row r="143" spans="1:182" x14ac:dyDescent="0.2">
      <c r="BR143" s="184" t="s">
        <v>101</v>
      </c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5"/>
    </row>
    <row r="144" spans="1:182" x14ac:dyDescent="0.2"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7"/>
    </row>
    <row r="145" spans="70:89" x14ac:dyDescent="0.2"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7"/>
    </row>
    <row r="146" spans="70:89" x14ac:dyDescent="0.2"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  <c r="CD146" s="188"/>
      <c r="CE146" s="188"/>
      <c r="CF146" s="188"/>
      <c r="CG146" s="188"/>
      <c r="CH146" s="188"/>
      <c r="CI146" s="188"/>
      <c r="CJ146" s="188"/>
      <c r="CK146" s="189"/>
    </row>
    <row r="148" spans="70:89" x14ac:dyDescent="0.2">
      <c r="BR148" s="184" t="s">
        <v>102</v>
      </c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5"/>
    </row>
    <row r="149" spans="70:89" x14ac:dyDescent="0.2"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7"/>
    </row>
    <row r="150" spans="70:89" x14ac:dyDescent="0.2"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7"/>
    </row>
    <row r="151" spans="70:89" x14ac:dyDescent="0.2"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  <c r="CD151" s="188"/>
      <c r="CE151" s="188"/>
      <c r="CF151" s="188"/>
      <c r="CG151" s="188"/>
      <c r="CH151" s="188"/>
      <c r="CI151" s="188"/>
      <c r="CJ151" s="188"/>
      <c r="CK151" s="189"/>
    </row>
  </sheetData>
  <mergeCells count="204">
    <mergeCell ref="M121:Y121"/>
    <mergeCell ref="Z121:AF121"/>
    <mergeCell ref="AG121:AK121"/>
    <mergeCell ref="AL121:AV121"/>
    <mergeCell ref="C122:L122"/>
    <mergeCell ref="M122:Y122"/>
    <mergeCell ref="Z122:AF122"/>
    <mergeCell ref="AG122:AK122"/>
    <mergeCell ref="AL122:AV122"/>
    <mergeCell ref="C118:L118"/>
    <mergeCell ref="M118:Y118"/>
    <mergeCell ref="Z118:AF118"/>
    <mergeCell ref="AG118:AV118"/>
    <mergeCell ref="A119:A122"/>
    <mergeCell ref="C119:L119"/>
    <mergeCell ref="M119:Y119"/>
    <mergeCell ref="Z119:AF119"/>
    <mergeCell ref="AG119:AK119"/>
    <mergeCell ref="AL119:AV119"/>
    <mergeCell ref="C120:L120"/>
    <mergeCell ref="M120:Y120"/>
    <mergeCell ref="Z120:AF120"/>
    <mergeCell ref="AG120:AK120"/>
    <mergeCell ref="AL120:AV120"/>
    <mergeCell ref="C121:L121"/>
    <mergeCell ref="M127:Y127"/>
    <mergeCell ref="Z127:AF127"/>
    <mergeCell ref="AG127:AK127"/>
    <mergeCell ref="AL127:AV127"/>
    <mergeCell ref="C128:L128"/>
    <mergeCell ref="M128:Y128"/>
    <mergeCell ref="Z128:AF128"/>
    <mergeCell ref="AG128:AK128"/>
    <mergeCell ref="AL128:AV128"/>
    <mergeCell ref="C124:L124"/>
    <mergeCell ref="M124:Y124"/>
    <mergeCell ref="Z124:AF124"/>
    <mergeCell ref="AG124:AV124"/>
    <mergeCell ref="A125:A128"/>
    <mergeCell ref="C125:L125"/>
    <mergeCell ref="M125:Y125"/>
    <mergeCell ref="Z125:AF125"/>
    <mergeCell ref="AG125:AK125"/>
    <mergeCell ref="AL125:AV125"/>
    <mergeCell ref="C126:L126"/>
    <mergeCell ref="M126:Y126"/>
    <mergeCell ref="Z126:AF126"/>
    <mergeCell ref="AG126:AK126"/>
    <mergeCell ref="AL126:AV126"/>
    <mergeCell ref="C127:L127"/>
    <mergeCell ref="Z133:AF133"/>
    <mergeCell ref="AG133:AK133"/>
    <mergeCell ref="AL133:AV133"/>
    <mergeCell ref="C134:L134"/>
    <mergeCell ref="M134:Y134"/>
    <mergeCell ref="Z134:AF134"/>
    <mergeCell ref="AG134:AK134"/>
    <mergeCell ref="AL134:AV134"/>
    <mergeCell ref="M130:Y130"/>
    <mergeCell ref="Z130:AF130"/>
    <mergeCell ref="AG130:AV130"/>
    <mergeCell ref="A131:A134"/>
    <mergeCell ref="C131:L131"/>
    <mergeCell ref="M131:Y131"/>
    <mergeCell ref="Z131:AF131"/>
    <mergeCell ref="AG131:AK131"/>
    <mergeCell ref="AL131:AV131"/>
    <mergeCell ref="C132:L132"/>
    <mergeCell ref="M132:Y132"/>
    <mergeCell ref="Z132:AF132"/>
    <mergeCell ref="AG132:AK132"/>
    <mergeCell ref="AL132:AV132"/>
    <mergeCell ref="C133:L133"/>
    <mergeCell ref="M133:Y133"/>
    <mergeCell ref="A23:A24"/>
    <mergeCell ref="BN19:BN21"/>
    <mergeCell ref="BO19:BO21"/>
    <mergeCell ref="A26:A27"/>
    <mergeCell ref="BN22:BN24"/>
    <mergeCell ref="BO22:BO24"/>
    <mergeCell ref="A3:B3"/>
    <mergeCell ref="A5:A6"/>
    <mergeCell ref="A1:B2"/>
    <mergeCell ref="C1:DP1"/>
    <mergeCell ref="C2:DP2"/>
    <mergeCell ref="A29:A30"/>
    <mergeCell ref="BN25:BN27"/>
    <mergeCell ref="BR143:CK146"/>
    <mergeCell ref="BR148:CK151"/>
    <mergeCell ref="AW134:CK134"/>
    <mergeCell ref="AW130:BQ133"/>
    <mergeCell ref="BR138:CK141"/>
    <mergeCell ref="BR130:CK133"/>
    <mergeCell ref="BO25:BO27"/>
    <mergeCell ref="A32:A33"/>
    <mergeCell ref="BN28:BN30"/>
    <mergeCell ref="BO28:BO30"/>
    <mergeCell ref="A41:A42"/>
    <mergeCell ref="BN37:BN39"/>
    <mergeCell ref="BO37:BO39"/>
    <mergeCell ref="C130:L130"/>
    <mergeCell ref="CL134:DZ134"/>
    <mergeCell ref="A8:A9"/>
    <mergeCell ref="BN4:BN6"/>
    <mergeCell ref="BO4:BO6"/>
    <mergeCell ref="A11:A12"/>
    <mergeCell ref="BN7:BN9"/>
    <mergeCell ref="BO7:BO9"/>
    <mergeCell ref="A14:A15"/>
    <mergeCell ref="BN10:BN12"/>
    <mergeCell ref="BO10:BO12"/>
    <mergeCell ref="A17:A18"/>
    <mergeCell ref="BN13:BN15"/>
    <mergeCell ref="BO13:BO15"/>
    <mergeCell ref="A20:A21"/>
    <mergeCell ref="BN16:BN18"/>
    <mergeCell ref="BO16:BO18"/>
    <mergeCell ref="DQ1:DZ1"/>
    <mergeCell ref="DQ2:DZ2"/>
    <mergeCell ref="CL133:DZ133"/>
    <mergeCell ref="CL132:DZ132"/>
    <mergeCell ref="CL130:DZ130"/>
    <mergeCell ref="CL131:DZ131"/>
    <mergeCell ref="BN40:BN42"/>
    <mergeCell ref="BO40:BO42"/>
    <mergeCell ref="A35:A36"/>
    <mergeCell ref="BN31:BN33"/>
    <mergeCell ref="BO31:BO33"/>
    <mergeCell ref="A38:A39"/>
    <mergeCell ref="BN34:BN36"/>
    <mergeCell ref="BO34:BO36"/>
    <mergeCell ref="A47:A48"/>
    <mergeCell ref="BN43:BN45"/>
    <mergeCell ref="BO43:BO45"/>
    <mergeCell ref="A50:A51"/>
    <mergeCell ref="BN46:BN48"/>
    <mergeCell ref="BO46:BO48"/>
    <mergeCell ref="A44:A45"/>
    <mergeCell ref="A53:A54"/>
    <mergeCell ref="BN49:BN51"/>
    <mergeCell ref="BO49:BO51"/>
    <mergeCell ref="A56:A57"/>
    <mergeCell ref="BN52:BN54"/>
    <mergeCell ref="BO52:BO54"/>
    <mergeCell ref="A59:A60"/>
    <mergeCell ref="BN55:BN57"/>
    <mergeCell ref="BO55:BO57"/>
    <mergeCell ref="A62:A63"/>
    <mergeCell ref="BN58:BN60"/>
    <mergeCell ref="BO58:BO60"/>
    <mergeCell ref="A65:A66"/>
    <mergeCell ref="BN61:BN63"/>
    <mergeCell ref="BO61:BO63"/>
    <mergeCell ref="A68:A69"/>
    <mergeCell ref="BN64:BN66"/>
    <mergeCell ref="BO64:BO66"/>
    <mergeCell ref="A71:A72"/>
    <mergeCell ref="BN67:BN69"/>
    <mergeCell ref="BO67:BO69"/>
    <mergeCell ref="A74:A75"/>
    <mergeCell ref="BN70:BN72"/>
    <mergeCell ref="BO70:BO72"/>
    <mergeCell ref="A77:A78"/>
    <mergeCell ref="BN73:BN75"/>
    <mergeCell ref="BO73:BO75"/>
    <mergeCell ref="A80:A81"/>
    <mergeCell ref="BN76:BN78"/>
    <mergeCell ref="BO76:BO78"/>
    <mergeCell ref="A83:A84"/>
    <mergeCell ref="BN79:BN81"/>
    <mergeCell ref="BO79:BO81"/>
    <mergeCell ref="A86:A87"/>
    <mergeCell ref="BN82:BN84"/>
    <mergeCell ref="BO82:BO84"/>
    <mergeCell ref="A89:A90"/>
    <mergeCell ref="BN85:BN87"/>
    <mergeCell ref="BO85:BO87"/>
    <mergeCell ref="A92:A93"/>
    <mergeCell ref="BN88:BN90"/>
    <mergeCell ref="BO88:BO90"/>
    <mergeCell ref="A95:A96"/>
    <mergeCell ref="BN91:BN93"/>
    <mergeCell ref="BO91:BO93"/>
    <mergeCell ref="A98:A99"/>
    <mergeCell ref="BN94:BN96"/>
    <mergeCell ref="BO94:BO96"/>
    <mergeCell ref="A101:A102"/>
    <mergeCell ref="BN97:BN99"/>
    <mergeCell ref="BO97:BO99"/>
    <mergeCell ref="A104:A105"/>
    <mergeCell ref="BN100:BN102"/>
    <mergeCell ref="BO100:BO102"/>
    <mergeCell ref="A107:A108"/>
    <mergeCell ref="BN103:BN105"/>
    <mergeCell ref="BO103:BO105"/>
    <mergeCell ref="A110:A111"/>
    <mergeCell ref="BN106:BN108"/>
    <mergeCell ref="BO106:BO108"/>
    <mergeCell ref="A115:B115"/>
    <mergeCell ref="A113:A114"/>
    <mergeCell ref="BN109:BN111"/>
    <mergeCell ref="BO109:BO111"/>
    <mergeCell ref="BN112:BN114"/>
    <mergeCell ref="BO112:BO114"/>
  </mergeCells>
  <phoneticPr fontId="0" type="noConversion"/>
  <conditionalFormatting sqref="D4:BM12 AG119:AG121">
    <cfRule type="cellIs" dxfId="98" priority="1" operator="between">
      <formula>0.001</formula>
      <formula>0.099</formula>
    </cfRule>
    <cfRule type="cellIs" dxfId="97" priority="2" operator="between">
      <formula>0.1</formula>
      <formula>0.11</formula>
    </cfRule>
    <cfRule type="cellIs" dxfId="96" priority="3" operator="between">
      <formula>0.111</formula>
      <formula>0.12</formula>
    </cfRule>
    <cfRule type="cellIs" dxfId="95" priority="4" operator="between">
      <formula>0.121</formula>
      <formula>0.13</formula>
    </cfRule>
    <cfRule type="cellIs" dxfId="94" priority="5" operator="between">
      <formula>0.131</formula>
      <formula>0.14</formula>
    </cfRule>
    <cfRule type="cellIs" dxfId="93" priority="6" operator="between">
      <formula>0.141</formula>
      <formula>0.15</formula>
    </cfRule>
    <cfRule type="cellIs" dxfId="92" priority="7" operator="between">
      <formula>0.151</formula>
      <formula>0.16</formula>
    </cfRule>
    <cfRule type="cellIs" dxfId="91" priority="8" operator="between">
      <formula>0.161</formula>
      <formula>0.17</formula>
    </cfRule>
    <cfRule type="cellIs" dxfId="90" priority="9" operator="between">
      <formula>0.171</formula>
      <formula>0.18</formula>
    </cfRule>
    <cfRule type="cellIs" dxfId="89" priority="10" operator="between">
      <formula>0.181</formula>
      <formula>0.999</formula>
    </cfRule>
  </conditionalFormatting>
  <conditionalFormatting sqref="D4:BM114 AG119:AG121">
    <cfRule type="containsText" dxfId="88" priority="50" operator="containsText" text="">
      <formula>NOT(ISERROR(SEARCH("",D4)))</formula>
    </cfRule>
  </conditionalFormatting>
  <conditionalFormatting sqref="D13:BM90 AG125:AG127">
    <cfRule type="cellIs" dxfId="87" priority="12" operator="between">
      <formula>0.084</formula>
      <formula>0.093</formula>
    </cfRule>
    <cfRule type="cellIs" dxfId="86" priority="13" operator="between">
      <formula>0.094</formula>
      <formula>0.103</formula>
    </cfRule>
    <cfRule type="cellIs" dxfId="85" priority="14" operator="between">
      <formula>0.104</formula>
      <formula>0.113</formula>
    </cfRule>
    <cfRule type="cellIs" dxfId="84" priority="15" operator="between">
      <formula>0.114</formula>
      <formula>0.123</formula>
    </cfRule>
    <cfRule type="cellIs" dxfId="83" priority="16" operator="between">
      <formula>0.124</formula>
      <formula>0.133</formula>
    </cfRule>
    <cfRule type="cellIs" dxfId="82" priority="17" operator="between">
      <formula>0.134</formula>
      <formula>0.143</formula>
    </cfRule>
    <cfRule type="cellIs" dxfId="81" priority="18" operator="between">
      <formula>0.144</formula>
      <formula>0.153</formula>
    </cfRule>
    <cfRule type="cellIs" dxfId="80" priority="19" operator="between">
      <formula>0.154</formula>
      <formula>0.163</formula>
    </cfRule>
    <cfRule type="cellIs" dxfId="79" priority="20" operator="between">
      <formula>0.164</formula>
      <formula>0.999</formula>
    </cfRule>
  </conditionalFormatting>
  <conditionalFormatting sqref="D13:BM114 AG125:AG127">
    <cfRule type="cellIs" dxfId="78" priority="11" operator="between">
      <formula>0.001</formula>
      <formula>0.083</formula>
    </cfRule>
  </conditionalFormatting>
  <conditionalFormatting sqref="D91:BM114 AG131:AG133">
    <cfRule type="cellIs" dxfId="77" priority="23" operator="between">
      <formula>0.11</formula>
      <formula>0.119</formula>
    </cfRule>
    <cfRule type="cellIs" dxfId="76" priority="24" operator="between">
      <formula>0.12</formula>
      <formula>0.129</formula>
    </cfRule>
    <cfRule type="cellIs" dxfId="75" priority="25" operator="between">
      <formula>0.13</formula>
      <formula>0.139</formula>
    </cfRule>
    <cfRule type="cellIs" dxfId="74" priority="26" operator="between">
      <formula>0.14</formula>
      <formula>0.149</formula>
    </cfRule>
    <cfRule type="cellIs" dxfId="73" priority="27" operator="between">
      <formula>0.15</formula>
      <formula>0.159</formula>
    </cfRule>
    <cfRule type="cellIs" dxfId="72" priority="28" operator="between">
      <formula>0.16</formula>
      <formula>0.169</formula>
    </cfRule>
    <cfRule type="cellIs" dxfId="71" priority="29" operator="between">
      <formula>0.17</formula>
      <formula>0.179</formula>
    </cfRule>
    <cfRule type="cellIs" dxfId="70" priority="30" operator="between">
      <formula>0.18</formula>
      <formula>0.999</formula>
    </cfRule>
  </conditionalFormatting>
  <conditionalFormatting sqref="AG125:AG127">
    <cfRule type="containsText" dxfId="69" priority="61" operator="containsText" text="">
      <formula>NOT(ISERROR(SEARCH("",AG125)))</formula>
    </cfRule>
  </conditionalFormatting>
  <conditionalFormatting sqref="AG131:AG133 D91:BM114">
    <cfRule type="cellIs" dxfId="68" priority="22" operator="between">
      <formula>0.1</formula>
      <formula>0.109</formula>
    </cfRule>
  </conditionalFormatting>
  <conditionalFormatting sqref="AG131:AG133">
    <cfRule type="cellIs" dxfId="67" priority="21" operator="between">
      <formula>0.001</formula>
      <formula>0.083</formula>
    </cfRule>
    <cfRule type="containsText" dxfId="66" priority="72" operator="containsText" text="">
      <formula>NOT(ISERROR(SEARCH("",AG131)))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51"/>
  <sheetViews>
    <sheetView topLeftCell="A107" zoomScale="50" zoomScaleNormal="50" workbookViewId="0">
      <selection activeCell="CA120" sqref="CA120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64">
        <f>Thickness!A1</f>
        <v>2025</v>
      </c>
      <c r="B1" s="265"/>
      <c r="C1" s="268" t="str">
        <f>IF(ISBLANK(Thickness!C1),"",(Thickness!C1))</f>
        <v xml:space="preserve">RF - REFRACTORY; RT - RECESSED TUBE; </v>
      </c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/>
      <c r="CO1" s="269"/>
      <c r="CP1" s="269"/>
      <c r="CQ1" s="269"/>
      <c r="CR1" s="269"/>
      <c r="CS1" s="269"/>
      <c r="CT1" s="269"/>
      <c r="CU1" s="269"/>
      <c r="CV1" s="26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70"/>
      <c r="DQ1" s="169" t="s">
        <v>1</v>
      </c>
      <c r="DR1" s="170"/>
      <c r="DS1" s="170"/>
      <c r="DT1" s="170"/>
      <c r="DU1" s="170"/>
      <c r="DV1" s="170"/>
      <c r="DW1" s="170"/>
      <c r="DX1" s="170"/>
      <c r="DY1" s="170"/>
      <c r="DZ1" s="171"/>
    </row>
    <row r="2" spans="1:182" s="5" customFormat="1" ht="36" customHeight="1" x14ac:dyDescent="0.2">
      <c r="A2" s="266"/>
      <c r="B2" s="267"/>
      <c r="C2" s="205" t="s">
        <v>103</v>
      </c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7"/>
      <c r="DQ2" s="169" t="s">
        <v>3</v>
      </c>
      <c r="DR2" s="170"/>
      <c r="DS2" s="170"/>
      <c r="DT2" s="170"/>
      <c r="DU2" s="170"/>
      <c r="DV2" s="170"/>
      <c r="DW2" s="170"/>
      <c r="DX2" s="170"/>
      <c r="DY2" s="170"/>
      <c r="DZ2" s="171"/>
      <c r="EA2" s="4"/>
    </row>
    <row r="3" spans="1:182" s="5" customFormat="1" ht="36" customHeight="1" x14ac:dyDescent="0.2">
      <c r="A3" s="163" t="s">
        <v>4</v>
      </c>
      <c r="B3" s="164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8">
        <v>62</v>
      </c>
      <c r="BN3" s="29" t="s">
        <v>6</v>
      </c>
      <c r="BO3" s="30" t="s">
        <v>104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35" t="s">
        <v>105</v>
      </c>
      <c r="E4" s="36" t="s">
        <v>105</v>
      </c>
      <c r="F4" s="36" t="s">
        <v>105</v>
      </c>
      <c r="G4" s="36" t="s">
        <v>105</v>
      </c>
      <c r="H4" s="37" t="s">
        <v>105</v>
      </c>
      <c r="I4" s="43" t="s">
        <v>105</v>
      </c>
      <c r="J4" s="36" t="s">
        <v>105</v>
      </c>
      <c r="K4" s="36" t="s">
        <v>105</v>
      </c>
      <c r="L4" s="104">
        <v>2.5499999999999998</v>
      </c>
      <c r="M4" s="105">
        <v>8.5299999999999994</v>
      </c>
      <c r="N4" s="43" t="s">
        <v>105</v>
      </c>
      <c r="O4" s="36" t="s">
        <v>105</v>
      </c>
      <c r="P4" s="36" t="s">
        <v>105</v>
      </c>
      <c r="Q4" s="36" t="s">
        <v>105</v>
      </c>
      <c r="R4" s="37" t="s">
        <v>105</v>
      </c>
      <c r="S4" s="43" t="s">
        <v>105</v>
      </c>
      <c r="T4" s="36" t="s">
        <v>105</v>
      </c>
      <c r="U4" s="36" t="s">
        <v>105</v>
      </c>
      <c r="V4" s="36" t="s">
        <v>105</v>
      </c>
      <c r="W4" s="37" t="s">
        <v>105</v>
      </c>
      <c r="X4" s="43" t="s">
        <v>105</v>
      </c>
      <c r="Y4" s="36" t="s">
        <v>105</v>
      </c>
      <c r="Z4" s="36" t="s">
        <v>105</v>
      </c>
      <c r="AA4" s="36" t="s">
        <v>105</v>
      </c>
      <c r="AB4" s="37" t="s">
        <v>105</v>
      </c>
      <c r="AC4" s="43" t="s">
        <v>105</v>
      </c>
      <c r="AD4" s="36" t="s">
        <v>105</v>
      </c>
      <c r="AE4" s="36" t="s">
        <v>105</v>
      </c>
      <c r="AF4" s="36" t="s">
        <v>105</v>
      </c>
      <c r="AG4" s="37" t="s">
        <v>105</v>
      </c>
      <c r="AH4" s="43" t="s">
        <v>105</v>
      </c>
      <c r="AI4" s="36" t="s">
        <v>105</v>
      </c>
      <c r="AJ4" s="46">
        <v>9.56</v>
      </c>
      <c r="AK4" s="104">
        <v>1.71</v>
      </c>
      <c r="AL4" s="37" t="s">
        <v>105</v>
      </c>
      <c r="AM4" s="43" t="s">
        <v>105</v>
      </c>
      <c r="AN4" s="36" t="s">
        <v>105</v>
      </c>
      <c r="AO4" s="36" t="s">
        <v>105</v>
      </c>
      <c r="AP4" s="36" t="s">
        <v>105</v>
      </c>
      <c r="AQ4" s="37" t="s">
        <v>105</v>
      </c>
      <c r="AR4" s="43" t="s">
        <v>105</v>
      </c>
      <c r="AS4" s="36" t="s">
        <v>105</v>
      </c>
      <c r="AT4" s="36" t="s">
        <v>105</v>
      </c>
      <c r="AU4" s="36" t="s">
        <v>105</v>
      </c>
      <c r="AV4" s="37" t="s">
        <v>105</v>
      </c>
      <c r="AW4" s="43" t="s">
        <v>105</v>
      </c>
      <c r="AX4" s="36" t="s">
        <v>105</v>
      </c>
      <c r="AY4" s="36" t="s">
        <v>105</v>
      </c>
      <c r="AZ4" s="36" t="s">
        <v>105</v>
      </c>
      <c r="BA4" s="37" t="s">
        <v>105</v>
      </c>
      <c r="BB4" s="43">
        <v>0.88800000000000001</v>
      </c>
      <c r="BC4" s="36" t="s">
        <v>105</v>
      </c>
      <c r="BD4" s="36" t="s">
        <v>105</v>
      </c>
      <c r="BE4" s="104">
        <v>2.08</v>
      </c>
      <c r="BF4" s="105">
        <v>8.5299999999999994</v>
      </c>
      <c r="BG4" s="43" t="s">
        <v>105</v>
      </c>
      <c r="BH4" s="36" t="s">
        <v>105</v>
      </c>
      <c r="BI4" s="36" t="s">
        <v>105</v>
      </c>
      <c r="BJ4" s="36" t="s">
        <v>105</v>
      </c>
      <c r="BK4" s="37" t="s">
        <v>105</v>
      </c>
      <c r="BL4" s="43" t="s">
        <v>105</v>
      </c>
      <c r="BM4" s="37" t="s">
        <v>105</v>
      </c>
      <c r="BN4" s="166">
        <f t="shared" ref="BN4:BN6" si="0">IFERROR(AVERAGE(D4:BM6),0)</f>
        <v>5.0733684210526313</v>
      </c>
      <c r="BO4" s="166">
        <f t="shared" ref="BO4:BO35" si="1">MAX(D4:BM6)</f>
        <v>13.3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65" t="s">
        <v>11</v>
      </c>
      <c r="B5" s="7" t="s">
        <v>12</v>
      </c>
      <c r="C5" s="11" t="s">
        <v>8</v>
      </c>
      <c r="D5" s="41" t="s">
        <v>105</v>
      </c>
      <c r="E5" s="22" t="s">
        <v>105</v>
      </c>
      <c r="F5" s="22" t="s">
        <v>105</v>
      </c>
      <c r="G5" s="22" t="s">
        <v>105</v>
      </c>
      <c r="H5" s="42" t="s">
        <v>105</v>
      </c>
      <c r="I5" s="45" t="s">
        <v>105</v>
      </c>
      <c r="J5" s="22" t="s">
        <v>105</v>
      </c>
      <c r="K5" s="22" t="s">
        <v>105</v>
      </c>
      <c r="L5" s="22">
        <v>0.17799999999999999</v>
      </c>
      <c r="M5" s="42">
        <v>0.94799999999999995</v>
      </c>
      <c r="N5" s="45" t="s">
        <v>105</v>
      </c>
      <c r="O5" s="22" t="s">
        <v>105</v>
      </c>
      <c r="P5" s="22" t="s">
        <v>105</v>
      </c>
      <c r="Q5" s="22" t="s">
        <v>105</v>
      </c>
      <c r="R5" s="42" t="s">
        <v>105</v>
      </c>
      <c r="S5" s="45" t="s">
        <v>105</v>
      </c>
      <c r="T5" s="22" t="s">
        <v>105</v>
      </c>
      <c r="U5" s="22" t="s">
        <v>105</v>
      </c>
      <c r="V5" s="22" t="s">
        <v>105</v>
      </c>
      <c r="W5" s="42" t="s">
        <v>105</v>
      </c>
      <c r="X5" s="45" t="s">
        <v>105</v>
      </c>
      <c r="Y5" s="22" t="s">
        <v>105</v>
      </c>
      <c r="Z5" s="22" t="s">
        <v>105</v>
      </c>
      <c r="AA5" s="22" t="s">
        <v>105</v>
      </c>
      <c r="AB5" s="42" t="s">
        <v>105</v>
      </c>
      <c r="AC5" s="45" t="s">
        <v>105</v>
      </c>
      <c r="AD5" s="22" t="s">
        <v>105</v>
      </c>
      <c r="AE5" s="22" t="s">
        <v>105</v>
      </c>
      <c r="AF5" s="22" t="s">
        <v>105</v>
      </c>
      <c r="AG5" s="106">
        <v>11.7</v>
      </c>
      <c r="AH5" s="45">
        <v>0.41299999999999998</v>
      </c>
      <c r="AI5" s="22">
        <v>0.29699999999999999</v>
      </c>
      <c r="AJ5" s="107">
        <v>11.9</v>
      </c>
      <c r="AK5" s="22" t="s">
        <v>105</v>
      </c>
      <c r="AL5" s="42" t="s">
        <v>105</v>
      </c>
      <c r="AM5" s="45" t="s">
        <v>105</v>
      </c>
      <c r="AN5" s="22" t="s">
        <v>105</v>
      </c>
      <c r="AO5" s="22" t="s">
        <v>105</v>
      </c>
      <c r="AP5" s="22" t="s">
        <v>105</v>
      </c>
      <c r="AQ5" s="42" t="s">
        <v>105</v>
      </c>
      <c r="AR5" s="45" t="s">
        <v>105</v>
      </c>
      <c r="AS5" s="22" t="s">
        <v>105</v>
      </c>
      <c r="AT5" s="22" t="s">
        <v>105</v>
      </c>
      <c r="AU5" s="22" t="s">
        <v>105</v>
      </c>
      <c r="AV5" s="42" t="s">
        <v>105</v>
      </c>
      <c r="AW5" s="45" t="s">
        <v>105</v>
      </c>
      <c r="AX5" s="22" t="s">
        <v>105</v>
      </c>
      <c r="AY5" s="22" t="s">
        <v>105</v>
      </c>
      <c r="AZ5" s="22" t="s">
        <v>105</v>
      </c>
      <c r="BA5" s="42" t="s">
        <v>105</v>
      </c>
      <c r="BB5" s="45" t="s">
        <v>105</v>
      </c>
      <c r="BC5" s="22" t="s">
        <v>105</v>
      </c>
      <c r="BD5" s="22" t="s">
        <v>105</v>
      </c>
      <c r="BE5" s="22">
        <v>0.03</v>
      </c>
      <c r="BF5" s="42" t="s">
        <v>105</v>
      </c>
      <c r="BG5" s="45" t="s">
        <v>105</v>
      </c>
      <c r="BH5" s="22" t="s">
        <v>105</v>
      </c>
      <c r="BI5" s="22" t="s">
        <v>105</v>
      </c>
      <c r="BJ5" s="22" t="s">
        <v>105</v>
      </c>
      <c r="BK5" s="42" t="s">
        <v>105</v>
      </c>
      <c r="BL5" s="45" t="s">
        <v>105</v>
      </c>
      <c r="BM5" s="42" t="s">
        <v>105</v>
      </c>
      <c r="BN5" s="167">
        <f t="shared" si="0"/>
        <v>4.0742500000000001</v>
      </c>
      <c r="BO5" s="167">
        <f t="shared" si="1"/>
        <v>13.3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65"/>
      <c r="B6" s="8" t="s">
        <v>13</v>
      </c>
      <c r="C6" s="12" t="s">
        <v>14</v>
      </c>
      <c r="D6" s="38" t="s">
        <v>105</v>
      </c>
      <c r="E6" s="39" t="s">
        <v>105</v>
      </c>
      <c r="F6" s="39" t="s">
        <v>105</v>
      </c>
      <c r="G6" s="39" t="s">
        <v>105</v>
      </c>
      <c r="H6" s="40" t="s">
        <v>105</v>
      </c>
      <c r="I6" s="44" t="s">
        <v>105</v>
      </c>
      <c r="J6" s="39" t="s">
        <v>105</v>
      </c>
      <c r="K6" s="39" t="s">
        <v>105</v>
      </c>
      <c r="L6" s="39" t="s">
        <v>105</v>
      </c>
      <c r="M6" s="108">
        <v>12.3</v>
      </c>
      <c r="N6" s="44" t="s">
        <v>105</v>
      </c>
      <c r="O6" s="39" t="s">
        <v>105</v>
      </c>
      <c r="P6" s="39" t="s">
        <v>105</v>
      </c>
      <c r="Q6" s="39" t="s">
        <v>105</v>
      </c>
      <c r="R6" s="40" t="s">
        <v>105</v>
      </c>
      <c r="S6" s="44" t="s">
        <v>105</v>
      </c>
      <c r="T6" s="39" t="s">
        <v>105</v>
      </c>
      <c r="U6" s="39" t="s">
        <v>105</v>
      </c>
      <c r="V6" s="39" t="s">
        <v>105</v>
      </c>
      <c r="W6" s="40" t="s">
        <v>105</v>
      </c>
      <c r="X6" s="44" t="s">
        <v>105</v>
      </c>
      <c r="Y6" s="39" t="s">
        <v>105</v>
      </c>
      <c r="Z6" s="39" t="s">
        <v>105</v>
      </c>
      <c r="AA6" s="39" t="s">
        <v>105</v>
      </c>
      <c r="AB6" s="40" t="s">
        <v>105</v>
      </c>
      <c r="AC6" s="44" t="s">
        <v>105</v>
      </c>
      <c r="AD6" s="39" t="s">
        <v>105</v>
      </c>
      <c r="AE6" s="39" t="s">
        <v>105</v>
      </c>
      <c r="AF6" s="39" t="s">
        <v>105</v>
      </c>
      <c r="AG6" s="108">
        <v>13.3</v>
      </c>
      <c r="AH6" s="109">
        <v>1.1299999999999999</v>
      </c>
      <c r="AI6" s="39" t="s">
        <v>105</v>
      </c>
      <c r="AJ6" s="47">
        <v>9.2799999999999994</v>
      </c>
      <c r="AK6" s="39" t="s">
        <v>105</v>
      </c>
      <c r="AL6" s="40" t="s">
        <v>105</v>
      </c>
      <c r="AM6" s="44" t="s">
        <v>105</v>
      </c>
      <c r="AN6" s="39" t="s">
        <v>105</v>
      </c>
      <c r="AO6" s="39" t="s">
        <v>105</v>
      </c>
      <c r="AP6" s="39" t="s">
        <v>105</v>
      </c>
      <c r="AQ6" s="40" t="s">
        <v>105</v>
      </c>
      <c r="AR6" s="44" t="s">
        <v>105</v>
      </c>
      <c r="AS6" s="39" t="s">
        <v>105</v>
      </c>
      <c r="AT6" s="39" t="s">
        <v>105</v>
      </c>
      <c r="AU6" s="39" t="s">
        <v>105</v>
      </c>
      <c r="AV6" s="40" t="s">
        <v>105</v>
      </c>
      <c r="AW6" s="44" t="s">
        <v>105</v>
      </c>
      <c r="AX6" s="39" t="s">
        <v>105</v>
      </c>
      <c r="AY6" s="39" t="s">
        <v>105</v>
      </c>
      <c r="AZ6" s="39" t="s">
        <v>105</v>
      </c>
      <c r="BA6" s="40" t="s">
        <v>105</v>
      </c>
      <c r="BB6" s="44" t="s">
        <v>105</v>
      </c>
      <c r="BC6" s="39" t="s">
        <v>105</v>
      </c>
      <c r="BD6" s="39" t="s">
        <v>105</v>
      </c>
      <c r="BE6" s="47">
        <v>1.07</v>
      </c>
      <c r="BF6" s="40" t="s">
        <v>105</v>
      </c>
      <c r="BG6" s="44" t="s">
        <v>105</v>
      </c>
      <c r="BH6" s="39" t="s">
        <v>105</v>
      </c>
      <c r="BI6" s="39" t="s">
        <v>105</v>
      </c>
      <c r="BJ6" s="39" t="s">
        <v>105</v>
      </c>
      <c r="BK6" s="40" t="s">
        <v>105</v>
      </c>
      <c r="BL6" s="44" t="s">
        <v>105</v>
      </c>
      <c r="BM6" s="40" t="s">
        <v>105</v>
      </c>
      <c r="BN6" s="168">
        <f t="shared" si="0"/>
        <v>3.5199166666666657</v>
      </c>
      <c r="BO6" s="168">
        <f t="shared" si="1"/>
        <v>13.3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15</v>
      </c>
      <c r="C7" s="11" t="s">
        <v>10</v>
      </c>
      <c r="D7" s="35" t="s">
        <v>105</v>
      </c>
      <c r="E7" s="36" t="s">
        <v>105</v>
      </c>
      <c r="F7" s="36" t="s">
        <v>105</v>
      </c>
      <c r="G7" s="36" t="s">
        <v>105</v>
      </c>
      <c r="H7" s="37" t="s">
        <v>105</v>
      </c>
      <c r="I7" s="43">
        <v>5.8999999999999997E-2</v>
      </c>
      <c r="J7" s="36" t="s">
        <v>105</v>
      </c>
      <c r="K7" s="36" t="s">
        <v>105</v>
      </c>
      <c r="L7" s="36" t="s">
        <v>105</v>
      </c>
      <c r="M7" s="37" t="s">
        <v>105</v>
      </c>
      <c r="N7" s="43">
        <v>0.76800000000000002</v>
      </c>
      <c r="O7" s="36" t="s">
        <v>105</v>
      </c>
      <c r="P7" s="36" t="s">
        <v>105</v>
      </c>
      <c r="Q7" s="36" t="s">
        <v>105</v>
      </c>
      <c r="R7" s="37" t="s">
        <v>105</v>
      </c>
      <c r="S7" s="43" t="s">
        <v>105</v>
      </c>
      <c r="T7" s="36" t="s">
        <v>105</v>
      </c>
      <c r="U7" s="36" t="s">
        <v>105</v>
      </c>
      <c r="V7" s="36" t="s">
        <v>105</v>
      </c>
      <c r="W7" s="37" t="s">
        <v>105</v>
      </c>
      <c r="X7" s="43" t="s">
        <v>105</v>
      </c>
      <c r="Y7" s="36" t="s">
        <v>105</v>
      </c>
      <c r="Z7" s="36" t="s">
        <v>105</v>
      </c>
      <c r="AA7" s="36" t="s">
        <v>105</v>
      </c>
      <c r="AB7" s="37" t="s">
        <v>105</v>
      </c>
      <c r="AC7" s="43" t="s">
        <v>105</v>
      </c>
      <c r="AD7" s="36" t="s">
        <v>105</v>
      </c>
      <c r="AE7" s="36" t="s">
        <v>105</v>
      </c>
      <c r="AF7" s="36" t="s">
        <v>105</v>
      </c>
      <c r="AG7" s="37" t="s">
        <v>105</v>
      </c>
      <c r="AH7" s="43" t="s">
        <v>105</v>
      </c>
      <c r="AI7" s="36" t="s">
        <v>105</v>
      </c>
      <c r="AJ7" s="36" t="s">
        <v>105</v>
      </c>
      <c r="AK7" s="36" t="s">
        <v>105</v>
      </c>
      <c r="AL7" s="37" t="s">
        <v>105</v>
      </c>
      <c r="AM7" s="43" t="s">
        <v>105</v>
      </c>
      <c r="AN7" s="36" t="s">
        <v>105</v>
      </c>
      <c r="AO7" s="36" t="s">
        <v>105</v>
      </c>
      <c r="AP7" s="36" t="s">
        <v>105</v>
      </c>
      <c r="AQ7" s="37" t="s">
        <v>105</v>
      </c>
      <c r="AR7" s="43" t="s">
        <v>105</v>
      </c>
      <c r="AS7" s="36" t="s">
        <v>105</v>
      </c>
      <c r="AT7" s="36" t="s">
        <v>105</v>
      </c>
      <c r="AU7" s="36" t="s">
        <v>105</v>
      </c>
      <c r="AV7" s="37" t="s">
        <v>105</v>
      </c>
      <c r="AW7" s="43" t="s">
        <v>105</v>
      </c>
      <c r="AX7" s="36" t="s">
        <v>105</v>
      </c>
      <c r="AY7" s="36" t="s">
        <v>105</v>
      </c>
      <c r="AZ7" s="36" t="s">
        <v>105</v>
      </c>
      <c r="BA7" s="37" t="s">
        <v>105</v>
      </c>
      <c r="BB7" s="43" t="s">
        <v>105</v>
      </c>
      <c r="BC7" s="36">
        <v>0.81499999999999995</v>
      </c>
      <c r="BD7" s="110">
        <v>1</v>
      </c>
      <c r="BE7" s="36" t="s">
        <v>105</v>
      </c>
      <c r="BF7" s="37" t="s">
        <v>105</v>
      </c>
      <c r="BG7" s="43" t="s">
        <v>105</v>
      </c>
      <c r="BH7" s="36" t="s">
        <v>105</v>
      </c>
      <c r="BI7" s="36" t="s">
        <v>105</v>
      </c>
      <c r="BJ7" s="36" t="s">
        <v>105</v>
      </c>
      <c r="BK7" s="37" t="s">
        <v>105</v>
      </c>
      <c r="BL7" s="43" t="s">
        <v>105</v>
      </c>
      <c r="BM7" s="37" t="s">
        <v>105</v>
      </c>
      <c r="BN7" s="166">
        <f t="shared" ref="BN7:BN9" si="2">IFERROR(AVERAGE(D7:BM9),0)</f>
        <v>0.69474999999999998</v>
      </c>
      <c r="BO7" s="166">
        <f t="shared" si="1"/>
        <v>1.1200000000000001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65" t="s">
        <v>11</v>
      </c>
      <c r="B8" s="7" t="s">
        <v>12</v>
      </c>
      <c r="C8" s="11" t="s">
        <v>8</v>
      </c>
      <c r="D8" s="41" t="s">
        <v>105</v>
      </c>
      <c r="E8" s="22" t="s">
        <v>105</v>
      </c>
      <c r="F8" s="22" t="s">
        <v>105</v>
      </c>
      <c r="G8" s="22" t="s">
        <v>105</v>
      </c>
      <c r="H8" s="42" t="s">
        <v>105</v>
      </c>
      <c r="I8" s="45">
        <v>0.65500000000000003</v>
      </c>
      <c r="J8" s="22" t="s">
        <v>105</v>
      </c>
      <c r="K8" s="22">
        <v>0.74199999999999999</v>
      </c>
      <c r="L8" s="22" t="s">
        <v>105</v>
      </c>
      <c r="M8" s="42" t="s">
        <v>105</v>
      </c>
      <c r="N8" s="45" t="s">
        <v>105</v>
      </c>
      <c r="O8" s="22" t="s">
        <v>105</v>
      </c>
      <c r="P8" s="22" t="s">
        <v>105</v>
      </c>
      <c r="Q8" s="22" t="s">
        <v>105</v>
      </c>
      <c r="R8" s="42" t="s">
        <v>105</v>
      </c>
      <c r="S8" s="45" t="s">
        <v>105</v>
      </c>
      <c r="T8" s="22" t="s">
        <v>105</v>
      </c>
      <c r="U8" s="22" t="s">
        <v>105</v>
      </c>
      <c r="V8" s="22" t="s">
        <v>105</v>
      </c>
      <c r="W8" s="42" t="s">
        <v>105</v>
      </c>
      <c r="X8" s="45" t="s">
        <v>105</v>
      </c>
      <c r="Y8" s="22" t="s">
        <v>105</v>
      </c>
      <c r="Z8" s="22" t="s">
        <v>105</v>
      </c>
      <c r="AA8" s="22" t="s">
        <v>105</v>
      </c>
      <c r="AB8" s="42" t="s">
        <v>105</v>
      </c>
      <c r="AC8" s="45" t="s">
        <v>105</v>
      </c>
      <c r="AD8" s="22" t="s">
        <v>105</v>
      </c>
      <c r="AE8" s="22" t="s">
        <v>105</v>
      </c>
      <c r="AF8" s="22" t="s">
        <v>105</v>
      </c>
      <c r="AG8" s="42" t="s">
        <v>105</v>
      </c>
      <c r="AH8" s="45" t="s">
        <v>105</v>
      </c>
      <c r="AI8" s="22" t="s">
        <v>105</v>
      </c>
      <c r="AJ8" s="22" t="s">
        <v>105</v>
      </c>
      <c r="AK8" s="22" t="s">
        <v>105</v>
      </c>
      <c r="AL8" s="42" t="s">
        <v>105</v>
      </c>
      <c r="AM8" s="45" t="s">
        <v>105</v>
      </c>
      <c r="AN8" s="22" t="s">
        <v>105</v>
      </c>
      <c r="AO8" s="22" t="s">
        <v>105</v>
      </c>
      <c r="AP8" s="22" t="s">
        <v>105</v>
      </c>
      <c r="AQ8" s="42" t="s">
        <v>105</v>
      </c>
      <c r="AR8" s="45" t="s">
        <v>105</v>
      </c>
      <c r="AS8" s="22" t="s">
        <v>105</v>
      </c>
      <c r="AT8" s="22" t="s">
        <v>105</v>
      </c>
      <c r="AU8" s="22" t="s">
        <v>105</v>
      </c>
      <c r="AV8" s="42" t="s">
        <v>105</v>
      </c>
      <c r="AW8" s="45" t="s">
        <v>105</v>
      </c>
      <c r="AX8" s="22" t="s">
        <v>105</v>
      </c>
      <c r="AY8" s="22" t="s">
        <v>105</v>
      </c>
      <c r="AZ8" s="22" t="s">
        <v>105</v>
      </c>
      <c r="BA8" s="42" t="s">
        <v>105</v>
      </c>
      <c r="BB8" s="111">
        <v>1.1200000000000001</v>
      </c>
      <c r="BC8" s="22" t="s">
        <v>105</v>
      </c>
      <c r="BD8" s="22" t="s">
        <v>105</v>
      </c>
      <c r="BE8" s="32" t="s">
        <v>105</v>
      </c>
      <c r="BF8" s="42" t="s">
        <v>105</v>
      </c>
      <c r="BG8" s="45" t="s">
        <v>105</v>
      </c>
      <c r="BH8" s="22" t="s">
        <v>105</v>
      </c>
      <c r="BI8" s="22" t="s">
        <v>105</v>
      </c>
      <c r="BJ8" s="22" t="s">
        <v>105</v>
      </c>
      <c r="BK8" s="42" t="s">
        <v>105</v>
      </c>
      <c r="BL8" s="45" t="s">
        <v>105</v>
      </c>
      <c r="BM8" s="42" t="s">
        <v>105</v>
      </c>
      <c r="BN8" s="167">
        <f t="shared" si="2"/>
        <v>2.948</v>
      </c>
      <c r="BO8" s="167">
        <f t="shared" si="1"/>
        <v>10.9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65"/>
      <c r="B9" s="8" t="s">
        <v>13</v>
      </c>
      <c r="C9" s="12" t="s">
        <v>14</v>
      </c>
      <c r="D9" s="38" t="s">
        <v>105</v>
      </c>
      <c r="E9" s="39" t="s">
        <v>105</v>
      </c>
      <c r="F9" s="39" t="s">
        <v>105</v>
      </c>
      <c r="G9" s="39" t="s">
        <v>105</v>
      </c>
      <c r="H9" s="40" t="s">
        <v>105</v>
      </c>
      <c r="I9" s="44" t="s">
        <v>105</v>
      </c>
      <c r="J9" s="39" t="s">
        <v>105</v>
      </c>
      <c r="K9" s="39" t="s">
        <v>105</v>
      </c>
      <c r="L9" s="39" t="s">
        <v>105</v>
      </c>
      <c r="M9" s="40" t="s">
        <v>105</v>
      </c>
      <c r="N9" s="44" t="s">
        <v>105</v>
      </c>
      <c r="O9" s="39" t="s">
        <v>105</v>
      </c>
      <c r="P9" s="39" t="s">
        <v>105</v>
      </c>
      <c r="Q9" s="39" t="s">
        <v>105</v>
      </c>
      <c r="R9" s="40" t="s">
        <v>105</v>
      </c>
      <c r="S9" s="44" t="s">
        <v>105</v>
      </c>
      <c r="T9" s="39" t="s">
        <v>105</v>
      </c>
      <c r="U9" s="39" t="s">
        <v>105</v>
      </c>
      <c r="V9" s="39" t="s">
        <v>105</v>
      </c>
      <c r="W9" s="40" t="s">
        <v>105</v>
      </c>
      <c r="X9" s="44" t="s">
        <v>105</v>
      </c>
      <c r="Y9" s="39" t="s">
        <v>105</v>
      </c>
      <c r="Z9" s="39" t="s">
        <v>105</v>
      </c>
      <c r="AA9" s="39" t="s">
        <v>105</v>
      </c>
      <c r="AB9" s="40" t="s">
        <v>105</v>
      </c>
      <c r="AC9" s="44" t="s">
        <v>105</v>
      </c>
      <c r="AD9" s="39" t="s">
        <v>105</v>
      </c>
      <c r="AE9" s="39" t="s">
        <v>105</v>
      </c>
      <c r="AF9" s="39" t="s">
        <v>105</v>
      </c>
      <c r="AG9" s="40" t="s">
        <v>105</v>
      </c>
      <c r="AH9" s="44" t="s">
        <v>105</v>
      </c>
      <c r="AI9" s="39" t="s">
        <v>105</v>
      </c>
      <c r="AJ9" s="39" t="s">
        <v>105</v>
      </c>
      <c r="AK9" s="39" t="s">
        <v>105</v>
      </c>
      <c r="AL9" s="40" t="s">
        <v>105</v>
      </c>
      <c r="AM9" s="44" t="s">
        <v>105</v>
      </c>
      <c r="AN9" s="39" t="s">
        <v>105</v>
      </c>
      <c r="AO9" s="39" t="s">
        <v>105</v>
      </c>
      <c r="AP9" s="39" t="s">
        <v>105</v>
      </c>
      <c r="AQ9" s="40" t="s">
        <v>105</v>
      </c>
      <c r="AR9" s="44" t="s">
        <v>105</v>
      </c>
      <c r="AS9" s="39" t="s">
        <v>105</v>
      </c>
      <c r="AT9" s="39" t="s">
        <v>105</v>
      </c>
      <c r="AU9" s="39" t="s">
        <v>105</v>
      </c>
      <c r="AV9" s="40" t="s">
        <v>105</v>
      </c>
      <c r="AW9" s="44" t="s">
        <v>105</v>
      </c>
      <c r="AX9" s="39" t="s">
        <v>105</v>
      </c>
      <c r="AY9" s="39" t="s">
        <v>105</v>
      </c>
      <c r="AZ9" s="39" t="s">
        <v>105</v>
      </c>
      <c r="BA9" s="40" t="s">
        <v>105</v>
      </c>
      <c r="BB9" s="44">
        <v>0.39900000000000002</v>
      </c>
      <c r="BC9" s="39" t="s">
        <v>105</v>
      </c>
      <c r="BD9" s="39" t="s">
        <v>105</v>
      </c>
      <c r="BE9" s="39" t="s">
        <v>105</v>
      </c>
      <c r="BF9" s="40" t="s">
        <v>105</v>
      </c>
      <c r="BG9" s="44" t="s">
        <v>105</v>
      </c>
      <c r="BH9" s="39" t="s">
        <v>105</v>
      </c>
      <c r="BI9" s="39" t="s">
        <v>105</v>
      </c>
      <c r="BJ9" s="39" t="s">
        <v>105</v>
      </c>
      <c r="BK9" s="40" t="s">
        <v>105</v>
      </c>
      <c r="BL9" s="44" t="s">
        <v>105</v>
      </c>
      <c r="BM9" s="40" t="s">
        <v>105</v>
      </c>
      <c r="BN9" s="168">
        <f t="shared" si="2"/>
        <v>4.1876428571428574</v>
      </c>
      <c r="BO9" s="168">
        <f t="shared" si="1"/>
        <v>11.7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35" t="s">
        <v>105</v>
      </c>
      <c r="E10" s="36" t="s">
        <v>105</v>
      </c>
      <c r="F10" s="36" t="s">
        <v>105</v>
      </c>
      <c r="G10" s="36" t="s">
        <v>105</v>
      </c>
      <c r="H10" s="37" t="s">
        <v>105</v>
      </c>
      <c r="I10" s="112">
        <v>1.32</v>
      </c>
      <c r="J10" s="36" t="s">
        <v>105</v>
      </c>
      <c r="K10" s="36" t="s">
        <v>105</v>
      </c>
      <c r="L10" s="36">
        <v>0.57499999999999996</v>
      </c>
      <c r="M10" s="105">
        <v>4.74</v>
      </c>
      <c r="N10" s="43" t="s">
        <v>105</v>
      </c>
      <c r="O10" s="36" t="s">
        <v>105</v>
      </c>
      <c r="P10" s="36" t="s">
        <v>105</v>
      </c>
      <c r="Q10" s="36" t="s">
        <v>105</v>
      </c>
      <c r="R10" s="37" t="s">
        <v>105</v>
      </c>
      <c r="S10" s="43" t="s">
        <v>105</v>
      </c>
      <c r="T10" s="36" t="s">
        <v>105</v>
      </c>
      <c r="U10" s="36" t="s">
        <v>105</v>
      </c>
      <c r="V10" s="36" t="s">
        <v>105</v>
      </c>
      <c r="W10" s="37" t="s">
        <v>105</v>
      </c>
      <c r="X10" s="43" t="s">
        <v>105</v>
      </c>
      <c r="Y10" s="36" t="s">
        <v>105</v>
      </c>
      <c r="Z10" s="36" t="s">
        <v>105</v>
      </c>
      <c r="AA10" s="36" t="s">
        <v>105</v>
      </c>
      <c r="AB10" s="37" t="s">
        <v>105</v>
      </c>
      <c r="AC10" s="43" t="s">
        <v>105</v>
      </c>
      <c r="AD10" s="36" t="s">
        <v>105</v>
      </c>
      <c r="AE10" s="36" t="s">
        <v>105</v>
      </c>
      <c r="AF10" s="36" t="s">
        <v>105</v>
      </c>
      <c r="AG10" s="113">
        <v>10.3</v>
      </c>
      <c r="AH10" s="43" t="s">
        <v>105</v>
      </c>
      <c r="AI10" s="36">
        <v>0.19700000000000001</v>
      </c>
      <c r="AJ10" s="114">
        <v>10.9</v>
      </c>
      <c r="AK10" s="36" t="s">
        <v>105</v>
      </c>
      <c r="AL10" s="37" t="s">
        <v>105</v>
      </c>
      <c r="AM10" s="43" t="s">
        <v>105</v>
      </c>
      <c r="AN10" s="36" t="s">
        <v>105</v>
      </c>
      <c r="AO10" s="36" t="s">
        <v>105</v>
      </c>
      <c r="AP10" s="36" t="s">
        <v>105</v>
      </c>
      <c r="AQ10" s="37" t="s">
        <v>105</v>
      </c>
      <c r="AR10" s="43" t="s">
        <v>105</v>
      </c>
      <c r="AS10" s="36" t="s">
        <v>105</v>
      </c>
      <c r="AT10" s="36" t="s">
        <v>105</v>
      </c>
      <c r="AU10" s="36" t="s">
        <v>105</v>
      </c>
      <c r="AV10" s="37" t="s">
        <v>105</v>
      </c>
      <c r="AW10" s="43" t="s">
        <v>105</v>
      </c>
      <c r="AX10" s="36" t="s">
        <v>105</v>
      </c>
      <c r="AY10" s="36" t="s">
        <v>105</v>
      </c>
      <c r="AZ10" s="36" t="s">
        <v>105</v>
      </c>
      <c r="BA10" s="37" t="s">
        <v>105</v>
      </c>
      <c r="BB10" s="43" t="s">
        <v>105</v>
      </c>
      <c r="BC10" s="36" t="s">
        <v>105</v>
      </c>
      <c r="BD10" s="36" t="s">
        <v>105</v>
      </c>
      <c r="BE10" s="104">
        <v>1.48</v>
      </c>
      <c r="BF10" s="37" t="s">
        <v>105</v>
      </c>
      <c r="BG10" s="43" t="s">
        <v>105</v>
      </c>
      <c r="BH10" s="36" t="s">
        <v>105</v>
      </c>
      <c r="BI10" s="36" t="s">
        <v>105</v>
      </c>
      <c r="BJ10" s="36" t="s">
        <v>105</v>
      </c>
      <c r="BK10" s="37" t="s">
        <v>105</v>
      </c>
      <c r="BL10" s="43" t="s">
        <v>105</v>
      </c>
      <c r="BM10" s="37" t="s">
        <v>105</v>
      </c>
      <c r="BN10" s="166">
        <f t="shared" ref="BN10:BN12" si="3">IFERROR(AVERAGE(D10:BM12),0)</f>
        <v>4.173350000000001</v>
      </c>
      <c r="BO10" s="166">
        <f t="shared" si="1"/>
        <v>11.7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65" t="s">
        <v>11</v>
      </c>
      <c r="B11" s="7" t="s">
        <v>18</v>
      </c>
      <c r="C11" s="11" t="s">
        <v>8</v>
      </c>
      <c r="D11" s="41" t="s">
        <v>105</v>
      </c>
      <c r="E11" s="22" t="s">
        <v>105</v>
      </c>
      <c r="F11" s="22" t="s">
        <v>105</v>
      </c>
      <c r="G11" s="22" t="s">
        <v>105</v>
      </c>
      <c r="H11" s="42" t="s">
        <v>105</v>
      </c>
      <c r="I11" s="45" t="s">
        <v>105</v>
      </c>
      <c r="J11" s="22" t="s">
        <v>105</v>
      </c>
      <c r="K11" s="22" t="s">
        <v>105</v>
      </c>
      <c r="L11" s="22" t="s">
        <v>105</v>
      </c>
      <c r="M11" s="115">
        <v>9.48</v>
      </c>
      <c r="N11" s="45" t="s">
        <v>105</v>
      </c>
      <c r="O11" s="22" t="s">
        <v>105</v>
      </c>
      <c r="P11" s="22" t="s">
        <v>105</v>
      </c>
      <c r="Q11" s="22" t="s">
        <v>105</v>
      </c>
      <c r="R11" s="42" t="s">
        <v>105</v>
      </c>
      <c r="S11" s="45" t="s">
        <v>105</v>
      </c>
      <c r="T11" s="22" t="s">
        <v>105</v>
      </c>
      <c r="U11" s="22" t="s">
        <v>105</v>
      </c>
      <c r="V11" s="22" t="s">
        <v>105</v>
      </c>
      <c r="W11" s="42" t="s">
        <v>105</v>
      </c>
      <c r="X11" s="45" t="s">
        <v>105</v>
      </c>
      <c r="Y11" s="22" t="s">
        <v>105</v>
      </c>
      <c r="Z11" s="22" t="s">
        <v>105</v>
      </c>
      <c r="AA11" s="22" t="s">
        <v>105</v>
      </c>
      <c r="AB11" s="42" t="s">
        <v>105</v>
      </c>
      <c r="AC11" s="45" t="s">
        <v>105</v>
      </c>
      <c r="AD11" s="22" t="s">
        <v>105</v>
      </c>
      <c r="AE11" s="22" t="s">
        <v>105</v>
      </c>
      <c r="AF11" s="22">
        <v>0.27900000000000003</v>
      </c>
      <c r="AG11" s="106">
        <v>11.7</v>
      </c>
      <c r="AH11" s="45" t="s">
        <v>105</v>
      </c>
      <c r="AI11" s="22" t="s">
        <v>105</v>
      </c>
      <c r="AJ11" s="32">
        <v>7.13</v>
      </c>
      <c r="AK11" s="22" t="s">
        <v>105</v>
      </c>
      <c r="AL11" s="42" t="s">
        <v>105</v>
      </c>
      <c r="AM11" s="45" t="s">
        <v>105</v>
      </c>
      <c r="AN11" s="22" t="s">
        <v>105</v>
      </c>
      <c r="AO11" s="22" t="s">
        <v>105</v>
      </c>
      <c r="AP11" s="22" t="s">
        <v>105</v>
      </c>
      <c r="AQ11" s="42" t="s">
        <v>105</v>
      </c>
      <c r="AR11" s="45" t="s">
        <v>105</v>
      </c>
      <c r="AS11" s="22" t="s">
        <v>105</v>
      </c>
      <c r="AT11" s="22" t="s">
        <v>105</v>
      </c>
      <c r="AU11" s="22" t="s">
        <v>105</v>
      </c>
      <c r="AV11" s="42" t="s">
        <v>105</v>
      </c>
      <c r="AW11" s="45" t="s">
        <v>105</v>
      </c>
      <c r="AX11" s="22" t="s">
        <v>105</v>
      </c>
      <c r="AY11" s="22" t="s">
        <v>105</v>
      </c>
      <c r="AZ11" s="22" t="s">
        <v>105</v>
      </c>
      <c r="BA11" s="42" t="s">
        <v>105</v>
      </c>
      <c r="BB11" s="45" t="s">
        <v>105</v>
      </c>
      <c r="BC11" s="22" t="s">
        <v>105</v>
      </c>
      <c r="BD11" s="22" t="s">
        <v>105</v>
      </c>
      <c r="BE11" s="22">
        <v>0.115</v>
      </c>
      <c r="BF11" s="42" t="s">
        <v>105</v>
      </c>
      <c r="BG11" s="45">
        <v>1.2E-2</v>
      </c>
      <c r="BH11" s="22" t="s">
        <v>105</v>
      </c>
      <c r="BI11" s="22" t="s">
        <v>105</v>
      </c>
      <c r="BJ11" s="22" t="s">
        <v>105</v>
      </c>
      <c r="BK11" s="42" t="s">
        <v>105</v>
      </c>
      <c r="BL11" s="45" t="s">
        <v>105</v>
      </c>
      <c r="BM11" s="42" t="s">
        <v>105</v>
      </c>
      <c r="BN11" s="167">
        <f t="shared" si="3"/>
        <v>2.2648793103448281</v>
      </c>
      <c r="BO11" s="167">
        <f t="shared" si="1"/>
        <v>11.7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65"/>
      <c r="B12" s="8" t="s">
        <v>13</v>
      </c>
      <c r="C12" s="12" t="s">
        <v>14</v>
      </c>
      <c r="D12" s="38" t="s">
        <v>105</v>
      </c>
      <c r="E12" s="39" t="s">
        <v>105</v>
      </c>
      <c r="F12" s="39" t="s">
        <v>105</v>
      </c>
      <c r="G12" s="39" t="s">
        <v>105</v>
      </c>
      <c r="H12" s="40" t="s">
        <v>105</v>
      </c>
      <c r="I12" s="44" t="s">
        <v>105</v>
      </c>
      <c r="J12" s="39" t="s">
        <v>105</v>
      </c>
      <c r="K12" s="39" t="s">
        <v>105</v>
      </c>
      <c r="L12" s="39" t="s">
        <v>105</v>
      </c>
      <c r="M12" s="116">
        <v>2.84</v>
      </c>
      <c r="N12" s="44">
        <v>0.186</v>
      </c>
      <c r="O12" s="39" t="s">
        <v>105</v>
      </c>
      <c r="P12" s="39" t="s">
        <v>105</v>
      </c>
      <c r="Q12" s="39" t="s">
        <v>105</v>
      </c>
      <c r="R12" s="40" t="s">
        <v>105</v>
      </c>
      <c r="S12" s="44" t="s">
        <v>105</v>
      </c>
      <c r="T12" s="39" t="s">
        <v>105</v>
      </c>
      <c r="U12" s="39" t="s">
        <v>105</v>
      </c>
      <c r="V12" s="39" t="s">
        <v>105</v>
      </c>
      <c r="W12" s="40" t="s">
        <v>105</v>
      </c>
      <c r="X12" s="44" t="s">
        <v>105</v>
      </c>
      <c r="Y12" s="39" t="s">
        <v>105</v>
      </c>
      <c r="Z12" s="39" t="s">
        <v>105</v>
      </c>
      <c r="AA12" s="39" t="s">
        <v>105</v>
      </c>
      <c r="AB12" s="40" t="s">
        <v>105</v>
      </c>
      <c r="AC12" s="44" t="s">
        <v>105</v>
      </c>
      <c r="AD12" s="39" t="s">
        <v>105</v>
      </c>
      <c r="AE12" s="39" t="s">
        <v>105</v>
      </c>
      <c r="AF12" s="117">
        <v>1.1100000000000001</v>
      </c>
      <c r="AG12" s="118">
        <v>10.3</v>
      </c>
      <c r="AH12" s="109">
        <v>2.41</v>
      </c>
      <c r="AI12" s="39" t="s">
        <v>105</v>
      </c>
      <c r="AJ12" s="117">
        <v>8.35</v>
      </c>
      <c r="AK12" s="39" t="s">
        <v>105</v>
      </c>
      <c r="AL12" s="40" t="s">
        <v>105</v>
      </c>
      <c r="AM12" s="44" t="s">
        <v>105</v>
      </c>
      <c r="AN12" s="39" t="s">
        <v>105</v>
      </c>
      <c r="AO12" s="39" t="s">
        <v>105</v>
      </c>
      <c r="AP12" s="39" t="s">
        <v>105</v>
      </c>
      <c r="AQ12" s="40" t="s">
        <v>105</v>
      </c>
      <c r="AR12" s="44" t="s">
        <v>105</v>
      </c>
      <c r="AS12" s="39" t="s">
        <v>105</v>
      </c>
      <c r="AT12" s="39" t="s">
        <v>105</v>
      </c>
      <c r="AU12" s="39" t="s">
        <v>105</v>
      </c>
      <c r="AV12" s="40" t="s">
        <v>105</v>
      </c>
      <c r="AW12" s="44" t="s">
        <v>105</v>
      </c>
      <c r="AX12" s="39" t="s">
        <v>105</v>
      </c>
      <c r="AY12" s="39" t="s">
        <v>105</v>
      </c>
      <c r="AZ12" s="39" t="s">
        <v>105</v>
      </c>
      <c r="BA12" s="40" t="s">
        <v>105</v>
      </c>
      <c r="BB12" s="44" t="s">
        <v>105</v>
      </c>
      <c r="BC12" s="39" t="s">
        <v>105</v>
      </c>
      <c r="BD12" s="39" t="s">
        <v>105</v>
      </c>
      <c r="BE12" s="39" t="s">
        <v>105</v>
      </c>
      <c r="BF12" s="40" t="s">
        <v>105</v>
      </c>
      <c r="BG12" s="44">
        <v>4.2999999999999997E-2</v>
      </c>
      <c r="BH12" s="39" t="s">
        <v>105</v>
      </c>
      <c r="BI12" s="39" t="s">
        <v>105</v>
      </c>
      <c r="BJ12" s="39" t="s">
        <v>105</v>
      </c>
      <c r="BK12" s="40" t="s">
        <v>105</v>
      </c>
      <c r="BL12" s="44" t="s">
        <v>105</v>
      </c>
      <c r="BM12" s="40" t="s">
        <v>105</v>
      </c>
      <c r="BN12" s="168">
        <f t="shared" si="3"/>
        <v>1.8215154639175262</v>
      </c>
      <c r="BO12" s="168">
        <f t="shared" si="1"/>
        <v>10.3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19</v>
      </c>
      <c r="B13" s="6"/>
      <c r="C13" s="11" t="s">
        <v>10</v>
      </c>
      <c r="D13" s="119">
        <v>1.52</v>
      </c>
      <c r="E13" s="120">
        <v>4.0999999999999996</v>
      </c>
      <c r="F13" s="104">
        <v>2.65</v>
      </c>
      <c r="G13" s="104">
        <v>1.25</v>
      </c>
      <c r="H13" s="37">
        <v>0.65400000000000003</v>
      </c>
      <c r="I13" s="43">
        <v>0.67200000000000004</v>
      </c>
      <c r="J13" s="36">
        <v>0.47599999999999998</v>
      </c>
      <c r="K13" s="67">
        <v>4.7</v>
      </c>
      <c r="L13" s="104">
        <v>1.25</v>
      </c>
      <c r="M13" s="37" t="s">
        <v>105</v>
      </c>
      <c r="N13" s="112">
        <v>1.41</v>
      </c>
      <c r="O13" s="104">
        <v>2.23</v>
      </c>
      <c r="P13" s="36">
        <v>0.63100000000000001</v>
      </c>
      <c r="Q13" s="104">
        <v>3.18</v>
      </c>
      <c r="R13" s="105">
        <v>3.01</v>
      </c>
      <c r="S13" s="112">
        <v>3.03</v>
      </c>
      <c r="T13" s="104">
        <v>1.99</v>
      </c>
      <c r="U13" s="36" t="s">
        <v>105</v>
      </c>
      <c r="V13" s="104">
        <v>2.2200000000000002</v>
      </c>
      <c r="W13" s="121">
        <v>1.5</v>
      </c>
      <c r="X13" s="43">
        <v>3.9E-2</v>
      </c>
      <c r="Y13" s="104">
        <v>2.5099999999999998</v>
      </c>
      <c r="Z13" s="104">
        <v>1.47</v>
      </c>
      <c r="AA13" s="104">
        <v>1.93</v>
      </c>
      <c r="AB13" s="105">
        <v>1.23</v>
      </c>
      <c r="AC13" s="43" t="s">
        <v>105</v>
      </c>
      <c r="AD13" s="36">
        <v>0.72599999999999998</v>
      </c>
      <c r="AE13" s="104">
        <v>3.56</v>
      </c>
      <c r="AF13" s="36" t="s">
        <v>105</v>
      </c>
      <c r="AG13" s="105">
        <v>1.46</v>
      </c>
      <c r="AH13" s="43">
        <v>0.57099999999999995</v>
      </c>
      <c r="AI13" s="36" t="s">
        <v>105</v>
      </c>
      <c r="AJ13" s="36">
        <v>0.13200000000000001</v>
      </c>
      <c r="AK13" s="36" t="s">
        <v>105</v>
      </c>
      <c r="AL13" s="105">
        <v>1.62</v>
      </c>
      <c r="AM13" s="43" t="s">
        <v>105</v>
      </c>
      <c r="AN13" s="36" t="s">
        <v>105</v>
      </c>
      <c r="AO13" s="36" t="s">
        <v>105</v>
      </c>
      <c r="AP13" s="104">
        <v>1.34</v>
      </c>
      <c r="AQ13" s="105">
        <v>1.36</v>
      </c>
      <c r="AR13" s="43">
        <v>0.53800000000000003</v>
      </c>
      <c r="AS13" s="36" t="s">
        <v>105</v>
      </c>
      <c r="AT13" s="104">
        <v>1.62</v>
      </c>
      <c r="AU13" s="36" t="s">
        <v>105</v>
      </c>
      <c r="AV13" s="37" t="s">
        <v>105</v>
      </c>
      <c r="AW13" s="43">
        <v>0.63900000000000001</v>
      </c>
      <c r="AX13" s="36">
        <v>0.41699999999999998</v>
      </c>
      <c r="AY13" s="36" t="s">
        <v>105</v>
      </c>
      <c r="AZ13" s="36" t="s">
        <v>105</v>
      </c>
      <c r="BA13" s="37">
        <v>0.63100000000000001</v>
      </c>
      <c r="BB13" s="43" t="s">
        <v>105</v>
      </c>
      <c r="BC13" s="104">
        <v>1.45</v>
      </c>
      <c r="BD13" s="36" t="s">
        <v>105</v>
      </c>
      <c r="BE13" s="36">
        <v>0.89500000000000002</v>
      </c>
      <c r="BF13" s="37">
        <v>0.71299999999999997</v>
      </c>
      <c r="BG13" s="112">
        <v>2.21</v>
      </c>
      <c r="BH13" s="36">
        <v>0.59499999999999997</v>
      </c>
      <c r="BI13" s="36" t="s">
        <v>105</v>
      </c>
      <c r="BJ13" s="104">
        <v>1.08</v>
      </c>
      <c r="BK13" s="37">
        <v>0.14899999999999999</v>
      </c>
      <c r="BL13" s="112">
        <v>5.39</v>
      </c>
      <c r="BM13" s="105">
        <v>6.66</v>
      </c>
      <c r="BN13" s="166">
        <f t="shared" ref="BN13:BN15" si="4">IFERROR(AVERAGE(D13:BM15),0)</f>
        <v>1.5608992248062017</v>
      </c>
      <c r="BO13" s="166">
        <f t="shared" si="1"/>
        <v>8.99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65" t="s">
        <v>11</v>
      </c>
      <c r="B14" s="7" t="s">
        <v>21</v>
      </c>
      <c r="C14" s="11" t="s">
        <v>8</v>
      </c>
      <c r="D14" s="122">
        <v>2.54</v>
      </c>
      <c r="E14" s="123">
        <v>1.91</v>
      </c>
      <c r="F14" s="22">
        <v>0.61099999999999999</v>
      </c>
      <c r="G14" s="123">
        <v>1.77</v>
      </c>
      <c r="H14" s="115">
        <v>2.4900000000000002</v>
      </c>
      <c r="I14" s="124">
        <v>1.7</v>
      </c>
      <c r="J14" s="22">
        <v>0.82099999999999995</v>
      </c>
      <c r="K14" s="32">
        <v>4.1100000000000003</v>
      </c>
      <c r="L14" s="123">
        <v>3.48</v>
      </c>
      <c r="M14" s="125">
        <v>1.2</v>
      </c>
      <c r="N14" s="111">
        <v>1.34</v>
      </c>
      <c r="O14" s="22" t="s">
        <v>105</v>
      </c>
      <c r="P14" s="123">
        <v>1.33</v>
      </c>
      <c r="Q14" s="123">
        <v>1.92</v>
      </c>
      <c r="R14" s="71">
        <v>3.3</v>
      </c>
      <c r="S14" s="111">
        <v>2.42</v>
      </c>
      <c r="T14" s="22">
        <v>0.97299999999999998</v>
      </c>
      <c r="U14" s="123">
        <v>1.79</v>
      </c>
      <c r="V14" s="22">
        <v>0.80300000000000005</v>
      </c>
      <c r="W14" s="42">
        <v>0.86499999999999999</v>
      </c>
      <c r="X14" s="111">
        <v>1.1299999999999999</v>
      </c>
      <c r="Y14" s="123">
        <v>1.84</v>
      </c>
      <c r="Z14" s="123">
        <v>8.99</v>
      </c>
      <c r="AA14" s="123">
        <v>1.91</v>
      </c>
      <c r="AB14" s="42">
        <v>0.34399999999999997</v>
      </c>
      <c r="AC14" s="45" t="s">
        <v>105</v>
      </c>
      <c r="AD14" s="123">
        <v>1.31</v>
      </c>
      <c r="AE14" s="123">
        <v>1.38</v>
      </c>
      <c r="AF14" s="22">
        <v>2.1000000000000001E-2</v>
      </c>
      <c r="AG14" s="42" t="s">
        <v>105</v>
      </c>
      <c r="AH14" s="45" t="s">
        <v>105</v>
      </c>
      <c r="AI14" s="22" t="s">
        <v>105</v>
      </c>
      <c r="AJ14" s="22" t="s">
        <v>105</v>
      </c>
      <c r="AK14" s="123">
        <v>1.01</v>
      </c>
      <c r="AL14" s="42">
        <v>0.35899999999999999</v>
      </c>
      <c r="AM14" s="45" t="s">
        <v>105</v>
      </c>
      <c r="AN14" s="22" t="s">
        <v>105</v>
      </c>
      <c r="AO14" s="123">
        <v>6.06</v>
      </c>
      <c r="AP14" s="22" t="s">
        <v>105</v>
      </c>
      <c r="AQ14" s="42" t="s">
        <v>105</v>
      </c>
      <c r="AR14" s="111">
        <v>1.1499999999999999</v>
      </c>
      <c r="AS14" s="22" t="s">
        <v>105</v>
      </c>
      <c r="AT14" s="22" t="s">
        <v>105</v>
      </c>
      <c r="AU14" s="22" t="s">
        <v>105</v>
      </c>
      <c r="AV14" s="42" t="s">
        <v>105</v>
      </c>
      <c r="AW14" s="45" t="s">
        <v>105</v>
      </c>
      <c r="AX14" s="22">
        <v>0.47799999999999998</v>
      </c>
      <c r="AY14" s="22" t="s">
        <v>105</v>
      </c>
      <c r="AZ14" s="22">
        <v>0.29499999999999998</v>
      </c>
      <c r="BA14" s="42">
        <v>0.501</v>
      </c>
      <c r="BB14" s="45">
        <v>0.68300000000000005</v>
      </c>
      <c r="BC14" s="123">
        <v>2.11</v>
      </c>
      <c r="BD14" s="22">
        <v>0.28199999999999997</v>
      </c>
      <c r="BE14" s="22">
        <v>0.33300000000000002</v>
      </c>
      <c r="BF14" s="125">
        <v>2.4</v>
      </c>
      <c r="BG14" s="45">
        <v>0.44800000000000001</v>
      </c>
      <c r="BH14" s="22">
        <v>1.6E-2</v>
      </c>
      <c r="BI14" s="123">
        <v>2.73</v>
      </c>
      <c r="BJ14" s="22">
        <v>0.53700000000000003</v>
      </c>
      <c r="BK14" s="115">
        <v>1.33</v>
      </c>
      <c r="BL14" s="111">
        <v>1.02</v>
      </c>
      <c r="BM14" s="42" t="s">
        <v>105</v>
      </c>
      <c r="BN14" s="167">
        <f t="shared" si="4"/>
        <v>2.108042553191491</v>
      </c>
      <c r="BO14" s="167">
        <f t="shared" si="1"/>
        <v>8.99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65"/>
      <c r="B15" s="8"/>
      <c r="C15" s="12" t="s">
        <v>14</v>
      </c>
      <c r="D15" s="38">
        <v>0.70299999999999996</v>
      </c>
      <c r="E15" s="39" t="s">
        <v>105</v>
      </c>
      <c r="F15" s="117">
        <v>3.24</v>
      </c>
      <c r="G15" s="39">
        <v>0.73</v>
      </c>
      <c r="H15" s="116">
        <v>1.75</v>
      </c>
      <c r="I15" s="44">
        <v>1.9E-2</v>
      </c>
      <c r="J15" s="117">
        <v>1.67</v>
      </c>
      <c r="K15" s="39">
        <v>0.78600000000000003</v>
      </c>
      <c r="L15" s="117">
        <v>3.16</v>
      </c>
      <c r="M15" s="116">
        <v>1.76</v>
      </c>
      <c r="N15" s="44">
        <v>0.877</v>
      </c>
      <c r="O15" s="117">
        <v>1.1100000000000001</v>
      </c>
      <c r="P15" s="39">
        <v>0.81499999999999995</v>
      </c>
      <c r="Q15" s="39" t="s">
        <v>105</v>
      </c>
      <c r="R15" s="126">
        <v>3.3</v>
      </c>
      <c r="S15" s="109">
        <v>1.94</v>
      </c>
      <c r="T15" s="117">
        <v>1.29</v>
      </c>
      <c r="U15" s="47">
        <v>3.25</v>
      </c>
      <c r="V15" s="117">
        <v>2.1800000000000002</v>
      </c>
      <c r="W15" s="116">
        <v>2.1800000000000002</v>
      </c>
      <c r="X15" s="61">
        <v>2.16</v>
      </c>
      <c r="Y15" s="127">
        <v>1</v>
      </c>
      <c r="Z15" s="39" t="s">
        <v>105</v>
      </c>
      <c r="AA15" s="39" t="s">
        <v>105</v>
      </c>
      <c r="AB15" s="40">
        <v>0.29599999999999999</v>
      </c>
      <c r="AC15" s="44" t="s">
        <v>105</v>
      </c>
      <c r="AD15" s="39">
        <v>0.47499999999999998</v>
      </c>
      <c r="AE15" s="39" t="s">
        <v>105</v>
      </c>
      <c r="AF15" s="39">
        <v>0.26500000000000001</v>
      </c>
      <c r="AG15" s="40" t="s">
        <v>105</v>
      </c>
      <c r="AH15" s="109">
        <v>1.0900000000000001</v>
      </c>
      <c r="AI15" s="39" t="s">
        <v>105</v>
      </c>
      <c r="AJ15" s="39" t="s">
        <v>105</v>
      </c>
      <c r="AK15" s="39" t="s">
        <v>105</v>
      </c>
      <c r="AL15" s="40">
        <v>0.56499999999999995</v>
      </c>
      <c r="AM15" s="44" t="s">
        <v>105</v>
      </c>
      <c r="AN15" s="39" t="s">
        <v>105</v>
      </c>
      <c r="AO15" s="117">
        <v>1.23</v>
      </c>
      <c r="AP15" s="39">
        <v>0.30199999999999999</v>
      </c>
      <c r="AQ15" s="40" t="s">
        <v>105</v>
      </c>
      <c r="AR15" s="44">
        <v>0.46100000000000002</v>
      </c>
      <c r="AS15" s="39" t="s">
        <v>105</v>
      </c>
      <c r="AT15" s="39" t="s">
        <v>105</v>
      </c>
      <c r="AU15" s="39" t="s">
        <v>105</v>
      </c>
      <c r="AV15" s="40">
        <v>0.627</v>
      </c>
      <c r="AW15" s="44" t="s">
        <v>105</v>
      </c>
      <c r="AX15" s="39">
        <v>0.26900000000000002</v>
      </c>
      <c r="AY15" s="39" t="s">
        <v>105</v>
      </c>
      <c r="AZ15" s="39" t="s">
        <v>105</v>
      </c>
      <c r="BA15" s="40">
        <v>0.45800000000000002</v>
      </c>
      <c r="BB15" s="44" t="s">
        <v>105</v>
      </c>
      <c r="BC15" s="117">
        <v>2.63</v>
      </c>
      <c r="BD15" s="117">
        <v>1.96</v>
      </c>
      <c r="BE15" s="39">
        <v>6.9000000000000006E-2</v>
      </c>
      <c r="BF15" s="116">
        <v>1.78</v>
      </c>
      <c r="BG15" s="44">
        <v>0.72199999999999998</v>
      </c>
      <c r="BH15" s="39">
        <v>0.72199999999999998</v>
      </c>
      <c r="BI15" s="39" t="s">
        <v>105</v>
      </c>
      <c r="BJ15" s="39">
        <v>0.65700000000000003</v>
      </c>
      <c r="BK15" s="40" t="s">
        <v>105</v>
      </c>
      <c r="BL15" s="109">
        <v>1.41</v>
      </c>
      <c r="BM15" s="40" t="s">
        <v>105</v>
      </c>
      <c r="BN15" s="168">
        <f t="shared" si="4"/>
        <v>2.2556400000000001</v>
      </c>
      <c r="BO15" s="168">
        <f t="shared" si="1"/>
        <v>7.93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19</v>
      </c>
      <c r="B16" s="6"/>
      <c r="C16" s="11" t="s">
        <v>10</v>
      </c>
      <c r="D16" s="62">
        <v>1.1599999999999999</v>
      </c>
      <c r="E16" s="104">
        <v>2.89</v>
      </c>
      <c r="F16" s="104">
        <v>4.63</v>
      </c>
      <c r="G16" s="104">
        <v>6.87</v>
      </c>
      <c r="H16" s="105">
        <v>3.71</v>
      </c>
      <c r="I16" s="128">
        <v>1.9</v>
      </c>
      <c r="J16" s="104">
        <v>2.5499999999999998</v>
      </c>
      <c r="K16" s="104">
        <v>3.43</v>
      </c>
      <c r="L16" s="104">
        <v>2.56</v>
      </c>
      <c r="M16" s="63">
        <v>3.86</v>
      </c>
      <c r="N16" s="65">
        <v>3.58</v>
      </c>
      <c r="O16" s="46">
        <v>1.36</v>
      </c>
      <c r="P16" s="46">
        <v>4.6900000000000004</v>
      </c>
      <c r="Q16" s="36">
        <v>0.72899999999999998</v>
      </c>
      <c r="R16" s="105">
        <v>3.55</v>
      </c>
      <c r="S16" s="43">
        <v>0.66800000000000004</v>
      </c>
      <c r="T16" s="104">
        <v>1.51</v>
      </c>
      <c r="U16" s="46">
        <v>3.58</v>
      </c>
      <c r="V16" s="104">
        <v>2.83</v>
      </c>
      <c r="W16" s="105">
        <v>4.9400000000000004</v>
      </c>
      <c r="X16" s="112">
        <v>5.56</v>
      </c>
      <c r="Y16" s="104">
        <v>1.86</v>
      </c>
      <c r="Z16" s="104">
        <v>5.52</v>
      </c>
      <c r="AA16" s="104">
        <v>3.24</v>
      </c>
      <c r="AB16" s="105">
        <v>4.43</v>
      </c>
      <c r="AC16" s="128">
        <v>2.8</v>
      </c>
      <c r="AD16" s="46">
        <v>3.76</v>
      </c>
      <c r="AE16" s="36" t="s">
        <v>105</v>
      </c>
      <c r="AF16" s="104">
        <v>2.29</v>
      </c>
      <c r="AG16" s="105">
        <v>2.79</v>
      </c>
      <c r="AH16" s="43">
        <v>0.85899999999999999</v>
      </c>
      <c r="AI16" s="46">
        <v>1.69</v>
      </c>
      <c r="AJ16" s="36" t="s">
        <v>105</v>
      </c>
      <c r="AK16" s="36" t="s">
        <v>105</v>
      </c>
      <c r="AL16" s="63">
        <v>3.07</v>
      </c>
      <c r="AM16" s="112">
        <v>2.21</v>
      </c>
      <c r="AN16" s="46">
        <v>2.04</v>
      </c>
      <c r="AO16" s="104">
        <v>5.67</v>
      </c>
      <c r="AP16" s="104">
        <v>4.09</v>
      </c>
      <c r="AQ16" s="63">
        <v>4.83</v>
      </c>
      <c r="AR16" s="112">
        <v>2.34</v>
      </c>
      <c r="AS16" s="120">
        <v>2.6</v>
      </c>
      <c r="AT16" s="104">
        <v>1.87</v>
      </c>
      <c r="AU16" s="46">
        <v>5.56</v>
      </c>
      <c r="AV16" s="105">
        <v>1.62</v>
      </c>
      <c r="AW16" s="112">
        <v>2.13</v>
      </c>
      <c r="AX16" s="46">
        <v>3.74</v>
      </c>
      <c r="AY16" s="104">
        <v>2.5099999999999998</v>
      </c>
      <c r="AZ16" s="104">
        <v>2.2400000000000002</v>
      </c>
      <c r="BA16" s="63">
        <v>1.67</v>
      </c>
      <c r="BB16" s="112">
        <v>2.39</v>
      </c>
      <c r="BC16" s="36" t="s">
        <v>105</v>
      </c>
      <c r="BD16" s="67">
        <v>3.1</v>
      </c>
      <c r="BE16" s="104">
        <v>1.97</v>
      </c>
      <c r="BF16" s="63">
        <v>1.41</v>
      </c>
      <c r="BG16" s="112">
        <v>1.53</v>
      </c>
      <c r="BH16" s="104">
        <v>1.92</v>
      </c>
      <c r="BI16" s="104">
        <v>7.93</v>
      </c>
      <c r="BJ16" s="46">
        <v>4.28</v>
      </c>
      <c r="BK16" s="105">
        <v>1.34</v>
      </c>
      <c r="BL16" s="65">
        <v>3.43</v>
      </c>
      <c r="BM16" s="37" t="s">
        <v>105</v>
      </c>
      <c r="BN16" s="166">
        <f t="shared" ref="BN16:BN18" si="5">IFERROR(AVERAGE(D16:BM18),0)</f>
        <v>2.5774047619047611</v>
      </c>
      <c r="BO16" s="166">
        <f t="shared" si="1"/>
        <v>7.96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65" t="s">
        <v>11</v>
      </c>
      <c r="B17" s="7" t="s">
        <v>22</v>
      </c>
      <c r="C17" s="11" t="s">
        <v>8</v>
      </c>
      <c r="D17" s="41" t="s">
        <v>105</v>
      </c>
      <c r="E17" s="22">
        <v>0.90700000000000003</v>
      </c>
      <c r="F17" s="22">
        <v>0.309</v>
      </c>
      <c r="G17" s="32">
        <v>3.15</v>
      </c>
      <c r="H17" s="42">
        <v>0.94</v>
      </c>
      <c r="I17" s="129">
        <v>0.96799999999999997</v>
      </c>
      <c r="J17" s="22" t="s">
        <v>105</v>
      </c>
      <c r="K17" s="32">
        <v>1.92</v>
      </c>
      <c r="L17" s="123">
        <v>1.53</v>
      </c>
      <c r="M17" s="60">
        <v>3.98</v>
      </c>
      <c r="N17" s="64">
        <v>4.0199999999999996</v>
      </c>
      <c r="O17" s="32">
        <v>1.81</v>
      </c>
      <c r="P17" s="22" t="s">
        <v>105</v>
      </c>
      <c r="Q17" s="123">
        <v>1.19</v>
      </c>
      <c r="R17" s="60">
        <v>3.14</v>
      </c>
      <c r="S17" s="111">
        <v>2.4700000000000002</v>
      </c>
      <c r="T17" s="22" t="s">
        <v>105</v>
      </c>
      <c r="U17" s="32">
        <v>3.41</v>
      </c>
      <c r="V17" s="123">
        <v>1.64</v>
      </c>
      <c r="W17" s="115">
        <v>3.58</v>
      </c>
      <c r="X17" s="111">
        <v>2.79</v>
      </c>
      <c r="Y17" s="123">
        <v>1.67</v>
      </c>
      <c r="Z17" s="130">
        <v>2.2999999999999998</v>
      </c>
      <c r="AA17" s="123">
        <v>3.04</v>
      </c>
      <c r="AB17" s="115">
        <v>2.2799999999999998</v>
      </c>
      <c r="AC17" s="45">
        <v>0.82099999999999995</v>
      </c>
      <c r="AD17" s="22">
        <v>0.247</v>
      </c>
      <c r="AE17" s="22">
        <v>0.6</v>
      </c>
      <c r="AF17" s="33">
        <v>2</v>
      </c>
      <c r="AG17" s="42">
        <v>0.69899999999999995</v>
      </c>
      <c r="AH17" s="111">
        <v>6.74</v>
      </c>
      <c r="AI17" s="22">
        <v>0.98499999999999999</v>
      </c>
      <c r="AJ17" s="123">
        <v>1.56</v>
      </c>
      <c r="AK17" s="22">
        <v>0.32100000000000001</v>
      </c>
      <c r="AL17" s="115">
        <v>1.64</v>
      </c>
      <c r="AM17" s="45">
        <v>0.746</v>
      </c>
      <c r="AN17" s="123">
        <v>2.0699999999999998</v>
      </c>
      <c r="AO17" s="123">
        <v>1.71</v>
      </c>
      <c r="AP17" s="22">
        <v>2.5000000000000001E-2</v>
      </c>
      <c r="AQ17" s="60">
        <v>2.5099999999999998</v>
      </c>
      <c r="AR17" s="111">
        <v>1.75</v>
      </c>
      <c r="AS17" s="123">
        <v>4.3499999999999996</v>
      </c>
      <c r="AT17" s="32">
        <v>1.53</v>
      </c>
      <c r="AU17" s="34">
        <v>6.1</v>
      </c>
      <c r="AV17" s="115">
        <v>1.04</v>
      </c>
      <c r="AW17" s="45">
        <v>0.66200000000000003</v>
      </c>
      <c r="AX17" s="123">
        <v>2.99</v>
      </c>
      <c r="AY17" s="32">
        <v>2.0699999999999998</v>
      </c>
      <c r="AZ17" s="32">
        <v>1.33</v>
      </c>
      <c r="BA17" s="60">
        <v>3.18</v>
      </c>
      <c r="BB17" s="111">
        <v>1.34</v>
      </c>
      <c r="BC17" s="22" t="s">
        <v>105</v>
      </c>
      <c r="BD17" s="22" t="s">
        <v>105</v>
      </c>
      <c r="BE17" s="22" t="s">
        <v>105</v>
      </c>
      <c r="BF17" s="42" t="s">
        <v>105</v>
      </c>
      <c r="BG17" s="111">
        <v>3.26</v>
      </c>
      <c r="BH17" s="123">
        <v>3.44</v>
      </c>
      <c r="BI17" s="123">
        <v>4.41</v>
      </c>
      <c r="BJ17" s="123">
        <v>2.98</v>
      </c>
      <c r="BK17" s="115">
        <v>2.61</v>
      </c>
      <c r="BL17" s="111">
        <v>1.84</v>
      </c>
      <c r="BM17" s="42">
        <v>0.55200000000000005</v>
      </c>
      <c r="BN17" s="167">
        <f t="shared" si="5"/>
        <v>3.0907441860465119</v>
      </c>
      <c r="BO17" s="167">
        <f t="shared" si="1"/>
        <v>14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65"/>
      <c r="B18" s="8"/>
      <c r="C18" s="12" t="s">
        <v>14</v>
      </c>
      <c r="D18" s="131">
        <v>7.87</v>
      </c>
      <c r="E18" s="117">
        <v>4.34</v>
      </c>
      <c r="F18" s="117">
        <v>2.25</v>
      </c>
      <c r="G18" s="47">
        <v>7.45</v>
      </c>
      <c r="H18" s="116">
        <v>4.5199999999999996</v>
      </c>
      <c r="I18" s="61">
        <v>2.58</v>
      </c>
      <c r="J18" s="117">
        <v>4.04</v>
      </c>
      <c r="K18" s="47">
        <v>5.18</v>
      </c>
      <c r="L18" s="117">
        <v>2.71</v>
      </c>
      <c r="M18" s="116">
        <v>4.2699999999999996</v>
      </c>
      <c r="N18" s="61">
        <v>3.12</v>
      </c>
      <c r="O18" s="39" t="s">
        <v>105</v>
      </c>
      <c r="P18" s="117">
        <v>1.33</v>
      </c>
      <c r="Q18" s="117">
        <v>4.3499999999999996</v>
      </c>
      <c r="R18" s="116">
        <v>4.08</v>
      </c>
      <c r="S18" s="44">
        <v>0.88100000000000001</v>
      </c>
      <c r="T18" s="132">
        <v>1.9</v>
      </c>
      <c r="U18" s="47">
        <v>3.83</v>
      </c>
      <c r="V18" s="117">
        <v>2.12</v>
      </c>
      <c r="W18" s="40">
        <v>0.55000000000000004</v>
      </c>
      <c r="X18" s="109">
        <v>2.42</v>
      </c>
      <c r="Y18" s="117">
        <v>1.83</v>
      </c>
      <c r="Z18" s="117">
        <v>2.09</v>
      </c>
      <c r="AA18" s="117">
        <v>1.45</v>
      </c>
      <c r="AB18" s="40">
        <v>0.83899999999999997</v>
      </c>
      <c r="AC18" s="44" t="s">
        <v>105</v>
      </c>
      <c r="AD18" s="117">
        <v>1.02</v>
      </c>
      <c r="AE18" s="117">
        <v>2.97</v>
      </c>
      <c r="AF18" s="39">
        <v>0.53300000000000003</v>
      </c>
      <c r="AG18" s="116">
        <v>1.66</v>
      </c>
      <c r="AH18" s="109">
        <v>1.38</v>
      </c>
      <c r="AI18" s="117">
        <v>1.1100000000000001</v>
      </c>
      <c r="AJ18" s="117">
        <v>2.67</v>
      </c>
      <c r="AK18" s="47">
        <v>5.22</v>
      </c>
      <c r="AL18" s="59">
        <v>2.2799999999999998</v>
      </c>
      <c r="AM18" s="109">
        <v>3.41</v>
      </c>
      <c r="AN18" s="117">
        <v>4.12</v>
      </c>
      <c r="AO18" s="39" t="s">
        <v>105</v>
      </c>
      <c r="AP18" s="117">
        <v>7.96</v>
      </c>
      <c r="AQ18" s="126">
        <v>3.9</v>
      </c>
      <c r="AR18" s="109">
        <v>1.84</v>
      </c>
      <c r="AS18" s="39" t="s">
        <v>105</v>
      </c>
      <c r="AT18" s="47">
        <v>2.21</v>
      </c>
      <c r="AU18" s="47">
        <v>1.85</v>
      </c>
      <c r="AV18" s="116">
        <v>1.54</v>
      </c>
      <c r="AW18" s="61">
        <v>1.07</v>
      </c>
      <c r="AX18" s="39">
        <v>0.33700000000000002</v>
      </c>
      <c r="AY18" s="47">
        <v>1.0900000000000001</v>
      </c>
      <c r="AZ18" s="117">
        <v>1.85</v>
      </c>
      <c r="BA18" s="116">
        <v>1.1100000000000001</v>
      </c>
      <c r="BB18" s="44">
        <v>0.97</v>
      </c>
      <c r="BC18" s="117">
        <v>1.53</v>
      </c>
      <c r="BD18" s="117">
        <v>1.02</v>
      </c>
      <c r="BE18" s="117">
        <v>1.89</v>
      </c>
      <c r="BF18" s="40">
        <v>0.33700000000000002</v>
      </c>
      <c r="BG18" s="44" t="s">
        <v>105</v>
      </c>
      <c r="BH18" s="117">
        <v>1.56</v>
      </c>
      <c r="BI18" s="117">
        <v>3.02</v>
      </c>
      <c r="BJ18" s="117">
        <v>3.16</v>
      </c>
      <c r="BK18" s="40">
        <v>0.86899999999999999</v>
      </c>
      <c r="BL18" s="109">
        <v>1.54</v>
      </c>
      <c r="BM18" s="116">
        <v>1.54</v>
      </c>
      <c r="BN18" s="168">
        <f t="shared" si="5"/>
        <v>3.5242290502793296</v>
      </c>
      <c r="BO18" s="168">
        <f t="shared" si="1"/>
        <v>14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19</v>
      </c>
      <c r="B19" s="6"/>
      <c r="C19" s="11" t="s">
        <v>10</v>
      </c>
      <c r="D19" s="119">
        <v>3.25</v>
      </c>
      <c r="E19" s="120">
        <v>3.3</v>
      </c>
      <c r="F19" s="46">
        <v>2.95</v>
      </c>
      <c r="G19" s="104">
        <v>6.63</v>
      </c>
      <c r="H19" s="105">
        <v>8.2100000000000009</v>
      </c>
      <c r="I19" s="112">
        <v>9.06</v>
      </c>
      <c r="J19" s="46">
        <v>5.59</v>
      </c>
      <c r="K19" s="46">
        <v>3.83</v>
      </c>
      <c r="L19" s="46">
        <v>6.39</v>
      </c>
      <c r="M19" s="63">
        <v>3.98</v>
      </c>
      <c r="N19" s="65">
        <v>8.81</v>
      </c>
      <c r="O19" s="46">
        <v>4.84</v>
      </c>
      <c r="P19" s="114">
        <v>11.1</v>
      </c>
      <c r="Q19" s="133">
        <v>14</v>
      </c>
      <c r="R19" s="134">
        <v>0.97299999999999998</v>
      </c>
      <c r="S19" s="135">
        <v>11.9</v>
      </c>
      <c r="T19" s="104">
        <v>4.84</v>
      </c>
      <c r="U19" s="46">
        <v>4.63</v>
      </c>
      <c r="V19" s="104">
        <v>6.84</v>
      </c>
      <c r="W19" s="37">
        <v>0.56000000000000005</v>
      </c>
      <c r="X19" s="112">
        <v>1.98</v>
      </c>
      <c r="Y19" s="46">
        <v>4.29</v>
      </c>
      <c r="Z19" s="114">
        <v>12.4</v>
      </c>
      <c r="AA19" s="104">
        <v>1.78</v>
      </c>
      <c r="AB19" s="37">
        <v>0.63200000000000001</v>
      </c>
      <c r="AC19" s="112">
        <v>3.47</v>
      </c>
      <c r="AD19" s="104">
        <v>1.79</v>
      </c>
      <c r="AE19" s="104">
        <v>9.31</v>
      </c>
      <c r="AF19" s="46">
        <v>3.35</v>
      </c>
      <c r="AG19" s="37">
        <v>0.84399999999999997</v>
      </c>
      <c r="AH19" s="112">
        <v>1.59</v>
      </c>
      <c r="AI19" s="104">
        <v>3.13</v>
      </c>
      <c r="AJ19" s="104">
        <v>4.42</v>
      </c>
      <c r="AK19" s="104">
        <v>2.37</v>
      </c>
      <c r="AL19" s="63">
        <v>1.21</v>
      </c>
      <c r="AM19" s="112">
        <v>4.91</v>
      </c>
      <c r="AN19" s="46">
        <v>5.66</v>
      </c>
      <c r="AO19" s="46">
        <v>3.77</v>
      </c>
      <c r="AP19" s="104">
        <v>3.19</v>
      </c>
      <c r="AQ19" s="105">
        <v>5.22</v>
      </c>
      <c r="AR19" s="65">
        <v>3.41</v>
      </c>
      <c r="AS19" s="67">
        <v>4.9000000000000004</v>
      </c>
      <c r="AT19" s="46">
        <v>5.13</v>
      </c>
      <c r="AU19" s="46">
        <v>5.22</v>
      </c>
      <c r="AV19" s="121">
        <v>6.5</v>
      </c>
      <c r="AW19" s="43">
        <v>4.2999999999999997E-2</v>
      </c>
      <c r="AX19" s="36">
        <v>0.625</v>
      </c>
      <c r="AY19" s="104">
        <v>4.49</v>
      </c>
      <c r="AZ19" s="46" t="s">
        <v>105</v>
      </c>
      <c r="BA19" s="105">
        <v>5.24</v>
      </c>
      <c r="BB19" s="112">
        <v>3.93</v>
      </c>
      <c r="BC19" s="104">
        <v>5.65</v>
      </c>
      <c r="BD19" s="36">
        <v>0.503</v>
      </c>
      <c r="BE19" s="46">
        <v>2.39</v>
      </c>
      <c r="BF19" s="63">
        <v>2.37</v>
      </c>
      <c r="BG19" s="112">
        <v>3.93</v>
      </c>
      <c r="BH19" s="46">
        <v>1.92</v>
      </c>
      <c r="BI19" s="46">
        <v>2.84</v>
      </c>
      <c r="BJ19" s="104">
        <v>4.5199999999999996</v>
      </c>
      <c r="BK19" s="63">
        <v>2.4300000000000002</v>
      </c>
      <c r="BL19" s="65">
        <v>3.32</v>
      </c>
      <c r="BM19" s="105">
        <v>5.53</v>
      </c>
      <c r="BN19" s="166">
        <f t="shared" ref="BN19:BN21" si="6">IFERROR(AVERAGE(D19:BM21),0)</f>
        <v>3.6800502793296084</v>
      </c>
      <c r="BO19" s="166">
        <f t="shared" si="1"/>
        <v>14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65" t="s">
        <v>11</v>
      </c>
      <c r="B20" s="7" t="s">
        <v>23</v>
      </c>
      <c r="C20" s="11" t="s">
        <v>8</v>
      </c>
      <c r="D20" s="122">
        <v>6.78</v>
      </c>
      <c r="E20" s="123">
        <v>2.38</v>
      </c>
      <c r="F20" s="123">
        <v>3.31</v>
      </c>
      <c r="G20" s="123">
        <v>9.59</v>
      </c>
      <c r="H20" s="60">
        <v>1.34</v>
      </c>
      <c r="I20" s="111">
        <v>4.6500000000000004</v>
      </c>
      <c r="J20" s="136">
        <v>0.58399999999999996</v>
      </c>
      <c r="K20" s="123">
        <v>4.29</v>
      </c>
      <c r="L20" s="32">
        <v>6.76</v>
      </c>
      <c r="M20" s="60">
        <v>2.33</v>
      </c>
      <c r="N20" s="64">
        <v>1.57</v>
      </c>
      <c r="O20" s="32">
        <v>4.26</v>
      </c>
      <c r="P20" s="123">
        <v>3.33</v>
      </c>
      <c r="Q20" s="107">
        <v>11.3</v>
      </c>
      <c r="R20" s="125">
        <v>6.1</v>
      </c>
      <c r="S20" s="111">
        <v>3.79</v>
      </c>
      <c r="T20" s="32">
        <v>3.68</v>
      </c>
      <c r="U20" s="123">
        <v>2.74</v>
      </c>
      <c r="V20" s="32">
        <v>3.63</v>
      </c>
      <c r="W20" s="115">
        <v>2.76</v>
      </c>
      <c r="X20" s="64">
        <v>3.41</v>
      </c>
      <c r="Y20" s="123">
        <v>2.65</v>
      </c>
      <c r="Z20" s="123">
        <v>2.04</v>
      </c>
      <c r="AA20" s="130">
        <v>2.6</v>
      </c>
      <c r="AB20" s="115">
        <v>1.86</v>
      </c>
      <c r="AC20" s="111">
        <v>2.71</v>
      </c>
      <c r="AD20" s="32">
        <v>2.4300000000000002</v>
      </c>
      <c r="AE20" s="123">
        <v>4.91</v>
      </c>
      <c r="AF20" s="123">
        <v>1.26</v>
      </c>
      <c r="AG20" s="115">
        <v>5.89</v>
      </c>
      <c r="AH20" s="111">
        <v>3.89</v>
      </c>
      <c r="AI20" s="123">
        <v>1.83</v>
      </c>
      <c r="AJ20" s="123">
        <v>2.72</v>
      </c>
      <c r="AK20" s="32">
        <v>1.49</v>
      </c>
      <c r="AL20" s="60">
        <v>1.08</v>
      </c>
      <c r="AM20" s="64">
        <v>2.61</v>
      </c>
      <c r="AN20" s="22" t="s">
        <v>105</v>
      </c>
      <c r="AO20" s="123">
        <v>3.01</v>
      </c>
      <c r="AP20" s="32">
        <v>3.97</v>
      </c>
      <c r="AQ20" s="60">
        <v>4.24</v>
      </c>
      <c r="AR20" s="64">
        <v>7.47</v>
      </c>
      <c r="AS20" s="32">
        <v>4.43</v>
      </c>
      <c r="AT20" s="32">
        <v>5.18</v>
      </c>
      <c r="AU20" s="32">
        <v>3.94</v>
      </c>
      <c r="AV20" s="60">
        <v>3.26</v>
      </c>
      <c r="AW20" s="111">
        <v>2.42</v>
      </c>
      <c r="AX20" s="22">
        <v>4.2999999999999997E-2</v>
      </c>
      <c r="AY20" s="123">
        <v>1.78</v>
      </c>
      <c r="AZ20" s="32">
        <v>1.86</v>
      </c>
      <c r="BA20" s="115">
        <v>4.67</v>
      </c>
      <c r="BB20" s="111">
        <v>6.72</v>
      </c>
      <c r="BC20" s="123">
        <v>2.31</v>
      </c>
      <c r="BD20" s="123">
        <v>1.83</v>
      </c>
      <c r="BE20" s="22">
        <v>9.4E-2</v>
      </c>
      <c r="BF20" s="60">
        <v>3.94</v>
      </c>
      <c r="BG20" s="64">
        <v>2.72</v>
      </c>
      <c r="BH20" s="123">
        <v>1.76</v>
      </c>
      <c r="BI20" s="32">
        <v>4.1399999999999997</v>
      </c>
      <c r="BJ20" s="33">
        <v>2</v>
      </c>
      <c r="BK20" s="60">
        <v>7.18</v>
      </c>
      <c r="BL20" s="64">
        <v>4.29</v>
      </c>
      <c r="BM20" s="60">
        <v>2.57</v>
      </c>
      <c r="BN20" s="167">
        <f t="shared" si="6"/>
        <v>3.1885480225988689</v>
      </c>
      <c r="BO20" s="167">
        <f t="shared" si="1"/>
        <v>11.3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65"/>
      <c r="B21" s="8"/>
      <c r="C21" s="12" t="s">
        <v>14</v>
      </c>
      <c r="D21" s="131">
        <v>7.04</v>
      </c>
      <c r="E21" s="39">
        <v>0.58899999999999997</v>
      </c>
      <c r="F21" s="39" t="s">
        <v>105</v>
      </c>
      <c r="G21" s="132">
        <v>1.3</v>
      </c>
      <c r="H21" s="66">
        <v>1.4</v>
      </c>
      <c r="I21" s="137">
        <v>3.3</v>
      </c>
      <c r="J21" s="47">
        <v>1.44</v>
      </c>
      <c r="K21" s="47">
        <v>2.64</v>
      </c>
      <c r="L21" s="117">
        <v>9.5500000000000007</v>
      </c>
      <c r="M21" s="116">
        <v>1.47</v>
      </c>
      <c r="N21" s="80">
        <v>1.8</v>
      </c>
      <c r="O21" s="47">
        <v>7.16</v>
      </c>
      <c r="P21" s="117">
        <v>1.64</v>
      </c>
      <c r="Q21" s="117">
        <v>2.16</v>
      </c>
      <c r="R21" s="116">
        <v>3.56</v>
      </c>
      <c r="S21" s="137">
        <v>2.2999999999999998</v>
      </c>
      <c r="T21" s="117">
        <v>8.65</v>
      </c>
      <c r="U21" s="47">
        <v>5.47</v>
      </c>
      <c r="V21" s="117">
        <v>1.43</v>
      </c>
      <c r="W21" s="40" t="s">
        <v>105</v>
      </c>
      <c r="X21" s="61" t="s">
        <v>105</v>
      </c>
      <c r="Y21" s="47">
        <v>3.83</v>
      </c>
      <c r="Z21" s="39" t="s">
        <v>105</v>
      </c>
      <c r="AA21" s="117">
        <v>2.4700000000000002</v>
      </c>
      <c r="AB21" s="59">
        <v>2.34</v>
      </c>
      <c r="AC21" s="109">
        <v>1.04</v>
      </c>
      <c r="AD21" s="117">
        <v>3.83</v>
      </c>
      <c r="AE21" s="117">
        <v>2.5099999999999998</v>
      </c>
      <c r="AF21" s="117">
        <v>1.47</v>
      </c>
      <c r="AG21" s="116">
        <v>6.15</v>
      </c>
      <c r="AH21" s="109">
        <v>4.55</v>
      </c>
      <c r="AI21" s="39">
        <v>0.93200000000000005</v>
      </c>
      <c r="AJ21" s="117">
        <v>1.71</v>
      </c>
      <c r="AK21" s="132">
        <v>6.6</v>
      </c>
      <c r="AL21" s="59">
        <v>4.4400000000000004</v>
      </c>
      <c r="AM21" s="61">
        <v>2.72</v>
      </c>
      <c r="AN21" s="117">
        <v>2.04</v>
      </c>
      <c r="AO21" s="47">
        <v>3.78</v>
      </c>
      <c r="AP21" s="47">
        <v>2.87</v>
      </c>
      <c r="AQ21" s="116">
        <v>3.62</v>
      </c>
      <c r="AR21" s="61">
        <v>2.3199999999999998</v>
      </c>
      <c r="AS21" s="47">
        <v>1.44</v>
      </c>
      <c r="AT21" s="47">
        <v>2.15</v>
      </c>
      <c r="AU21" s="47">
        <v>3.49</v>
      </c>
      <c r="AV21" s="40" t="s">
        <v>105</v>
      </c>
      <c r="AW21" s="61">
        <v>4.1500000000000004</v>
      </c>
      <c r="AX21" s="117">
        <v>1.59</v>
      </c>
      <c r="AY21" s="117">
        <v>2.11</v>
      </c>
      <c r="AZ21" s="47">
        <v>2.67</v>
      </c>
      <c r="BA21" s="116">
        <v>3.36</v>
      </c>
      <c r="BB21" s="109">
        <v>2.58</v>
      </c>
      <c r="BC21" s="117">
        <v>3.17</v>
      </c>
      <c r="BD21" s="117">
        <v>1.43</v>
      </c>
      <c r="BE21" s="47">
        <v>2.59</v>
      </c>
      <c r="BF21" s="59">
        <v>3.33</v>
      </c>
      <c r="BG21" s="109">
        <v>1.66</v>
      </c>
      <c r="BH21" s="138">
        <v>0.50900000000000001</v>
      </c>
      <c r="BI21" s="138">
        <v>0.82799999999999996</v>
      </c>
      <c r="BJ21" s="117">
        <v>1.65</v>
      </c>
      <c r="BK21" s="59">
        <v>3.74</v>
      </c>
      <c r="BL21" s="109">
        <v>2.66</v>
      </c>
      <c r="BM21" s="59">
        <v>5.23</v>
      </c>
      <c r="BN21" s="168">
        <f t="shared" si="6"/>
        <v>2.8761534090909096</v>
      </c>
      <c r="BO21" s="168">
        <f t="shared" si="1"/>
        <v>9.5500000000000007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19</v>
      </c>
      <c r="B22" s="6"/>
      <c r="C22" s="11" t="s">
        <v>10</v>
      </c>
      <c r="D22" s="62">
        <v>7.57</v>
      </c>
      <c r="E22" s="120">
        <v>4.9000000000000004</v>
      </c>
      <c r="F22" s="36">
        <v>0.47899999999999998</v>
      </c>
      <c r="G22" s="104">
        <v>2.23</v>
      </c>
      <c r="H22" s="63">
        <v>1.35</v>
      </c>
      <c r="I22" s="139">
        <v>0.75600000000000001</v>
      </c>
      <c r="J22" s="140">
        <v>0.192</v>
      </c>
      <c r="K22" s="46">
        <v>3.34</v>
      </c>
      <c r="L22" s="104">
        <v>3.14</v>
      </c>
      <c r="M22" s="63">
        <v>3.57</v>
      </c>
      <c r="N22" s="65">
        <v>2.4300000000000002</v>
      </c>
      <c r="O22" s="46">
        <v>4.51</v>
      </c>
      <c r="P22" s="46">
        <v>4.92</v>
      </c>
      <c r="Q22" s="46">
        <v>2.77</v>
      </c>
      <c r="R22" s="63">
        <v>5.92</v>
      </c>
      <c r="S22" s="65">
        <v>2.4700000000000002</v>
      </c>
      <c r="T22" s="46">
        <v>5.35</v>
      </c>
      <c r="U22" s="46">
        <v>1.76</v>
      </c>
      <c r="V22" s="46">
        <v>3.15</v>
      </c>
      <c r="W22" s="37">
        <v>0.39700000000000002</v>
      </c>
      <c r="X22" s="112">
        <v>3.97</v>
      </c>
      <c r="Y22" s="104">
        <v>2.37</v>
      </c>
      <c r="Z22" s="104">
        <v>3.76</v>
      </c>
      <c r="AA22" s="46">
        <v>2.69</v>
      </c>
      <c r="AB22" s="37" t="s">
        <v>105</v>
      </c>
      <c r="AC22" s="112">
        <v>2.97</v>
      </c>
      <c r="AD22" s="104">
        <v>1.64</v>
      </c>
      <c r="AE22" s="67">
        <v>7.4</v>
      </c>
      <c r="AF22" s="36">
        <v>5.1999999999999998E-2</v>
      </c>
      <c r="AG22" s="69">
        <v>2.6</v>
      </c>
      <c r="AH22" s="112">
        <v>3.17</v>
      </c>
      <c r="AI22" s="104">
        <v>3.01</v>
      </c>
      <c r="AJ22" s="104">
        <v>4.18</v>
      </c>
      <c r="AK22" s="46">
        <v>2.31</v>
      </c>
      <c r="AL22" s="105">
        <v>2.36</v>
      </c>
      <c r="AM22" s="112">
        <v>2.36</v>
      </c>
      <c r="AN22" s="46">
        <v>1.1499999999999999</v>
      </c>
      <c r="AO22" s="36" t="s">
        <v>105</v>
      </c>
      <c r="AP22" s="46">
        <v>1.98</v>
      </c>
      <c r="AQ22" s="105">
        <v>4.6500000000000004</v>
      </c>
      <c r="AR22" s="65">
        <v>3.71</v>
      </c>
      <c r="AS22" s="70">
        <v>3</v>
      </c>
      <c r="AT22" s="140">
        <v>0.52300000000000002</v>
      </c>
      <c r="AU22" s="46">
        <v>3.46</v>
      </c>
      <c r="AV22" s="105">
        <v>4.22</v>
      </c>
      <c r="AW22" s="65">
        <v>4.38</v>
      </c>
      <c r="AX22" s="46">
        <v>3.28</v>
      </c>
      <c r="AY22" s="120">
        <v>2.6</v>
      </c>
      <c r="AZ22" s="46">
        <v>4.1100000000000003</v>
      </c>
      <c r="BA22" s="105">
        <v>2.64</v>
      </c>
      <c r="BB22" s="65">
        <v>4.38</v>
      </c>
      <c r="BC22" s="104">
        <v>3.28</v>
      </c>
      <c r="BD22" s="104">
        <v>1.01</v>
      </c>
      <c r="BE22" s="104">
        <v>2.5299999999999998</v>
      </c>
      <c r="BF22" s="121">
        <v>2.9</v>
      </c>
      <c r="BG22" s="65">
        <v>1.67</v>
      </c>
      <c r="BH22" s="104">
        <v>1.91</v>
      </c>
      <c r="BI22" s="120">
        <v>5.0999999999999996</v>
      </c>
      <c r="BJ22" s="36" t="s">
        <v>105</v>
      </c>
      <c r="BK22" s="105">
        <v>2.61</v>
      </c>
      <c r="BL22" s="43">
        <v>9.5000000000000001E-2</v>
      </c>
      <c r="BM22" s="121">
        <v>6.3</v>
      </c>
      <c r="BN22" s="166">
        <f t="shared" ref="BN22:BN24" si="7">IFERROR(AVERAGE(D22:BM24),0)</f>
        <v>2.819325842696629</v>
      </c>
      <c r="BO22" s="166">
        <f t="shared" si="1"/>
        <v>10.6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65" t="s">
        <v>11</v>
      </c>
      <c r="B23" s="7" t="s">
        <v>24</v>
      </c>
      <c r="C23" s="11" t="s">
        <v>8</v>
      </c>
      <c r="D23" s="122">
        <v>4.2699999999999996</v>
      </c>
      <c r="E23" s="22">
        <v>0.70199999999999996</v>
      </c>
      <c r="F23" s="32">
        <v>3.32</v>
      </c>
      <c r="G23" s="123">
        <v>1.35</v>
      </c>
      <c r="H23" s="115">
        <v>3.33</v>
      </c>
      <c r="I23" s="45">
        <v>3.7999999999999999E-2</v>
      </c>
      <c r="J23" s="136">
        <v>0.88900000000000001</v>
      </c>
      <c r="K23" s="32">
        <v>4.5199999999999996</v>
      </c>
      <c r="L23" s="32">
        <v>1.54</v>
      </c>
      <c r="M23" s="60">
        <v>2.25</v>
      </c>
      <c r="N23" s="111">
        <v>3.41</v>
      </c>
      <c r="O23" s="32">
        <v>4.0199999999999996</v>
      </c>
      <c r="P23" s="32">
        <v>2.42</v>
      </c>
      <c r="Q23" s="123">
        <v>1.75</v>
      </c>
      <c r="R23" s="60">
        <v>3.01</v>
      </c>
      <c r="S23" s="64">
        <v>1.44</v>
      </c>
      <c r="T23" s="32">
        <v>2.12</v>
      </c>
      <c r="U23" s="123">
        <v>2.54</v>
      </c>
      <c r="V23" s="32">
        <v>2.93</v>
      </c>
      <c r="W23" s="42">
        <v>0.93700000000000006</v>
      </c>
      <c r="X23" s="111">
        <v>1.75</v>
      </c>
      <c r="Y23" s="123">
        <v>1.71</v>
      </c>
      <c r="Z23" s="32">
        <v>4.62</v>
      </c>
      <c r="AA23" s="32">
        <v>1.94</v>
      </c>
      <c r="AB23" s="115">
        <v>3.02</v>
      </c>
      <c r="AC23" s="111">
        <v>1.95</v>
      </c>
      <c r="AD23" s="123">
        <v>2.5099999999999998</v>
      </c>
      <c r="AE23" s="32">
        <v>2.96</v>
      </c>
      <c r="AF23" s="123">
        <v>1.68</v>
      </c>
      <c r="AG23" s="42">
        <v>0.86199999999999999</v>
      </c>
      <c r="AH23" s="64">
        <v>2.5499999999999998</v>
      </c>
      <c r="AI23" s="123">
        <v>1.53</v>
      </c>
      <c r="AJ23" s="123">
        <v>3.85</v>
      </c>
      <c r="AK23" s="123">
        <v>1.62</v>
      </c>
      <c r="AL23" s="115">
        <v>2.14</v>
      </c>
      <c r="AM23" s="64">
        <v>3.34</v>
      </c>
      <c r="AN23" s="32">
        <v>1.41</v>
      </c>
      <c r="AO23" s="32">
        <v>3.76</v>
      </c>
      <c r="AP23" s="32">
        <v>2.56</v>
      </c>
      <c r="AQ23" s="42" t="s">
        <v>105</v>
      </c>
      <c r="AR23" s="111">
        <v>1.19</v>
      </c>
      <c r="AS23" s="32">
        <v>3.19</v>
      </c>
      <c r="AT23" s="32">
        <v>5.16</v>
      </c>
      <c r="AU23" s="32">
        <v>4.43</v>
      </c>
      <c r="AV23" s="60">
        <v>3.13</v>
      </c>
      <c r="AW23" s="64">
        <v>2.2799999999999998</v>
      </c>
      <c r="AX23" s="136">
        <v>0.94699999999999995</v>
      </c>
      <c r="AY23" s="32">
        <v>3.91</v>
      </c>
      <c r="AZ23" s="32">
        <v>4.4800000000000004</v>
      </c>
      <c r="BA23" s="60">
        <v>5.83</v>
      </c>
      <c r="BB23" s="111">
        <v>3.29</v>
      </c>
      <c r="BC23" s="32">
        <v>3.45</v>
      </c>
      <c r="BD23" s="32">
        <v>2.46</v>
      </c>
      <c r="BE23" s="130">
        <v>1.1000000000000001</v>
      </c>
      <c r="BF23" s="60">
        <v>4.78</v>
      </c>
      <c r="BG23" s="45">
        <v>0.85599999999999998</v>
      </c>
      <c r="BH23" s="123">
        <v>2.2599999999999998</v>
      </c>
      <c r="BI23" s="32">
        <v>3.32</v>
      </c>
      <c r="BJ23" s="22" t="s">
        <v>105</v>
      </c>
      <c r="BK23" s="115">
        <v>2.2200000000000002</v>
      </c>
      <c r="BL23" s="111">
        <v>1.35</v>
      </c>
      <c r="BM23" s="60">
        <v>4.03</v>
      </c>
      <c r="BN23" s="167">
        <f t="shared" si="7"/>
        <v>2.6802195121951211</v>
      </c>
      <c r="BO23" s="167">
        <f t="shared" si="1"/>
        <v>10.6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65"/>
      <c r="B24" s="8"/>
      <c r="C24" s="12" t="s">
        <v>14</v>
      </c>
      <c r="D24" s="141">
        <v>3.8</v>
      </c>
      <c r="E24" s="39">
        <v>1.9E-2</v>
      </c>
      <c r="F24" s="117">
        <v>1.1599999999999999</v>
      </c>
      <c r="G24" s="47">
        <v>2.0099999999999998</v>
      </c>
      <c r="H24" s="59">
        <v>2.31</v>
      </c>
      <c r="I24" s="137">
        <v>5.8</v>
      </c>
      <c r="J24" s="47">
        <v>2.86</v>
      </c>
      <c r="K24" s="47">
        <v>1.39</v>
      </c>
      <c r="L24" s="138">
        <v>0.30499999999999999</v>
      </c>
      <c r="M24" s="76">
        <v>4</v>
      </c>
      <c r="N24" s="61">
        <v>1.84</v>
      </c>
      <c r="O24" s="142">
        <v>10</v>
      </c>
      <c r="P24" s="47">
        <v>4.7699999999999996</v>
      </c>
      <c r="Q24" s="47">
        <v>3.12</v>
      </c>
      <c r="R24" s="59">
        <v>5.64</v>
      </c>
      <c r="S24" s="61">
        <v>3.81</v>
      </c>
      <c r="T24" s="47">
        <v>3.48</v>
      </c>
      <c r="U24" s="47">
        <v>3.41</v>
      </c>
      <c r="V24" s="77">
        <v>2</v>
      </c>
      <c r="W24" s="126">
        <v>1.3</v>
      </c>
      <c r="X24" s="109">
        <v>4.26</v>
      </c>
      <c r="Y24" s="117">
        <v>3.03</v>
      </c>
      <c r="Z24" s="117">
        <v>8.48</v>
      </c>
      <c r="AA24" s="117">
        <v>1.21</v>
      </c>
      <c r="AB24" s="116">
        <v>1.81</v>
      </c>
      <c r="AC24" s="44">
        <v>0.56000000000000005</v>
      </c>
      <c r="AD24" s="117">
        <v>1.82</v>
      </c>
      <c r="AE24" s="47">
        <v>2.3199999999999998</v>
      </c>
      <c r="AF24" s="117">
        <v>1.03</v>
      </c>
      <c r="AG24" s="116">
        <v>1.53</v>
      </c>
      <c r="AH24" s="109">
        <v>1.95</v>
      </c>
      <c r="AI24" s="117">
        <v>3.78</v>
      </c>
      <c r="AJ24" s="47">
        <v>4.17</v>
      </c>
      <c r="AK24" s="117">
        <v>1.36</v>
      </c>
      <c r="AL24" s="116">
        <v>2.73</v>
      </c>
      <c r="AM24" s="61">
        <v>1.38</v>
      </c>
      <c r="AN24" s="47">
        <v>3.67</v>
      </c>
      <c r="AO24" s="47">
        <v>1.56</v>
      </c>
      <c r="AP24" s="39" t="s">
        <v>105</v>
      </c>
      <c r="AQ24" s="143">
        <v>0.35299999999999998</v>
      </c>
      <c r="AR24" s="61">
        <v>2.42</v>
      </c>
      <c r="AS24" s="47">
        <v>1.34</v>
      </c>
      <c r="AT24" s="47">
        <v>4.01</v>
      </c>
      <c r="AU24" s="39" t="s">
        <v>105</v>
      </c>
      <c r="AV24" s="143">
        <v>0.23599999999999999</v>
      </c>
      <c r="AW24" s="109">
        <v>2.0099999999999998</v>
      </c>
      <c r="AX24" s="39">
        <v>0.81399999999999995</v>
      </c>
      <c r="AY24" s="47">
        <v>3.71</v>
      </c>
      <c r="AZ24" s="47">
        <v>4.26</v>
      </c>
      <c r="BA24" s="59">
        <v>2.2599999999999998</v>
      </c>
      <c r="BB24" s="44">
        <v>0.95399999999999996</v>
      </c>
      <c r="BC24" s="117">
        <v>5.64</v>
      </c>
      <c r="BD24" s="117">
        <v>5.0199999999999996</v>
      </c>
      <c r="BE24" s="117">
        <v>1.65</v>
      </c>
      <c r="BF24" s="118">
        <v>10.6</v>
      </c>
      <c r="BG24" s="109">
        <v>1.61</v>
      </c>
      <c r="BH24" s="117">
        <v>1.69</v>
      </c>
      <c r="BI24" s="117">
        <v>3.37</v>
      </c>
      <c r="BJ24" s="117">
        <v>3.82</v>
      </c>
      <c r="BK24" s="40" t="s">
        <v>105</v>
      </c>
      <c r="BL24" s="44">
        <v>0.14399999999999999</v>
      </c>
      <c r="BM24" s="59">
        <v>2.5099999999999998</v>
      </c>
      <c r="BN24" s="168">
        <f t="shared" si="7"/>
        <v>2.6717536231884056</v>
      </c>
      <c r="BO24" s="168">
        <f t="shared" si="1"/>
        <v>10.6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19</v>
      </c>
      <c r="B25" s="6" t="s">
        <v>9</v>
      </c>
      <c r="C25" s="11" t="s">
        <v>10</v>
      </c>
      <c r="D25" s="35" t="s">
        <v>105</v>
      </c>
      <c r="E25" s="36" t="s">
        <v>105</v>
      </c>
      <c r="F25" s="36" t="s">
        <v>105</v>
      </c>
      <c r="G25" s="36" t="s">
        <v>105</v>
      </c>
      <c r="H25" s="105">
        <v>2.81</v>
      </c>
      <c r="I25" s="43" t="s">
        <v>105</v>
      </c>
      <c r="J25" s="36" t="s">
        <v>105</v>
      </c>
      <c r="K25" s="36" t="s">
        <v>105</v>
      </c>
      <c r="L25" s="36" t="s">
        <v>105</v>
      </c>
      <c r="M25" s="37" t="s">
        <v>105</v>
      </c>
      <c r="N25" s="43" t="s">
        <v>105</v>
      </c>
      <c r="O25" s="36" t="s">
        <v>105</v>
      </c>
      <c r="P25" s="36" t="s">
        <v>105</v>
      </c>
      <c r="Q25" s="36" t="s">
        <v>105</v>
      </c>
      <c r="R25" s="37" t="s">
        <v>105</v>
      </c>
      <c r="S25" s="43" t="s">
        <v>105</v>
      </c>
      <c r="T25" s="36" t="s">
        <v>105</v>
      </c>
      <c r="U25" s="36" t="s">
        <v>105</v>
      </c>
      <c r="V25" s="36" t="s">
        <v>105</v>
      </c>
      <c r="W25" s="37" t="s">
        <v>105</v>
      </c>
      <c r="X25" s="43" t="s">
        <v>105</v>
      </c>
      <c r="Y25" s="36" t="s">
        <v>105</v>
      </c>
      <c r="Z25" s="36" t="s">
        <v>105</v>
      </c>
      <c r="AA25" s="36" t="s">
        <v>105</v>
      </c>
      <c r="AB25" s="37" t="s">
        <v>105</v>
      </c>
      <c r="AC25" s="43" t="s">
        <v>105</v>
      </c>
      <c r="AD25" s="36" t="s">
        <v>105</v>
      </c>
      <c r="AE25" s="36" t="s">
        <v>105</v>
      </c>
      <c r="AF25" s="36" t="s">
        <v>105</v>
      </c>
      <c r="AG25" s="37" t="s">
        <v>105</v>
      </c>
      <c r="AH25" s="43" t="s">
        <v>105</v>
      </c>
      <c r="AI25" s="36" t="s">
        <v>105</v>
      </c>
      <c r="AJ25" s="36" t="s">
        <v>105</v>
      </c>
      <c r="AK25" s="36" t="s">
        <v>105</v>
      </c>
      <c r="AL25" s="37" t="s">
        <v>105</v>
      </c>
      <c r="AM25" s="43" t="s">
        <v>105</v>
      </c>
      <c r="AN25" s="36" t="s">
        <v>105</v>
      </c>
      <c r="AO25" s="36" t="s">
        <v>105</v>
      </c>
      <c r="AP25" s="36" t="s">
        <v>105</v>
      </c>
      <c r="AQ25" s="37" t="s">
        <v>105</v>
      </c>
      <c r="AR25" s="43" t="s">
        <v>105</v>
      </c>
      <c r="AS25" s="36" t="s">
        <v>105</v>
      </c>
      <c r="AT25" s="36" t="s">
        <v>105</v>
      </c>
      <c r="AU25" s="36" t="s">
        <v>105</v>
      </c>
      <c r="AV25" s="37" t="s">
        <v>105</v>
      </c>
      <c r="AW25" s="43" t="s">
        <v>105</v>
      </c>
      <c r="AX25" s="36" t="s">
        <v>105</v>
      </c>
      <c r="AY25" s="36" t="s">
        <v>105</v>
      </c>
      <c r="AZ25" s="36" t="s">
        <v>105</v>
      </c>
      <c r="BA25" s="37" t="s">
        <v>105</v>
      </c>
      <c r="BB25" s="43" t="s">
        <v>105</v>
      </c>
      <c r="BC25" s="36" t="s">
        <v>105</v>
      </c>
      <c r="BD25" s="36" t="s">
        <v>105</v>
      </c>
      <c r="BE25" s="36" t="s">
        <v>105</v>
      </c>
      <c r="BF25" s="37" t="s">
        <v>105</v>
      </c>
      <c r="BG25" s="43" t="s">
        <v>105</v>
      </c>
      <c r="BH25" s="36" t="s">
        <v>105</v>
      </c>
      <c r="BI25" s="46">
        <v>1.73</v>
      </c>
      <c r="BJ25" s="36">
        <v>0.70199999999999996</v>
      </c>
      <c r="BK25" s="37" t="s">
        <v>105</v>
      </c>
      <c r="BL25" s="43">
        <v>0.11899999999999999</v>
      </c>
      <c r="BM25" s="37" t="s">
        <v>105</v>
      </c>
      <c r="BN25" s="166">
        <f t="shared" ref="BN25:BN27" si="8">IFERROR(AVERAGE(D25:BM27),0)</f>
        <v>1.6724999999999999</v>
      </c>
      <c r="BO25" s="166">
        <f t="shared" si="1"/>
        <v>4.82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65" t="s">
        <v>11</v>
      </c>
      <c r="B26" s="7" t="s">
        <v>12</v>
      </c>
      <c r="C26" s="11" t="s">
        <v>8</v>
      </c>
      <c r="D26" s="41" t="s">
        <v>105</v>
      </c>
      <c r="E26" s="123">
        <v>1.52</v>
      </c>
      <c r="F26" s="22" t="s">
        <v>105</v>
      </c>
      <c r="G26" s="22" t="s">
        <v>105</v>
      </c>
      <c r="H26" s="115">
        <v>1.36</v>
      </c>
      <c r="I26" s="45" t="s">
        <v>105</v>
      </c>
      <c r="J26" s="22" t="s">
        <v>105</v>
      </c>
      <c r="K26" s="22" t="s">
        <v>105</v>
      </c>
      <c r="L26" s="22" t="s">
        <v>105</v>
      </c>
      <c r="M26" s="42" t="s">
        <v>105</v>
      </c>
      <c r="N26" s="45" t="s">
        <v>105</v>
      </c>
      <c r="O26" s="22" t="s">
        <v>105</v>
      </c>
      <c r="P26" s="22" t="s">
        <v>105</v>
      </c>
      <c r="Q26" s="22" t="s">
        <v>105</v>
      </c>
      <c r="R26" s="42" t="s">
        <v>105</v>
      </c>
      <c r="S26" s="45" t="s">
        <v>105</v>
      </c>
      <c r="T26" s="22" t="s">
        <v>105</v>
      </c>
      <c r="U26" s="22" t="s">
        <v>105</v>
      </c>
      <c r="V26" s="22" t="s">
        <v>105</v>
      </c>
      <c r="W26" s="42" t="s">
        <v>105</v>
      </c>
      <c r="X26" s="45" t="s">
        <v>105</v>
      </c>
      <c r="Y26" s="22" t="s">
        <v>105</v>
      </c>
      <c r="Z26" s="22" t="s">
        <v>105</v>
      </c>
      <c r="AA26" s="22" t="s">
        <v>105</v>
      </c>
      <c r="AB26" s="42" t="s">
        <v>105</v>
      </c>
      <c r="AC26" s="45" t="s">
        <v>105</v>
      </c>
      <c r="AD26" s="22" t="s">
        <v>105</v>
      </c>
      <c r="AE26" s="22" t="s">
        <v>105</v>
      </c>
      <c r="AF26" s="22" t="s">
        <v>105</v>
      </c>
      <c r="AG26" s="42" t="s">
        <v>105</v>
      </c>
      <c r="AH26" s="45" t="s">
        <v>105</v>
      </c>
      <c r="AI26" s="22" t="s">
        <v>105</v>
      </c>
      <c r="AJ26" s="22" t="s">
        <v>105</v>
      </c>
      <c r="AK26" s="22" t="s">
        <v>105</v>
      </c>
      <c r="AL26" s="42" t="s">
        <v>105</v>
      </c>
      <c r="AM26" s="45" t="s">
        <v>105</v>
      </c>
      <c r="AN26" s="22" t="s">
        <v>105</v>
      </c>
      <c r="AO26" s="22" t="s">
        <v>105</v>
      </c>
      <c r="AP26" s="22" t="s">
        <v>105</v>
      </c>
      <c r="AQ26" s="42" t="s">
        <v>105</v>
      </c>
      <c r="AR26" s="45" t="s">
        <v>105</v>
      </c>
      <c r="AS26" s="22" t="s">
        <v>105</v>
      </c>
      <c r="AT26" s="22" t="s">
        <v>105</v>
      </c>
      <c r="AU26" s="22" t="s">
        <v>105</v>
      </c>
      <c r="AV26" s="42" t="s">
        <v>105</v>
      </c>
      <c r="AW26" s="45" t="s">
        <v>105</v>
      </c>
      <c r="AX26" s="22" t="s">
        <v>105</v>
      </c>
      <c r="AY26" s="22" t="s">
        <v>105</v>
      </c>
      <c r="AZ26" s="22" t="s">
        <v>105</v>
      </c>
      <c r="BA26" s="42" t="s">
        <v>105</v>
      </c>
      <c r="BB26" s="45" t="s">
        <v>105</v>
      </c>
      <c r="BC26" s="22" t="s">
        <v>105</v>
      </c>
      <c r="BD26" s="22" t="s">
        <v>105</v>
      </c>
      <c r="BE26" s="22" t="s">
        <v>105</v>
      </c>
      <c r="BF26" s="42" t="s">
        <v>105</v>
      </c>
      <c r="BG26" s="45" t="s">
        <v>105</v>
      </c>
      <c r="BH26" s="22" t="s">
        <v>105</v>
      </c>
      <c r="BI26" s="123">
        <v>4.82</v>
      </c>
      <c r="BJ26" s="22">
        <v>0.80800000000000005</v>
      </c>
      <c r="BK26" s="42">
        <v>0.627</v>
      </c>
      <c r="BL26" s="111">
        <v>1.76</v>
      </c>
      <c r="BM26" s="42" t="s">
        <v>105</v>
      </c>
      <c r="BN26" s="167">
        <f t="shared" si="8"/>
        <v>1.8566111111111114</v>
      </c>
      <c r="BO26" s="167">
        <f t="shared" si="1"/>
        <v>4.82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65"/>
      <c r="B27" s="8" t="s">
        <v>25</v>
      </c>
      <c r="C27" s="12" t="s">
        <v>14</v>
      </c>
      <c r="D27" s="38" t="s">
        <v>105</v>
      </c>
      <c r="E27" s="39" t="s">
        <v>105</v>
      </c>
      <c r="F27" s="117">
        <v>1.68</v>
      </c>
      <c r="G27" s="39" t="s">
        <v>105</v>
      </c>
      <c r="H27" s="116">
        <v>3.32</v>
      </c>
      <c r="I27" s="44" t="s">
        <v>105</v>
      </c>
      <c r="J27" s="39" t="s">
        <v>105</v>
      </c>
      <c r="K27" s="39" t="s">
        <v>105</v>
      </c>
      <c r="L27" s="39" t="s">
        <v>105</v>
      </c>
      <c r="M27" s="40" t="s">
        <v>105</v>
      </c>
      <c r="N27" s="44" t="s">
        <v>105</v>
      </c>
      <c r="O27" s="39" t="s">
        <v>105</v>
      </c>
      <c r="P27" s="39" t="s">
        <v>105</v>
      </c>
      <c r="Q27" s="39" t="s">
        <v>105</v>
      </c>
      <c r="R27" s="40" t="s">
        <v>105</v>
      </c>
      <c r="S27" s="44" t="s">
        <v>105</v>
      </c>
      <c r="T27" s="39" t="s">
        <v>105</v>
      </c>
      <c r="U27" s="39" t="s">
        <v>105</v>
      </c>
      <c r="V27" s="39" t="s">
        <v>105</v>
      </c>
      <c r="W27" s="40" t="s">
        <v>105</v>
      </c>
      <c r="X27" s="44" t="s">
        <v>105</v>
      </c>
      <c r="Y27" s="39" t="s">
        <v>105</v>
      </c>
      <c r="Z27" s="39" t="s">
        <v>105</v>
      </c>
      <c r="AA27" s="39" t="s">
        <v>105</v>
      </c>
      <c r="AB27" s="40" t="s">
        <v>105</v>
      </c>
      <c r="AC27" s="44" t="s">
        <v>105</v>
      </c>
      <c r="AD27" s="39" t="s">
        <v>105</v>
      </c>
      <c r="AE27" s="39" t="s">
        <v>105</v>
      </c>
      <c r="AF27" s="39" t="s">
        <v>105</v>
      </c>
      <c r="AG27" s="40" t="s">
        <v>105</v>
      </c>
      <c r="AH27" s="44" t="s">
        <v>105</v>
      </c>
      <c r="AI27" s="39" t="s">
        <v>105</v>
      </c>
      <c r="AJ27" s="39" t="s">
        <v>105</v>
      </c>
      <c r="AK27" s="39" t="s">
        <v>105</v>
      </c>
      <c r="AL27" s="40" t="s">
        <v>105</v>
      </c>
      <c r="AM27" s="44" t="s">
        <v>105</v>
      </c>
      <c r="AN27" s="39" t="s">
        <v>105</v>
      </c>
      <c r="AO27" s="39" t="s">
        <v>105</v>
      </c>
      <c r="AP27" s="39" t="s">
        <v>105</v>
      </c>
      <c r="AQ27" s="40" t="s">
        <v>105</v>
      </c>
      <c r="AR27" s="44" t="s">
        <v>105</v>
      </c>
      <c r="AS27" s="39" t="s">
        <v>105</v>
      </c>
      <c r="AT27" s="39" t="s">
        <v>105</v>
      </c>
      <c r="AU27" s="39" t="s">
        <v>105</v>
      </c>
      <c r="AV27" s="40" t="s">
        <v>105</v>
      </c>
      <c r="AW27" s="44" t="s">
        <v>105</v>
      </c>
      <c r="AX27" s="39" t="s">
        <v>105</v>
      </c>
      <c r="AY27" s="39" t="s">
        <v>105</v>
      </c>
      <c r="AZ27" s="39" t="s">
        <v>105</v>
      </c>
      <c r="BA27" s="40" t="s">
        <v>105</v>
      </c>
      <c r="BB27" s="44" t="s">
        <v>105</v>
      </c>
      <c r="BC27" s="39" t="s">
        <v>105</v>
      </c>
      <c r="BD27" s="39" t="s">
        <v>105</v>
      </c>
      <c r="BE27" s="39" t="s">
        <v>105</v>
      </c>
      <c r="BF27" s="40" t="s">
        <v>105</v>
      </c>
      <c r="BG27" s="44" t="s">
        <v>105</v>
      </c>
      <c r="BH27" s="39" t="s">
        <v>105</v>
      </c>
      <c r="BI27" s="117">
        <v>3.08</v>
      </c>
      <c r="BJ27" s="39">
        <v>0.91</v>
      </c>
      <c r="BK27" s="40">
        <v>3.4000000000000002E-2</v>
      </c>
      <c r="BL27" s="109">
        <v>1.48</v>
      </c>
      <c r="BM27" s="40" t="s">
        <v>105</v>
      </c>
      <c r="BN27" s="168">
        <f t="shared" si="8"/>
        <v>1.8091176470588235</v>
      </c>
      <c r="BO27" s="168">
        <f t="shared" si="1"/>
        <v>3.74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19</v>
      </c>
      <c r="B28" s="6" t="s">
        <v>15</v>
      </c>
      <c r="C28" s="11" t="s">
        <v>10</v>
      </c>
      <c r="D28" s="35" t="s">
        <v>105</v>
      </c>
      <c r="E28" s="104">
        <v>1.18</v>
      </c>
      <c r="F28" s="36" t="s">
        <v>105</v>
      </c>
      <c r="G28" s="104">
        <v>1.89</v>
      </c>
      <c r="H28" s="105">
        <v>2.63</v>
      </c>
      <c r="I28" s="43" t="s">
        <v>105</v>
      </c>
      <c r="J28" s="36" t="s">
        <v>105</v>
      </c>
      <c r="K28" s="36" t="s">
        <v>105</v>
      </c>
      <c r="L28" s="36" t="s">
        <v>105</v>
      </c>
      <c r="M28" s="37" t="s">
        <v>105</v>
      </c>
      <c r="N28" s="43" t="s">
        <v>105</v>
      </c>
      <c r="O28" s="36" t="s">
        <v>105</v>
      </c>
      <c r="P28" s="36" t="s">
        <v>105</v>
      </c>
      <c r="Q28" s="36" t="s">
        <v>105</v>
      </c>
      <c r="R28" s="37" t="s">
        <v>105</v>
      </c>
      <c r="S28" s="43" t="s">
        <v>105</v>
      </c>
      <c r="T28" s="36" t="s">
        <v>105</v>
      </c>
      <c r="U28" s="36" t="s">
        <v>105</v>
      </c>
      <c r="V28" s="36" t="s">
        <v>105</v>
      </c>
      <c r="W28" s="37" t="s">
        <v>105</v>
      </c>
      <c r="X28" s="43" t="s">
        <v>105</v>
      </c>
      <c r="Y28" s="36" t="s">
        <v>105</v>
      </c>
      <c r="Z28" s="36" t="s">
        <v>105</v>
      </c>
      <c r="AA28" s="36" t="s">
        <v>105</v>
      </c>
      <c r="AB28" s="37" t="s">
        <v>105</v>
      </c>
      <c r="AC28" s="43" t="s">
        <v>105</v>
      </c>
      <c r="AD28" s="36" t="s">
        <v>105</v>
      </c>
      <c r="AE28" s="36" t="s">
        <v>105</v>
      </c>
      <c r="AF28" s="36" t="s">
        <v>105</v>
      </c>
      <c r="AG28" s="37" t="s">
        <v>105</v>
      </c>
      <c r="AH28" s="43" t="s">
        <v>105</v>
      </c>
      <c r="AI28" s="36" t="s">
        <v>105</v>
      </c>
      <c r="AJ28" s="36" t="s">
        <v>105</v>
      </c>
      <c r="AK28" s="36" t="s">
        <v>105</v>
      </c>
      <c r="AL28" s="37" t="s">
        <v>105</v>
      </c>
      <c r="AM28" s="43" t="s">
        <v>105</v>
      </c>
      <c r="AN28" s="36" t="s">
        <v>105</v>
      </c>
      <c r="AO28" s="36" t="s">
        <v>105</v>
      </c>
      <c r="AP28" s="36" t="s">
        <v>105</v>
      </c>
      <c r="AQ28" s="37" t="s">
        <v>105</v>
      </c>
      <c r="AR28" s="43" t="s">
        <v>105</v>
      </c>
      <c r="AS28" s="36" t="s">
        <v>105</v>
      </c>
      <c r="AT28" s="36" t="s">
        <v>105</v>
      </c>
      <c r="AU28" s="36" t="s">
        <v>105</v>
      </c>
      <c r="AV28" s="37" t="s">
        <v>105</v>
      </c>
      <c r="AW28" s="43" t="s">
        <v>105</v>
      </c>
      <c r="AX28" s="36" t="s">
        <v>105</v>
      </c>
      <c r="AY28" s="36" t="s">
        <v>105</v>
      </c>
      <c r="AZ28" s="36" t="s">
        <v>105</v>
      </c>
      <c r="BA28" s="37" t="s">
        <v>105</v>
      </c>
      <c r="BB28" s="43" t="s">
        <v>105</v>
      </c>
      <c r="BC28" s="36" t="s">
        <v>105</v>
      </c>
      <c r="BD28" s="36" t="s">
        <v>105</v>
      </c>
      <c r="BE28" s="36" t="s">
        <v>105</v>
      </c>
      <c r="BF28" s="37" t="s">
        <v>105</v>
      </c>
      <c r="BG28" s="43" t="s">
        <v>105</v>
      </c>
      <c r="BH28" s="36" t="s">
        <v>105</v>
      </c>
      <c r="BI28" s="104">
        <v>1.05</v>
      </c>
      <c r="BJ28" s="36" t="s">
        <v>105</v>
      </c>
      <c r="BK28" s="105">
        <v>3.74</v>
      </c>
      <c r="BL28" s="112">
        <v>1.53</v>
      </c>
      <c r="BM28" s="37" t="s">
        <v>105</v>
      </c>
      <c r="BN28" s="166">
        <f t="shared" ref="BN28:BN30" si="9">IFERROR(AVERAGE(D28:BM30),0)</f>
        <v>1.4238235294117647</v>
      </c>
      <c r="BO28" s="166">
        <f t="shared" si="1"/>
        <v>3.74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65" t="s">
        <v>11</v>
      </c>
      <c r="B29" s="7" t="s">
        <v>12</v>
      </c>
      <c r="C29" s="11" t="s">
        <v>8</v>
      </c>
      <c r="D29" s="41" t="s">
        <v>105</v>
      </c>
      <c r="E29" s="22">
        <v>0.23499999999999999</v>
      </c>
      <c r="F29" s="22" t="s">
        <v>105</v>
      </c>
      <c r="G29" s="22" t="s">
        <v>105</v>
      </c>
      <c r="H29" s="42">
        <v>0.55200000000000005</v>
      </c>
      <c r="I29" s="45" t="s">
        <v>105</v>
      </c>
      <c r="J29" s="22" t="s">
        <v>105</v>
      </c>
      <c r="K29" s="22" t="s">
        <v>105</v>
      </c>
      <c r="L29" s="22" t="s">
        <v>105</v>
      </c>
      <c r="M29" s="42" t="s">
        <v>105</v>
      </c>
      <c r="N29" s="45" t="s">
        <v>105</v>
      </c>
      <c r="O29" s="22" t="s">
        <v>105</v>
      </c>
      <c r="P29" s="22" t="s">
        <v>105</v>
      </c>
      <c r="Q29" s="22" t="s">
        <v>105</v>
      </c>
      <c r="R29" s="42" t="s">
        <v>105</v>
      </c>
      <c r="S29" s="45" t="s">
        <v>105</v>
      </c>
      <c r="T29" s="22" t="s">
        <v>105</v>
      </c>
      <c r="U29" s="22" t="s">
        <v>105</v>
      </c>
      <c r="V29" s="22" t="s">
        <v>105</v>
      </c>
      <c r="W29" s="42" t="s">
        <v>105</v>
      </c>
      <c r="X29" s="45" t="s">
        <v>105</v>
      </c>
      <c r="Y29" s="22" t="s">
        <v>105</v>
      </c>
      <c r="Z29" s="22" t="s">
        <v>105</v>
      </c>
      <c r="AA29" s="22" t="s">
        <v>105</v>
      </c>
      <c r="AB29" s="42" t="s">
        <v>105</v>
      </c>
      <c r="AC29" s="45" t="s">
        <v>105</v>
      </c>
      <c r="AD29" s="22" t="s">
        <v>105</v>
      </c>
      <c r="AE29" s="22" t="s">
        <v>105</v>
      </c>
      <c r="AF29" s="22" t="s">
        <v>105</v>
      </c>
      <c r="AG29" s="42" t="s">
        <v>105</v>
      </c>
      <c r="AH29" s="45" t="s">
        <v>105</v>
      </c>
      <c r="AI29" s="22" t="s">
        <v>105</v>
      </c>
      <c r="AJ29" s="22" t="s">
        <v>105</v>
      </c>
      <c r="AK29" s="22" t="s">
        <v>105</v>
      </c>
      <c r="AL29" s="42" t="s">
        <v>105</v>
      </c>
      <c r="AM29" s="45" t="s">
        <v>105</v>
      </c>
      <c r="AN29" s="22" t="s">
        <v>105</v>
      </c>
      <c r="AO29" s="22" t="s">
        <v>105</v>
      </c>
      <c r="AP29" s="22" t="s">
        <v>105</v>
      </c>
      <c r="AQ29" s="42" t="s">
        <v>105</v>
      </c>
      <c r="AR29" s="45" t="s">
        <v>105</v>
      </c>
      <c r="AS29" s="22" t="s">
        <v>105</v>
      </c>
      <c r="AT29" s="22" t="s">
        <v>105</v>
      </c>
      <c r="AU29" s="22" t="s">
        <v>105</v>
      </c>
      <c r="AV29" s="42" t="s">
        <v>105</v>
      </c>
      <c r="AW29" s="45" t="s">
        <v>105</v>
      </c>
      <c r="AX29" s="22" t="s">
        <v>105</v>
      </c>
      <c r="AY29" s="22" t="s">
        <v>105</v>
      </c>
      <c r="AZ29" s="22" t="s">
        <v>105</v>
      </c>
      <c r="BA29" s="42" t="s">
        <v>105</v>
      </c>
      <c r="BB29" s="45" t="s">
        <v>105</v>
      </c>
      <c r="BC29" s="22" t="s">
        <v>105</v>
      </c>
      <c r="BD29" s="22" t="s">
        <v>105</v>
      </c>
      <c r="BE29" s="22" t="s">
        <v>105</v>
      </c>
      <c r="BF29" s="42" t="s">
        <v>105</v>
      </c>
      <c r="BG29" s="45" t="s">
        <v>105</v>
      </c>
      <c r="BH29" s="22" t="s">
        <v>105</v>
      </c>
      <c r="BI29" s="123">
        <v>3.45</v>
      </c>
      <c r="BJ29" s="123">
        <v>3.57</v>
      </c>
      <c r="BK29" s="42" t="s">
        <v>105</v>
      </c>
      <c r="BL29" s="45">
        <v>0.42399999999999999</v>
      </c>
      <c r="BM29" s="42" t="s">
        <v>105</v>
      </c>
      <c r="BN29" s="167">
        <f t="shared" si="9"/>
        <v>1.2996666666666665</v>
      </c>
      <c r="BO29" s="167">
        <f t="shared" si="1"/>
        <v>3.57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65"/>
      <c r="B30" s="8" t="s">
        <v>25</v>
      </c>
      <c r="C30" s="12" t="s">
        <v>14</v>
      </c>
      <c r="D30" s="38" t="s">
        <v>105</v>
      </c>
      <c r="E30" s="39" t="s">
        <v>105</v>
      </c>
      <c r="F30" s="39">
        <v>9.9000000000000005E-2</v>
      </c>
      <c r="G30" s="39">
        <v>0.38100000000000001</v>
      </c>
      <c r="H30" s="40" t="s">
        <v>105</v>
      </c>
      <c r="I30" s="44" t="s">
        <v>105</v>
      </c>
      <c r="J30" s="39" t="s">
        <v>105</v>
      </c>
      <c r="K30" s="39" t="s">
        <v>105</v>
      </c>
      <c r="L30" s="39" t="s">
        <v>105</v>
      </c>
      <c r="M30" s="40" t="s">
        <v>105</v>
      </c>
      <c r="N30" s="44" t="s">
        <v>105</v>
      </c>
      <c r="O30" s="39" t="s">
        <v>105</v>
      </c>
      <c r="P30" s="39" t="s">
        <v>105</v>
      </c>
      <c r="Q30" s="39" t="s">
        <v>105</v>
      </c>
      <c r="R30" s="40" t="s">
        <v>105</v>
      </c>
      <c r="S30" s="44" t="s">
        <v>105</v>
      </c>
      <c r="T30" s="39" t="s">
        <v>105</v>
      </c>
      <c r="U30" s="39" t="s">
        <v>105</v>
      </c>
      <c r="V30" s="39" t="s">
        <v>105</v>
      </c>
      <c r="W30" s="40" t="s">
        <v>105</v>
      </c>
      <c r="X30" s="44" t="s">
        <v>105</v>
      </c>
      <c r="Y30" s="39" t="s">
        <v>105</v>
      </c>
      <c r="Z30" s="39" t="s">
        <v>105</v>
      </c>
      <c r="AA30" s="39" t="s">
        <v>105</v>
      </c>
      <c r="AB30" s="40" t="s">
        <v>105</v>
      </c>
      <c r="AC30" s="44" t="s">
        <v>105</v>
      </c>
      <c r="AD30" s="39" t="s">
        <v>105</v>
      </c>
      <c r="AE30" s="39" t="s">
        <v>105</v>
      </c>
      <c r="AF30" s="39" t="s">
        <v>105</v>
      </c>
      <c r="AG30" s="40" t="s">
        <v>105</v>
      </c>
      <c r="AH30" s="44" t="s">
        <v>105</v>
      </c>
      <c r="AI30" s="39" t="s">
        <v>105</v>
      </c>
      <c r="AJ30" s="39" t="s">
        <v>105</v>
      </c>
      <c r="AK30" s="39" t="s">
        <v>105</v>
      </c>
      <c r="AL30" s="40" t="s">
        <v>105</v>
      </c>
      <c r="AM30" s="44" t="s">
        <v>105</v>
      </c>
      <c r="AN30" s="39" t="s">
        <v>105</v>
      </c>
      <c r="AO30" s="39" t="s">
        <v>105</v>
      </c>
      <c r="AP30" s="39" t="s">
        <v>105</v>
      </c>
      <c r="AQ30" s="40" t="s">
        <v>105</v>
      </c>
      <c r="AR30" s="44" t="s">
        <v>105</v>
      </c>
      <c r="AS30" s="39" t="s">
        <v>105</v>
      </c>
      <c r="AT30" s="39" t="s">
        <v>105</v>
      </c>
      <c r="AU30" s="39" t="s">
        <v>105</v>
      </c>
      <c r="AV30" s="40" t="s">
        <v>105</v>
      </c>
      <c r="AW30" s="44" t="s">
        <v>105</v>
      </c>
      <c r="AX30" s="39" t="s">
        <v>105</v>
      </c>
      <c r="AY30" s="39" t="s">
        <v>105</v>
      </c>
      <c r="AZ30" s="39" t="s">
        <v>105</v>
      </c>
      <c r="BA30" s="40" t="s">
        <v>105</v>
      </c>
      <c r="BB30" s="44" t="s">
        <v>105</v>
      </c>
      <c r="BC30" s="39" t="s">
        <v>105</v>
      </c>
      <c r="BD30" s="39" t="s">
        <v>105</v>
      </c>
      <c r="BE30" s="39" t="s">
        <v>105</v>
      </c>
      <c r="BF30" s="40" t="s">
        <v>105</v>
      </c>
      <c r="BG30" s="44" t="s">
        <v>105</v>
      </c>
      <c r="BH30" s="39" t="s">
        <v>105</v>
      </c>
      <c r="BI30" s="39">
        <v>0.96899999999999997</v>
      </c>
      <c r="BJ30" s="117">
        <v>1.03</v>
      </c>
      <c r="BK30" s="116">
        <v>1.0900000000000001</v>
      </c>
      <c r="BL30" s="44">
        <v>0.38500000000000001</v>
      </c>
      <c r="BM30" s="40" t="s">
        <v>105</v>
      </c>
      <c r="BN30" s="168">
        <f t="shared" si="9"/>
        <v>1.2651875000000001</v>
      </c>
      <c r="BO30" s="168">
        <f t="shared" si="1"/>
        <v>2.67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19</v>
      </c>
      <c r="B31" s="6" t="s">
        <v>26</v>
      </c>
      <c r="C31" s="11" t="s">
        <v>10</v>
      </c>
      <c r="D31" s="35" t="s">
        <v>105</v>
      </c>
      <c r="E31" s="104">
        <v>1.65</v>
      </c>
      <c r="F31" s="36" t="s">
        <v>105</v>
      </c>
      <c r="G31" s="36" t="s">
        <v>105</v>
      </c>
      <c r="H31" s="121">
        <v>2.1</v>
      </c>
      <c r="I31" s="43" t="s">
        <v>105</v>
      </c>
      <c r="J31" s="36" t="s">
        <v>105</v>
      </c>
      <c r="K31" s="36" t="s">
        <v>105</v>
      </c>
      <c r="L31" s="36" t="s">
        <v>105</v>
      </c>
      <c r="M31" s="37" t="s">
        <v>105</v>
      </c>
      <c r="N31" s="43" t="s">
        <v>105</v>
      </c>
      <c r="O31" s="36" t="s">
        <v>105</v>
      </c>
      <c r="P31" s="36" t="s">
        <v>105</v>
      </c>
      <c r="Q31" s="36" t="s">
        <v>105</v>
      </c>
      <c r="R31" s="37" t="s">
        <v>105</v>
      </c>
      <c r="S31" s="43" t="s">
        <v>105</v>
      </c>
      <c r="T31" s="36" t="s">
        <v>105</v>
      </c>
      <c r="U31" s="36" t="s">
        <v>105</v>
      </c>
      <c r="V31" s="36" t="s">
        <v>105</v>
      </c>
      <c r="W31" s="37" t="s">
        <v>105</v>
      </c>
      <c r="X31" s="43" t="s">
        <v>105</v>
      </c>
      <c r="Y31" s="36" t="s">
        <v>105</v>
      </c>
      <c r="Z31" s="36" t="s">
        <v>105</v>
      </c>
      <c r="AA31" s="36" t="s">
        <v>105</v>
      </c>
      <c r="AB31" s="37" t="s">
        <v>105</v>
      </c>
      <c r="AC31" s="43" t="s">
        <v>105</v>
      </c>
      <c r="AD31" s="36" t="s">
        <v>105</v>
      </c>
      <c r="AE31" s="36" t="s">
        <v>105</v>
      </c>
      <c r="AF31" s="36" t="s">
        <v>105</v>
      </c>
      <c r="AG31" s="37" t="s">
        <v>105</v>
      </c>
      <c r="AH31" s="43" t="s">
        <v>105</v>
      </c>
      <c r="AI31" s="36" t="s">
        <v>105</v>
      </c>
      <c r="AJ31" s="36" t="s">
        <v>105</v>
      </c>
      <c r="AK31" s="36" t="s">
        <v>105</v>
      </c>
      <c r="AL31" s="37" t="s">
        <v>105</v>
      </c>
      <c r="AM31" s="43" t="s">
        <v>105</v>
      </c>
      <c r="AN31" s="36" t="s">
        <v>105</v>
      </c>
      <c r="AO31" s="36" t="s">
        <v>105</v>
      </c>
      <c r="AP31" s="36" t="s">
        <v>105</v>
      </c>
      <c r="AQ31" s="37" t="s">
        <v>105</v>
      </c>
      <c r="AR31" s="43" t="s">
        <v>105</v>
      </c>
      <c r="AS31" s="36" t="s">
        <v>105</v>
      </c>
      <c r="AT31" s="36" t="s">
        <v>105</v>
      </c>
      <c r="AU31" s="36" t="s">
        <v>105</v>
      </c>
      <c r="AV31" s="37" t="s">
        <v>105</v>
      </c>
      <c r="AW31" s="43" t="s">
        <v>105</v>
      </c>
      <c r="AX31" s="36" t="s">
        <v>105</v>
      </c>
      <c r="AY31" s="36" t="s">
        <v>105</v>
      </c>
      <c r="AZ31" s="36" t="s">
        <v>105</v>
      </c>
      <c r="BA31" s="37" t="s">
        <v>105</v>
      </c>
      <c r="BB31" s="43" t="s">
        <v>105</v>
      </c>
      <c r="BC31" s="36" t="s">
        <v>105</v>
      </c>
      <c r="BD31" s="36" t="s">
        <v>105</v>
      </c>
      <c r="BE31" s="36" t="s">
        <v>105</v>
      </c>
      <c r="BF31" s="37" t="s">
        <v>105</v>
      </c>
      <c r="BG31" s="43" t="s">
        <v>105</v>
      </c>
      <c r="BH31" s="36" t="s">
        <v>105</v>
      </c>
      <c r="BI31" s="104">
        <v>2.52</v>
      </c>
      <c r="BJ31" s="36" t="s">
        <v>105</v>
      </c>
      <c r="BK31" s="37" t="s">
        <v>105</v>
      </c>
      <c r="BL31" s="112">
        <v>1.04</v>
      </c>
      <c r="BM31" s="37" t="s">
        <v>105</v>
      </c>
      <c r="BN31" s="166">
        <f t="shared" ref="BN31:BN33" si="10">IFERROR(AVERAGE(D31:BM33),0)</f>
        <v>1.7483529411764709</v>
      </c>
      <c r="BO31" s="166">
        <f t="shared" si="1"/>
        <v>5.41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65" t="s">
        <v>11</v>
      </c>
      <c r="B32" s="7" t="s">
        <v>12</v>
      </c>
      <c r="C32" s="11" t="s">
        <v>8</v>
      </c>
      <c r="D32" s="41" t="s">
        <v>105</v>
      </c>
      <c r="E32" s="123">
        <v>1.55</v>
      </c>
      <c r="F32" s="22" t="s">
        <v>105</v>
      </c>
      <c r="G32" s="22">
        <v>0.65900000000000003</v>
      </c>
      <c r="H32" s="144">
        <v>1</v>
      </c>
      <c r="I32" s="45" t="s">
        <v>105</v>
      </c>
      <c r="J32" s="22" t="s">
        <v>105</v>
      </c>
      <c r="K32" s="22" t="s">
        <v>105</v>
      </c>
      <c r="L32" s="22" t="s">
        <v>105</v>
      </c>
      <c r="M32" s="42" t="s">
        <v>105</v>
      </c>
      <c r="N32" s="45" t="s">
        <v>105</v>
      </c>
      <c r="O32" s="22" t="s">
        <v>105</v>
      </c>
      <c r="P32" s="22" t="s">
        <v>105</v>
      </c>
      <c r="Q32" s="22" t="s">
        <v>105</v>
      </c>
      <c r="R32" s="42" t="s">
        <v>105</v>
      </c>
      <c r="S32" s="45" t="s">
        <v>105</v>
      </c>
      <c r="T32" s="22" t="s">
        <v>105</v>
      </c>
      <c r="U32" s="22" t="s">
        <v>105</v>
      </c>
      <c r="V32" s="22" t="s">
        <v>105</v>
      </c>
      <c r="W32" s="42" t="s">
        <v>105</v>
      </c>
      <c r="X32" s="45" t="s">
        <v>105</v>
      </c>
      <c r="Y32" s="22" t="s">
        <v>105</v>
      </c>
      <c r="Z32" s="22" t="s">
        <v>105</v>
      </c>
      <c r="AA32" s="22" t="s">
        <v>105</v>
      </c>
      <c r="AB32" s="42" t="s">
        <v>105</v>
      </c>
      <c r="AC32" s="45" t="s">
        <v>105</v>
      </c>
      <c r="AD32" s="22" t="s">
        <v>105</v>
      </c>
      <c r="AE32" s="22" t="s">
        <v>105</v>
      </c>
      <c r="AF32" s="22" t="s">
        <v>105</v>
      </c>
      <c r="AG32" s="42" t="s">
        <v>105</v>
      </c>
      <c r="AH32" s="45" t="s">
        <v>105</v>
      </c>
      <c r="AI32" s="22" t="s">
        <v>105</v>
      </c>
      <c r="AJ32" s="22" t="s">
        <v>105</v>
      </c>
      <c r="AK32" s="22" t="s">
        <v>105</v>
      </c>
      <c r="AL32" s="42" t="s">
        <v>105</v>
      </c>
      <c r="AM32" s="45" t="s">
        <v>105</v>
      </c>
      <c r="AN32" s="22" t="s">
        <v>105</v>
      </c>
      <c r="AO32" s="22" t="s">
        <v>105</v>
      </c>
      <c r="AP32" s="22" t="s">
        <v>105</v>
      </c>
      <c r="AQ32" s="42" t="s">
        <v>105</v>
      </c>
      <c r="AR32" s="45" t="s">
        <v>105</v>
      </c>
      <c r="AS32" s="22" t="s">
        <v>105</v>
      </c>
      <c r="AT32" s="22" t="s">
        <v>105</v>
      </c>
      <c r="AU32" s="22" t="s">
        <v>105</v>
      </c>
      <c r="AV32" s="42" t="s">
        <v>105</v>
      </c>
      <c r="AW32" s="45" t="s">
        <v>105</v>
      </c>
      <c r="AX32" s="22" t="s">
        <v>105</v>
      </c>
      <c r="AY32" s="22" t="s">
        <v>105</v>
      </c>
      <c r="AZ32" s="22" t="s">
        <v>105</v>
      </c>
      <c r="BA32" s="42" t="s">
        <v>105</v>
      </c>
      <c r="BB32" s="45" t="s">
        <v>105</v>
      </c>
      <c r="BC32" s="22" t="s">
        <v>105</v>
      </c>
      <c r="BD32" s="22" t="s">
        <v>105</v>
      </c>
      <c r="BE32" s="22" t="s">
        <v>105</v>
      </c>
      <c r="BF32" s="42" t="s">
        <v>105</v>
      </c>
      <c r="BG32" s="45" t="s">
        <v>105</v>
      </c>
      <c r="BH32" s="22" t="s">
        <v>105</v>
      </c>
      <c r="BI32" s="123">
        <v>1.1599999999999999</v>
      </c>
      <c r="BJ32" s="123">
        <v>2.67</v>
      </c>
      <c r="BK32" s="42" t="s">
        <v>105</v>
      </c>
      <c r="BL32" s="111">
        <v>1.94</v>
      </c>
      <c r="BM32" s="42" t="s">
        <v>105</v>
      </c>
      <c r="BN32" s="167">
        <f t="shared" si="10"/>
        <v>2.97872602739726</v>
      </c>
      <c r="BO32" s="167">
        <f t="shared" si="1"/>
        <v>11.6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65"/>
      <c r="B33" s="8" t="s">
        <v>25</v>
      </c>
      <c r="C33" s="12" t="s">
        <v>14</v>
      </c>
      <c r="D33" s="38" t="s">
        <v>105</v>
      </c>
      <c r="E33" s="117">
        <v>3.13</v>
      </c>
      <c r="F33" s="39" t="s">
        <v>105</v>
      </c>
      <c r="G33" s="39">
        <v>0.29199999999999998</v>
      </c>
      <c r="H33" s="116">
        <v>1.64</v>
      </c>
      <c r="I33" s="44" t="s">
        <v>105</v>
      </c>
      <c r="J33" s="39" t="s">
        <v>105</v>
      </c>
      <c r="K33" s="39" t="s">
        <v>105</v>
      </c>
      <c r="L33" s="39" t="s">
        <v>105</v>
      </c>
      <c r="M33" s="40" t="s">
        <v>105</v>
      </c>
      <c r="N33" s="44" t="s">
        <v>105</v>
      </c>
      <c r="O33" s="39" t="s">
        <v>105</v>
      </c>
      <c r="P33" s="39" t="s">
        <v>105</v>
      </c>
      <c r="Q33" s="39" t="s">
        <v>105</v>
      </c>
      <c r="R33" s="40" t="s">
        <v>105</v>
      </c>
      <c r="S33" s="44" t="s">
        <v>105</v>
      </c>
      <c r="T33" s="39" t="s">
        <v>105</v>
      </c>
      <c r="U33" s="39" t="s">
        <v>105</v>
      </c>
      <c r="V33" s="39" t="s">
        <v>105</v>
      </c>
      <c r="W33" s="40" t="s">
        <v>105</v>
      </c>
      <c r="X33" s="44" t="s">
        <v>105</v>
      </c>
      <c r="Y33" s="39" t="s">
        <v>105</v>
      </c>
      <c r="Z33" s="39" t="s">
        <v>105</v>
      </c>
      <c r="AA33" s="39" t="s">
        <v>105</v>
      </c>
      <c r="AB33" s="40" t="s">
        <v>105</v>
      </c>
      <c r="AC33" s="44" t="s">
        <v>105</v>
      </c>
      <c r="AD33" s="39" t="s">
        <v>105</v>
      </c>
      <c r="AE33" s="39" t="s">
        <v>105</v>
      </c>
      <c r="AF33" s="39" t="s">
        <v>105</v>
      </c>
      <c r="AG33" s="40" t="s">
        <v>105</v>
      </c>
      <c r="AH33" s="44" t="s">
        <v>105</v>
      </c>
      <c r="AI33" s="39" t="s">
        <v>105</v>
      </c>
      <c r="AJ33" s="39" t="s">
        <v>105</v>
      </c>
      <c r="AK33" s="39" t="s">
        <v>105</v>
      </c>
      <c r="AL33" s="40" t="s">
        <v>105</v>
      </c>
      <c r="AM33" s="44" t="s">
        <v>105</v>
      </c>
      <c r="AN33" s="39" t="s">
        <v>105</v>
      </c>
      <c r="AO33" s="39" t="s">
        <v>105</v>
      </c>
      <c r="AP33" s="39" t="s">
        <v>105</v>
      </c>
      <c r="AQ33" s="40" t="s">
        <v>105</v>
      </c>
      <c r="AR33" s="44" t="s">
        <v>105</v>
      </c>
      <c r="AS33" s="39" t="s">
        <v>105</v>
      </c>
      <c r="AT33" s="39" t="s">
        <v>105</v>
      </c>
      <c r="AU33" s="39" t="s">
        <v>105</v>
      </c>
      <c r="AV33" s="40" t="s">
        <v>105</v>
      </c>
      <c r="AW33" s="44" t="s">
        <v>105</v>
      </c>
      <c r="AX33" s="39" t="s">
        <v>105</v>
      </c>
      <c r="AY33" s="39" t="s">
        <v>105</v>
      </c>
      <c r="AZ33" s="39" t="s">
        <v>105</v>
      </c>
      <c r="BA33" s="40" t="s">
        <v>105</v>
      </c>
      <c r="BB33" s="44" t="s">
        <v>105</v>
      </c>
      <c r="BC33" s="39" t="s">
        <v>105</v>
      </c>
      <c r="BD33" s="39" t="s">
        <v>105</v>
      </c>
      <c r="BE33" s="39" t="s">
        <v>105</v>
      </c>
      <c r="BF33" s="40" t="s">
        <v>105</v>
      </c>
      <c r="BG33" s="44" t="s">
        <v>105</v>
      </c>
      <c r="BH33" s="39" t="s">
        <v>105</v>
      </c>
      <c r="BI33" s="117">
        <v>1.78</v>
      </c>
      <c r="BJ33" s="39">
        <v>0.19800000000000001</v>
      </c>
      <c r="BK33" s="40">
        <v>0.98299999999999998</v>
      </c>
      <c r="BL33" s="109">
        <v>5.41</v>
      </c>
      <c r="BM33" s="40" t="s">
        <v>105</v>
      </c>
      <c r="BN33" s="168">
        <f t="shared" si="10"/>
        <v>2.9824079999999995</v>
      </c>
      <c r="BO33" s="168">
        <f t="shared" si="1"/>
        <v>11.6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19</v>
      </c>
      <c r="B34" s="6"/>
      <c r="C34" s="11" t="s">
        <v>10</v>
      </c>
      <c r="D34" s="62">
        <v>2.19</v>
      </c>
      <c r="E34" s="120">
        <v>3.8</v>
      </c>
      <c r="F34" s="104">
        <v>2.61</v>
      </c>
      <c r="G34" s="36">
        <v>0.33100000000000002</v>
      </c>
      <c r="H34" s="105">
        <v>2.98</v>
      </c>
      <c r="I34" s="112">
        <v>2.4500000000000002</v>
      </c>
      <c r="J34" s="36" t="s">
        <v>105</v>
      </c>
      <c r="K34" s="46">
        <v>3.79</v>
      </c>
      <c r="L34" s="140">
        <v>0.51600000000000001</v>
      </c>
      <c r="M34" s="63">
        <v>1.94</v>
      </c>
      <c r="N34" s="65">
        <v>4.66</v>
      </c>
      <c r="O34" s="46">
        <v>3.56</v>
      </c>
      <c r="P34" s="46">
        <v>3.21</v>
      </c>
      <c r="Q34" s="46">
        <v>3.22</v>
      </c>
      <c r="R34" s="63">
        <v>5.63</v>
      </c>
      <c r="S34" s="65">
        <v>4.55</v>
      </c>
      <c r="T34" s="46">
        <v>5.59</v>
      </c>
      <c r="U34" s="67">
        <v>1.5</v>
      </c>
      <c r="V34" s="46">
        <v>4.03</v>
      </c>
      <c r="W34" s="69">
        <v>3.7</v>
      </c>
      <c r="X34" s="145">
        <v>11.6</v>
      </c>
      <c r="Y34" s="46">
        <v>3.01</v>
      </c>
      <c r="Z34" s="46">
        <v>2.97</v>
      </c>
      <c r="AA34" s="36">
        <v>0.85799999999999998</v>
      </c>
      <c r="AB34" s="63">
        <v>4.2699999999999996</v>
      </c>
      <c r="AC34" s="112">
        <v>1.69</v>
      </c>
      <c r="AD34" s="104">
        <v>3.22</v>
      </c>
      <c r="AE34" s="140">
        <v>0.89500000000000002</v>
      </c>
      <c r="AF34" s="46">
        <v>9.2899999999999991</v>
      </c>
      <c r="AG34" s="63">
        <v>2.39</v>
      </c>
      <c r="AH34" s="112">
        <v>1.71</v>
      </c>
      <c r="AI34" s="104">
        <v>2.36</v>
      </c>
      <c r="AJ34" s="140">
        <v>0.14699999999999999</v>
      </c>
      <c r="AK34" s="140">
        <v>0.61499999999999999</v>
      </c>
      <c r="AL34" s="105">
        <v>3.71</v>
      </c>
      <c r="AM34" s="65">
        <v>2.89</v>
      </c>
      <c r="AN34" s="46">
        <v>2.27</v>
      </c>
      <c r="AO34" s="46" t="s">
        <v>105</v>
      </c>
      <c r="AP34" s="46">
        <v>4.46</v>
      </c>
      <c r="AQ34" s="63">
        <v>5.64</v>
      </c>
      <c r="AR34" s="65">
        <v>3.65</v>
      </c>
      <c r="AS34" s="104">
        <v>5.92</v>
      </c>
      <c r="AT34" s="120">
        <v>8.1</v>
      </c>
      <c r="AU34" s="46">
        <v>3.99</v>
      </c>
      <c r="AV34" s="63">
        <v>2.2200000000000002</v>
      </c>
      <c r="AW34" s="65">
        <v>4.6399999999999997</v>
      </c>
      <c r="AX34" s="46">
        <v>2.31</v>
      </c>
      <c r="AY34" s="104">
        <v>3.21</v>
      </c>
      <c r="AZ34" s="120">
        <v>1.8</v>
      </c>
      <c r="BA34" s="63">
        <v>5.35</v>
      </c>
      <c r="BB34" s="65">
        <v>3.94</v>
      </c>
      <c r="BC34" s="140">
        <v>0.98</v>
      </c>
      <c r="BD34" s="104">
        <v>2.17</v>
      </c>
      <c r="BE34" s="104">
        <v>5.51</v>
      </c>
      <c r="BF34" s="63">
        <v>1.91</v>
      </c>
      <c r="BG34" s="139">
        <v>0.73099999999999998</v>
      </c>
      <c r="BH34" s="67">
        <v>3.6</v>
      </c>
      <c r="BI34" s="104">
        <v>2.82</v>
      </c>
      <c r="BJ34" s="104">
        <v>2.61</v>
      </c>
      <c r="BK34" s="105">
        <v>2.61</v>
      </c>
      <c r="BL34" s="43">
        <v>0.63200000000000001</v>
      </c>
      <c r="BM34" s="63">
        <v>2.08</v>
      </c>
      <c r="BN34" s="166">
        <f t="shared" ref="BN34:BN36" si="11">IFERROR(AVERAGE(D34:BM36),0)</f>
        <v>2.9855314285714276</v>
      </c>
      <c r="BO34" s="166">
        <f t="shared" si="1"/>
        <v>11.6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65" t="s">
        <v>11</v>
      </c>
      <c r="B35" s="7" t="s">
        <v>27</v>
      </c>
      <c r="C35" s="11" t="s">
        <v>8</v>
      </c>
      <c r="D35" s="146">
        <v>4.9000000000000004</v>
      </c>
      <c r="E35" s="32">
        <v>3.02</v>
      </c>
      <c r="F35" s="22">
        <v>0.312</v>
      </c>
      <c r="G35" s="22" t="s">
        <v>105</v>
      </c>
      <c r="H35" s="60">
        <v>3.16</v>
      </c>
      <c r="I35" s="111">
        <v>1.71</v>
      </c>
      <c r="J35" s="123">
        <v>2.46</v>
      </c>
      <c r="K35" s="34">
        <v>2.8</v>
      </c>
      <c r="L35" s="123">
        <v>1.46</v>
      </c>
      <c r="M35" s="71">
        <v>2.1</v>
      </c>
      <c r="N35" s="64" t="s">
        <v>105</v>
      </c>
      <c r="O35" s="123">
        <v>3.04</v>
      </c>
      <c r="P35" s="33">
        <v>4</v>
      </c>
      <c r="Q35" s="34">
        <v>6.4</v>
      </c>
      <c r="R35" s="60">
        <v>2.27</v>
      </c>
      <c r="S35" s="64">
        <v>3.67</v>
      </c>
      <c r="T35" s="32">
        <v>4.13</v>
      </c>
      <c r="U35" s="32" t="s">
        <v>105</v>
      </c>
      <c r="V35" s="32">
        <v>3.12</v>
      </c>
      <c r="W35" s="60">
        <v>4.46</v>
      </c>
      <c r="X35" s="124">
        <v>4.5999999999999996</v>
      </c>
      <c r="Y35" s="123">
        <v>1.94</v>
      </c>
      <c r="Z35" s="123">
        <v>1.01</v>
      </c>
      <c r="AA35" s="123">
        <v>2.38</v>
      </c>
      <c r="AB35" s="115">
        <v>5.32</v>
      </c>
      <c r="AC35" s="45">
        <v>0.49199999999999999</v>
      </c>
      <c r="AD35" s="123">
        <v>1.97</v>
      </c>
      <c r="AE35" s="22" t="s">
        <v>105</v>
      </c>
      <c r="AF35" s="32">
        <v>2.16</v>
      </c>
      <c r="AG35" s="60">
        <v>4.57</v>
      </c>
      <c r="AH35" s="124">
        <v>1.8</v>
      </c>
      <c r="AI35" s="123">
        <v>2.4700000000000002</v>
      </c>
      <c r="AJ35" s="32">
        <v>1.57</v>
      </c>
      <c r="AK35" s="22">
        <v>0.15</v>
      </c>
      <c r="AL35" s="125">
        <v>3.8</v>
      </c>
      <c r="AM35" s="64">
        <v>3.85</v>
      </c>
      <c r="AN35" s="32">
        <v>3.57</v>
      </c>
      <c r="AO35" s="123">
        <v>1.19</v>
      </c>
      <c r="AP35" s="32">
        <v>6.12</v>
      </c>
      <c r="AQ35" s="60">
        <v>6.03</v>
      </c>
      <c r="AR35" s="64">
        <v>2.19</v>
      </c>
      <c r="AS35" s="32">
        <v>2.71</v>
      </c>
      <c r="AT35" s="123">
        <v>1.79</v>
      </c>
      <c r="AU35" s="32">
        <v>2.14</v>
      </c>
      <c r="AV35" s="60">
        <v>4.5199999999999996</v>
      </c>
      <c r="AW35" s="129">
        <v>0.73799999999999999</v>
      </c>
      <c r="AX35" s="32">
        <v>3.05</v>
      </c>
      <c r="AY35" s="32">
        <v>4.5199999999999996</v>
      </c>
      <c r="AZ35" s="32">
        <v>4.97</v>
      </c>
      <c r="BA35" s="60">
        <v>2.75</v>
      </c>
      <c r="BB35" s="64">
        <v>4.78</v>
      </c>
      <c r="BC35" s="32">
        <v>2.34</v>
      </c>
      <c r="BD35" s="123">
        <v>1.96</v>
      </c>
      <c r="BE35" s="32">
        <v>7.14</v>
      </c>
      <c r="BF35" s="115">
        <v>3.12</v>
      </c>
      <c r="BG35" s="64">
        <v>1.86</v>
      </c>
      <c r="BH35" s="136">
        <v>0.40400000000000003</v>
      </c>
      <c r="BI35" s="22">
        <v>3.5000000000000003E-2</v>
      </c>
      <c r="BJ35" s="123">
        <v>2.2599999999999998</v>
      </c>
      <c r="BK35" s="42">
        <v>0.79900000000000004</v>
      </c>
      <c r="BL35" s="64">
        <v>1.71</v>
      </c>
      <c r="BM35" s="147">
        <v>0.54300000000000004</v>
      </c>
      <c r="BN35" s="167">
        <f t="shared" si="11"/>
        <v>2.7638963414634148</v>
      </c>
      <c r="BO35" s="167">
        <f t="shared" si="1"/>
        <v>13.5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65"/>
      <c r="B36" s="8"/>
      <c r="C36" s="12" t="s">
        <v>14</v>
      </c>
      <c r="D36" s="131">
        <v>1.25</v>
      </c>
      <c r="E36" s="117">
        <v>3.15</v>
      </c>
      <c r="F36" s="39" t="s">
        <v>105</v>
      </c>
      <c r="G36" s="39" t="s">
        <v>105</v>
      </c>
      <c r="H36" s="116">
        <v>1.48</v>
      </c>
      <c r="I36" s="61">
        <v>1.42</v>
      </c>
      <c r="J36" s="117">
        <v>1.82</v>
      </c>
      <c r="K36" s="117">
        <v>5.87</v>
      </c>
      <c r="L36" s="47">
        <v>5.54</v>
      </c>
      <c r="M36" s="59">
        <v>3.08</v>
      </c>
      <c r="N36" s="61">
        <v>6.68</v>
      </c>
      <c r="O36" s="47">
        <v>2.75</v>
      </c>
      <c r="P36" s="47">
        <v>4.1100000000000003</v>
      </c>
      <c r="Q36" s="47">
        <v>5.68</v>
      </c>
      <c r="R36" s="59">
        <v>1.48</v>
      </c>
      <c r="S36" s="61">
        <v>3.24</v>
      </c>
      <c r="T36" s="47">
        <v>3.37</v>
      </c>
      <c r="U36" s="47">
        <v>5.63</v>
      </c>
      <c r="V36" s="68">
        <v>4.2</v>
      </c>
      <c r="W36" s="116">
        <v>1.21</v>
      </c>
      <c r="X36" s="109">
        <v>4.83</v>
      </c>
      <c r="Y36" s="117">
        <v>3.41</v>
      </c>
      <c r="Z36" s="117">
        <v>2.83</v>
      </c>
      <c r="AA36" s="47">
        <v>3.54</v>
      </c>
      <c r="AB36" s="116">
        <v>3.73</v>
      </c>
      <c r="AC36" s="109">
        <v>3.01</v>
      </c>
      <c r="AD36" s="117">
        <v>1.03</v>
      </c>
      <c r="AE36" s="68">
        <v>2.1</v>
      </c>
      <c r="AF36" s="47">
        <v>2.63</v>
      </c>
      <c r="AG36" s="59">
        <v>4.7699999999999996</v>
      </c>
      <c r="AH36" s="109">
        <v>2.35</v>
      </c>
      <c r="AI36" s="39" t="s">
        <v>105</v>
      </c>
      <c r="AJ36" s="47">
        <v>1.32</v>
      </c>
      <c r="AK36" s="39">
        <v>0.36299999999999999</v>
      </c>
      <c r="AL36" s="116">
        <v>1.42</v>
      </c>
      <c r="AM36" s="44">
        <v>0.24099999999999999</v>
      </c>
      <c r="AN36" s="47">
        <v>4.83</v>
      </c>
      <c r="AO36" s="39">
        <v>0.88900000000000001</v>
      </c>
      <c r="AP36" s="47">
        <v>2.96</v>
      </c>
      <c r="AQ36" s="116">
        <v>3.07</v>
      </c>
      <c r="AR36" s="61">
        <v>3.65</v>
      </c>
      <c r="AS36" s="47">
        <v>1.77</v>
      </c>
      <c r="AT36" s="117">
        <v>1.55</v>
      </c>
      <c r="AU36" s="47">
        <v>2.65</v>
      </c>
      <c r="AV36" s="59">
        <v>5.1100000000000003</v>
      </c>
      <c r="AW36" s="44">
        <v>0.60599999999999998</v>
      </c>
      <c r="AX36" s="47">
        <v>4.17</v>
      </c>
      <c r="AY36" s="39">
        <v>0.248</v>
      </c>
      <c r="AZ36" s="117">
        <v>7.39</v>
      </c>
      <c r="BA36" s="116">
        <v>2.75</v>
      </c>
      <c r="BB36" s="44">
        <v>0.90100000000000002</v>
      </c>
      <c r="BC36" s="47">
        <v>3.94</v>
      </c>
      <c r="BD36" s="39">
        <v>0.84199999999999997</v>
      </c>
      <c r="BE36" s="117">
        <v>2.0699999999999998</v>
      </c>
      <c r="BF36" s="116">
        <v>1.87</v>
      </c>
      <c r="BG36" s="109">
        <v>3.61</v>
      </c>
      <c r="BH36" s="47">
        <v>3.11</v>
      </c>
      <c r="BI36" s="117">
        <v>1.42</v>
      </c>
      <c r="BJ36" s="117">
        <v>2.89</v>
      </c>
      <c r="BK36" s="59">
        <v>1.27</v>
      </c>
      <c r="BL36" s="44" t="s">
        <v>105</v>
      </c>
      <c r="BM36" s="59" t="s">
        <v>105</v>
      </c>
      <c r="BN36" s="168">
        <f t="shared" si="11"/>
        <v>2.7031466666666661</v>
      </c>
      <c r="BO36" s="168">
        <f t="shared" ref="BO36:BO67" si="12">MAX(D36:BM38)</f>
        <v>13.5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19</v>
      </c>
      <c r="B37" s="6"/>
      <c r="C37" s="11" t="s">
        <v>10</v>
      </c>
      <c r="D37" s="35" t="s">
        <v>105</v>
      </c>
      <c r="E37" s="36">
        <v>0.92200000000000004</v>
      </c>
      <c r="F37" s="36" t="s">
        <v>105</v>
      </c>
      <c r="G37" s="36">
        <v>1.9E-2</v>
      </c>
      <c r="H37" s="105">
        <v>1.22</v>
      </c>
      <c r="I37" s="112">
        <v>1.58</v>
      </c>
      <c r="J37" s="46">
        <v>4.92</v>
      </c>
      <c r="K37" s="36" t="s">
        <v>105</v>
      </c>
      <c r="L37" s="46">
        <v>3.16</v>
      </c>
      <c r="M37" s="37" t="s">
        <v>105</v>
      </c>
      <c r="N37" s="65">
        <v>6.31</v>
      </c>
      <c r="O37" s="36">
        <v>0.26</v>
      </c>
      <c r="P37" s="46">
        <v>5.38</v>
      </c>
      <c r="Q37" s="104">
        <v>6.91</v>
      </c>
      <c r="R37" s="37">
        <v>0.253</v>
      </c>
      <c r="S37" s="75">
        <v>1.7</v>
      </c>
      <c r="T37" s="46">
        <v>5.35</v>
      </c>
      <c r="U37" s="46" t="s">
        <v>105</v>
      </c>
      <c r="V37" s="36" t="s">
        <v>105</v>
      </c>
      <c r="W37" s="37">
        <v>0.54900000000000004</v>
      </c>
      <c r="X37" s="43">
        <v>0.51700000000000002</v>
      </c>
      <c r="Y37" s="104">
        <v>1.73</v>
      </c>
      <c r="Z37" s="36" t="s">
        <v>105</v>
      </c>
      <c r="AA37" s="104">
        <v>1.66</v>
      </c>
      <c r="AB37" s="105">
        <v>1.32</v>
      </c>
      <c r="AC37" s="65">
        <v>2.68</v>
      </c>
      <c r="AD37" s="104">
        <v>2.39</v>
      </c>
      <c r="AE37" s="36" t="s">
        <v>105</v>
      </c>
      <c r="AF37" s="46">
        <v>3.93</v>
      </c>
      <c r="AG37" s="63">
        <v>4.6500000000000004</v>
      </c>
      <c r="AH37" s="135">
        <v>13.5</v>
      </c>
      <c r="AI37" s="36">
        <v>0.75</v>
      </c>
      <c r="AJ37" s="36" t="s">
        <v>105</v>
      </c>
      <c r="AK37" s="36">
        <v>0.91900000000000004</v>
      </c>
      <c r="AL37" s="105">
        <v>2.04</v>
      </c>
      <c r="AM37" s="112">
        <v>5.12</v>
      </c>
      <c r="AN37" s="46">
        <v>2.0099999999999998</v>
      </c>
      <c r="AO37" s="46">
        <v>2.65</v>
      </c>
      <c r="AP37" s="46">
        <v>2.78</v>
      </c>
      <c r="AQ37" s="63">
        <v>3.79</v>
      </c>
      <c r="AR37" s="65">
        <v>2.04</v>
      </c>
      <c r="AS37" s="46">
        <v>4.37</v>
      </c>
      <c r="AT37" s="46" t="s">
        <v>105</v>
      </c>
      <c r="AU37" s="46">
        <v>5.25</v>
      </c>
      <c r="AV37" s="63">
        <v>2.34</v>
      </c>
      <c r="AW37" s="75" t="s">
        <v>105</v>
      </c>
      <c r="AX37" s="104">
        <v>2.19</v>
      </c>
      <c r="AY37" s="140">
        <v>0.96299999999999997</v>
      </c>
      <c r="AZ37" s="46">
        <v>3.84</v>
      </c>
      <c r="BA37" s="134">
        <v>0.501</v>
      </c>
      <c r="BB37" s="43" t="s">
        <v>105</v>
      </c>
      <c r="BC37" s="140">
        <v>6.5000000000000002E-2</v>
      </c>
      <c r="BD37" s="36">
        <v>0.748</v>
      </c>
      <c r="BE37" s="46">
        <v>1.85</v>
      </c>
      <c r="BF37" s="37" t="s">
        <v>105</v>
      </c>
      <c r="BG37" s="112">
        <v>1.18</v>
      </c>
      <c r="BH37" s="46">
        <v>1.99</v>
      </c>
      <c r="BI37" s="46">
        <v>3.61</v>
      </c>
      <c r="BJ37" s="140">
        <v>0.214</v>
      </c>
      <c r="BK37" s="37">
        <v>0.154</v>
      </c>
      <c r="BL37" s="112">
        <v>3.51</v>
      </c>
      <c r="BM37" s="37">
        <v>6.2E-2</v>
      </c>
      <c r="BN37" s="166">
        <f t="shared" ref="BN37:BN39" si="13">IFERROR(AVERAGE(D37:BM39),0)</f>
        <v>2.6287518248175195</v>
      </c>
      <c r="BO37" s="166">
        <f t="shared" si="12"/>
        <v>13.5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65" t="s">
        <v>11</v>
      </c>
      <c r="B38" s="7" t="s">
        <v>28</v>
      </c>
      <c r="C38" s="11" t="s">
        <v>8</v>
      </c>
      <c r="D38" s="41">
        <v>0.75700000000000001</v>
      </c>
      <c r="E38" s="123">
        <v>2.36</v>
      </c>
      <c r="F38" s="22" t="s">
        <v>105</v>
      </c>
      <c r="G38" s="22" t="s">
        <v>105</v>
      </c>
      <c r="H38" s="42" t="s">
        <v>105</v>
      </c>
      <c r="I38" s="124">
        <v>1.5</v>
      </c>
      <c r="J38" s="32">
        <v>2.4700000000000002</v>
      </c>
      <c r="K38" s="32">
        <v>2.94</v>
      </c>
      <c r="L38" s="32">
        <v>1.71</v>
      </c>
      <c r="M38" s="60">
        <v>1.54</v>
      </c>
      <c r="N38" s="64">
        <v>3.62</v>
      </c>
      <c r="O38" s="32">
        <v>1.68</v>
      </c>
      <c r="P38" s="130">
        <v>4.5</v>
      </c>
      <c r="Q38" s="32" t="s">
        <v>105</v>
      </c>
      <c r="R38" s="42">
        <v>0.11600000000000001</v>
      </c>
      <c r="S38" s="129">
        <v>0.77700000000000002</v>
      </c>
      <c r="T38" s="32">
        <v>4.1500000000000004</v>
      </c>
      <c r="U38" s="32" t="s">
        <v>105</v>
      </c>
      <c r="V38" s="22" t="s">
        <v>105</v>
      </c>
      <c r="W38" s="42">
        <v>0.92100000000000004</v>
      </c>
      <c r="X38" s="64">
        <v>2.06</v>
      </c>
      <c r="Y38" s="123">
        <v>3.38</v>
      </c>
      <c r="Z38" s="123">
        <v>3.39</v>
      </c>
      <c r="AA38" s="123">
        <v>2.84</v>
      </c>
      <c r="AB38" s="42" t="s">
        <v>105</v>
      </c>
      <c r="AC38" s="64">
        <v>2.99</v>
      </c>
      <c r="AD38" s="32" t="s">
        <v>105</v>
      </c>
      <c r="AE38" s="22">
        <v>0.54800000000000004</v>
      </c>
      <c r="AF38" s="123">
        <v>1.59</v>
      </c>
      <c r="AG38" s="115">
        <v>7.52</v>
      </c>
      <c r="AH38" s="148">
        <v>13.1</v>
      </c>
      <c r="AI38" s="22" t="s">
        <v>105</v>
      </c>
      <c r="AJ38" s="123">
        <v>5.43</v>
      </c>
      <c r="AK38" s="22" t="s">
        <v>105</v>
      </c>
      <c r="AL38" s="42" t="s">
        <v>105</v>
      </c>
      <c r="AM38" s="111">
        <v>5.14</v>
      </c>
      <c r="AN38" s="136">
        <v>0.83899999999999997</v>
      </c>
      <c r="AO38" s="22" t="s">
        <v>105</v>
      </c>
      <c r="AP38" s="32">
        <v>2.17</v>
      </c>
      <c r="AQ38" s="60">
        <v>3.36</v>
      </c>
      <c r="AR38" s="45" t="s">
        <v>105</v>
      </c>
      <c r="AS38" s="32">
        <v>1.35</v>
      </c>
      <c r="AT38" s="22" t="s">
        <v>105</v>
      </c>
      <c r="AU38" s="32">
        <v>6.49</v>
      </c>
      <c r="AV38" s="60">
        <v>6.37</v>
      </c>
      <c r="AW38" s="64">
        <v>4.46</v>
      </c>
      <c r="AX38" s="32">
        <v>4.1500000000000004</v>
      </c>
      <c r="AY38" s="136">
        <v>0.29199999999999998</v>
      </c>
      <c r="AZ38" s="34">
        <v>1.6</v>
      </c>
      <c r="BA38" s="147">
        <v>0.52900000000000003</v>
      </c>
      <c r="BB38" s="64" t="s">
        <v>105</v>
      </c>
      <c r="BC38" s="22" t="s">
        <v>105</v>
      </c>
      <c r="BD38" s="22">
        <v>5.6000000000000001E-2</v>
      </c>
      <c r="BE38" s="32">
        <v>1.75</v>
      </c>
      <c r="BF38" s="78" t="s">
        <v>105</v>
      </c>
      <c r="BG38" s="45">
        <v>0.91800000000000004</v>
      </c>
      <c r="BH38" s="22" t="s">
        <v>105</v>
      </c>
      <c r="BI38" s="22">
        <v>0.184</v>
      </c>
      <c r="BJ38" s="149">
        <v>1</v>
      </c>
      <c r="BK38" s="125">
        <v>1.1000000000000001</v>
      </c>
      <c r="BL38" s="111">
        <v>1.91</v>
      </c>
      <c r="BM38" s="42">
        <v>0.96899999999999997</v>
      </c>
      <c r="BN38" s="167">
        <f t="shared" si="13"/>
        <v>2.6390989010989001</v>
      </c>
      <c r="BO38" s="167">
        <f t="shared" si="12"/>
        <v>13.1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65"/>
      <c r="B39" s="8"/>
      <c r="C39" s="12" t="s">
        <v>14</v>
      </c>
      <c r="D39" s="73" t="s">
        <v>105</v>
      </c>
      <c r="E39" s="39" t="s">
        <v>105</v>
      </c>
      <c r="F39" s="39" t="s">
        <v>105</v>
      </c>
      <c r="G39" s="117">
        <v>1.61</v>
      </c>
      <c r="H39" s="40">
        <v>0.224</v>
      </c>
      <c r="I39" s="44">
        <v>0.377</v>
      </c>
      <c r="J39" s="47">
        <v>3.12</v>
      </c>
      <c r="K39" s="138">
        <v>0.73399999999999999</v>
      </c>
      <c r="L39" s="47">
        <v>2.04</v>
      </c>
      <c r="M39" s="116">
        <v>2.42</v>
      </c>
      <c r="N39" s="61" t="s">
        <v>105</v>
      </c>
      <c r="O39" s="39">
        <v>0.623</v>
      </c>
      <c r="P39" s="47">
        <v>4.83</v>
      </c>
      <c r="Q39" s="47" t="s">
        <v>105</v>
      </c>
      <c r="R39" s="66">
        <v>1.9</v>
      </c>
      <c r="S39" s="61">
        <v>1.31</v>
      </c>
      <c r="T39" s="47">
        <v>1.45</v>
      </c>
      <c r="U39" s="47" t="s">
        <v>105</v>
      </c>
      <c r="V39" s="39">
        <v>1.7000000000000001E-2</v>
      </c>
      <c r="W39" s="116">
        <v>2.88</v>
      </c>
      <c r="X39" s="44">
        <v>0.59899999999999998</v>
      </c>
      <c r="Y39" s="132">
        <v>1.2</v>
      </c>
      <c r="Z39" s="117">
        <v>6.92</v>
      </c>
      <c r="AA39" s="39" t="s">
        <v>105</v>
      </c>
      <c r="AB39" s="116">
        <v>2.37</v>
      </c>
      <c r="AC39" s="44" t="s">
        <v>105</v>
      </c>
      <c r="AD39" s="132">
        <v>5.6</v>
      </c>
      <c r="AE39" s="39">
        <v>0.95799999999999996</v>
      </c>
      <c r="AF39" s="117">
        <v>4.5599999999999996</v>
      </c>
      <c r="AG39" s="116">
        <v>3.14</v>
      </c>
      <c r="AH39" s="109">
        <v>1.29</v>
      </c>
      <c r="AI39" s="47">
        <v>7.14</v>
      </c>
      <c r="AJ39" s="39" t="s">
        <v>105</v>
      </c>
      <c r="AK39" s="47">
        <v>4.34</v>
      </c>
      <c r="AL39" s="116">
        <v>1.63</v>
      </c>
      <c r="AM39" s="109">
        <v>4.7300000000000004</v>
      </c>
      <c r="AN39" s="117">
        <v>2.87</v>
      </c>
      <c r="AO39" s="47">
        <v>1.65</v>
      </c>
      <c r="AP39" s="47">
        <v>1.05</v>
      </c>
      <c r="AQ39" s="59" t="s">
        <v>105</v>
      </c>
      <c r="AR39" s="150">
        <v>0.60599999999999998</v>
      </c>
      <c r="AS39" s="117">
        <v>4.3600000000000003</v>
      </c>
      <c r="AT39" s="39" t="s">
        <v>105</v>
      </c>
      <c r="AU39" s="68">
        <v>1.8</v>
      </c>
      <c r="AV39" s="59">
        <v>4.04</v>
      </c>
      <c r="AW39" s="150">
        <v>0.86899999999999999</v>
      </c>
      <c r="AX39" s="117">
        <v>5.14</v>
      </c>
      <c r="AY39" s="47">
        <v>5.97</v>
      </c>
      <c r="AZ39" s="47">
        <v>7.29</v>
      </c>
      <c r="BA39" s="126">
        <v>3.1</v>
      </c>
      <c r="BB39" s="61">
        <v>3.49</v>
      </c>
      <c r="BC39" s="77" t="s">
        <v>105</v>
      </c>
      <c r="BD39" s="117">
        <v>1.74</v>
      </c>
      <c r="BE39" s="68" t="s">
        <v>105</v>
      </c>
      <c r="BF39" s="40" t="s">
        <v>105</v>
      </c>
      <c r="BG39" s="109">
        <v>1.52</v>
      </c>
      <c r="BH39" s="39" t="s">
        <v>105</v>
      </c>
      <c r="BI39" s="117">
        <v>1.84</v>
      </c>
      <c r="BJ39" s="39" t="s">
        <v>105</v>
      </c>
      <c r="BK39" s="40" t="s">
        <v>105</v>
      </c>
      <c r="BL39" s="44" t="s">
        <v>105</v>
      </c>
      <c r="BM39" s="59">
        <v>2.42</v>
      </c>
      <c r="BN39" s="168">
        <f t="shared" si="13"/>
        <v>2.5120961538461541</v>
      </c>
      <c r="BO39" s="168">
        <f t="shared" si="12"/>
        <v>7.29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19</v>
      </c>
      <c r="B40" s="6" t="s">
        <v>9</v>
      </c>
      <c r="C40" s="11" t="s">
        <v>10</v>
      </c>
      <c r="D40" s="35" t="s">
        <v>105</v>
      </c>
      <c r="E40" s="36" t="s">
        <v>105</v>
      </c>
      <c r="F40" s="36" t="s">
        <v>105</v>
      </c>
      <c r="G40" s="36" t="s">
        <v>105</v>
      </c>
      <c r="H40" s="37" t="s">
        <v>105</v>
      </c>
      <c r="I40" s="43" t="s">
        <v>105</v>
      </c>
      <c r="J40" s="36" t="s">
        <v>105</v>
      </c>
      <c r="K40" s="36" t="s">
        <v>105</v>
      </c>
      <c r="L40" s="36" t="s">
        <v>105</v>
      </c>
      <c r="M40" s="37" t="s">
        <v>105</v>
      </c>
      <c r="N40" s="43" t="s">
        <v>105</v>
      </c>
      <c r="O40" s="36" t="s">
        <v>105</v>
      </c>
      <c r="P40" s="36" t="s">
        <v>105</v>
      </c>
      <c r="Q40" s="36" t="s">
        <v>105</v>
      </c>
      <c r="R40" s="37" t="s">
        <v>105</v>
      </c>
      <c r="S40" s="43" t="s">
        <v>105</v>
      </c>
      <c r="T40" s="36" t="s">
        <v>105</v>
      </c>
      <c r="U40" s="36" t="s">
        <v>105</v>
      </c>
      <c r="V40" s="36" t="s">
        <v>105</v>
      </c>
      <c r="W40" s="37" t="s">
        <v>105</v>
      </c>
      <c r="X40" s="43" t="s">
        <v>105</v>
      </c>
      <c r="Y40" s="36" t="s">
        <v>105</v>
      </c>
      <c r="Z40" s="36" t="s">
        <v>105</v>
      </c>
      <c r="AA40" s="36" t="s">
        <v>105</v>
      </c>
      <c r="AB40" s="37" t="s">
        <v>105</v>
      </c>
      <c r="AC40" s="43" t="s">
        <v>105</v>
      </c>
      <c r="AD40" s="36" t="s">
        <v>105</v>
      </c>
      <c r="AE40" s="36" t="s">
        <v>105</v>
      </c>
      <c r="AF40" s="104">
        <v>2.17</v>
      </c>
      <c r="AG40" s="37" t="s">
        <v>105</v>
      </c>
      <c r="AH40" s="43" t="s">
        <v>105</v>
      </c>
      <c r="AI40" s="36">
        <v>0.46500000000000002</v>
      </c>
      <c r="AJ40" s="36" t="s">
        <v>105</v>
      </c>
      <c r="AK40" s="46">
        <v>3.23</v>
      </c>
      <c r="AL40" s="37" t="s">
        <v>105</v>
      </c>
      <c r="AM40" s="43" t="s">
        <v>105</v>
      </c>
      <c r="AN40" s="36" t="s">
        <v>105</v>
      </c>
      <c r="AO40" s="36" t="s">
        <v>105</v>
      </c>
      <c r="AP40" s="36" t="s">
        <v>105</v>
      </c>
      <c r="AQ40" s="37" t="s">
        <v>105</v>
      </c>
      <c r="AR40" s="43" t="s">
        <v>105</v>
      </c>
      <c r="AS40" s="36" t="s">
        <v>105</v>
      </c>
      <c r="AT40" s="36" t="s">
        <v>105</v>
      </c>
      <c r="AU40" s="36" t="s">
        <v>105</v>
      </c>
      <c r="AV40" s="37" t="s">
        <v>105</v>
      </c>
      <c r="AW40" s="43" t="s">
        <v>105</v>
      </c>
      <c r="AX40" s="36" t="s">
        <v>105</v>
      </c>
      <c r="AY40" s="36" t="s">
        <v>105</v>
      </c>
      <c r="AZ40" s="36" t="s">
        <v>105</v>
      </c>
      <c r="BA40" s="37" t="s">
        <v>105</v>
      </c>
      <c r="BB40" s="43" t="s">
        <v>105</v>
      </c>
      <c r="BC40" s="36" t="s">
        <v>105</v>
      </c>
      <c r="BD40" s="36" t="s">
        <v>105</v>
      </c>
      <c r="BE40" s="36" t="s">
        <v>105</v>
      </c>
      <c r="BF40" s="37" t="s">
        <v>105</v>
      </c>
      <c r="BG40" s="43" t="s">
        <v>105</v>
      </c>
      <c r="BH40" s="36" t="s">
        <v>105</v>
      </c>
      <c r="BI40" s="36" t="s">
        <v>105</v>
      </c>
      <c r="BJ40" s="36" t="s">
        <v>105</v>
      </c>
      <c r="BK40" s="37" t="s">
        <v>105</v>
      </c>
      <c r="BL40" s="43" t="s">
        <v>105</v>
      </c>
      <c r="BM40" s="37" t="s">
        <v>105</v>
      </c>
      <c r="BN40" s="166">
        <f t="shared" ref="BN40:BN42" si="14">IFERROR(AVERAGE(D40:BM42),0)</f>
        <v>1.3859166666666667</v>
      </c>
      <c r="BO40" s="166">
        <f t="shared" si="12"/>
        <v>3.23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65" t="s">
        <v>11</v>
      </c>
      <c r="B41" s="7" t="s">
        <v>12</v>
      </c>
      <c r="C41" s="11" t="s">
        <v>8</v>
      </c>
      <c r="D41" s="41" t="s">
        <v>105</v>
      </c>
      <c r="E41" s="22" t="s">
        <v>105</v>
      </c>
      <c r="F41" s="22" t="s">
        <v>105</v>
      </c>
      <c r="G41" s="22" t="s">
        <v>105</v>
      </c>
      <c r="H41" s="42" t="s">
        <v>105</v>
      </c>
      <c r="I41" s="45" t="s">
        <v>105</v>
      </c>
      <c r="J41" s="22" t="s">
        <v>105</v>
      </c>
      <c r="K41" s="22" t="s">
        <v>105</v>
      </c>
      <c r="L41" s="22" t="s">
        <v>105</v>
      </c>
      <c r="M41" s="42" t="s">
        <v>105</v>
      </c>
      <c r="N41" s="45" t="s">
        <v>105</v>
      </c>
      <c r="O41" s="22" t="s">
        <v>105</v>
      </c>
      <c r="P41" s="22" t="s">
        <v>105</v>
      </c>
      <c r="Q41" s="22" t="s">
        <v>105</v>
      </c>
      <c r="R41" s="42" t="s">
        <v>105</v>
      </c>
      <c r="S41" s="45" t="s">
        <v>105</v>
      </c>
      <c r="T41" s="22" t="s">
        <v>105</v>
      </c>
      <c r="U41" s="22" t="s">
        <v>105</v>
      </c>
      <c r="V41" s="22" t="s">
        <v>105</v>
      </c>
      <c r="W41" s="42" t="s">
        <v>105</v>
      </c>
      <c r="X41" s="45" t="s">
        <v>105</v>
      </c>
      <c r="Y41" s="22" t="s">
        <v>105</v>
      </c>
      <c r="Z41" s="22" t="s">
        <v>105</v>
      </c>
      <c r="AA41" s="22" t="s">
        <v>105</v>
      </c>
      <c r="AB41" s="42" t="s">
        <v>105</v>
      </c>
      <c r="AC41" s="45" t="s">
        <v>105</v>
      </c>
      <c r="AD41" s="22" t="s">
        <v>105</v>
      </c>
      <c r="AE41" s="22" t="s">
        <v>105</v>
      </c>
      <c r="AF41" s="123">
        <v>1.92</v>
      </c>
      <c r="AG41" s="42" t="s">
        <v>105</v>
      </c>
      <c r="AH41" s="45">
        <v>0.159</v>
      </c>
      <c r="AI41" s="123">
        <v>2.36</v>
      </c>
      <c r="AJ41" s="22">
        <v>0.66800000000000004</v>
      </c>
      <c r="AK41" s="32">
        <v>1.89</v>
      </c>
      <c r="AL41" s="42" t="s">
        <v>105</v>
      </c>
      <c r="AM41" s="45" t="s">
        <v>105</v>
      </c>
      <c r="AN41" s="22" t="s">
        <v>105</v>
      </c>
      <c r="AO41" s="22" t="s">
        <v>105</v>
      </c>
      <c r="AP41" s="22" t="s">
        <v>105</v>
      </c>
      <c r="AQ41" s="42" t="s">
        <v>105</v>
      </c>
      <c r="AR41" s="45" t="s">
        <v>105</v>
      </c>
      <c r="AS41" s="22" t="s">
        <v>105</v>
      </c>
      <c r="AT41" s="22" t="s">
        <v>105</v>
      </c>
      <c r="AU41" s="22" t="s">
        <v>105</v>
      </c>
      <c r="AV41" s="42" t="s">
        <v>105</v>
      </c>
      <c r="AW41" s="45" t="s">
        <v>105</v>
      </c>
      <c r="AX41" s="22" t="s">
        <v>105</v>
      </c>
      <c r="AY41" s="22" t="s">
        <v>105</v>
      </c>
      <c r="AZ41" s="22" t="s">
        <v>105</v>
      </c>
      <c r="BA41" s="42" t="s">
        <v>105</v>
      </c>
      <c r="BB41" s="45" t="s">
        <v>105</v>
      </c>
      <c r="BC41" s="22" t="s">
        <v>105</v>
      </c>
      <c r="BD41" s="22" t="s">
        <v>105</v>
      </c>
      <c r="BE41" s="22" t="s">
        <v>105</v>
      </c>
      <c r="BF41" s="42" t="s">
        <v>105</v>
      </c>
      <c r="BG41" s="45" t="s">
        <v>105</v>
      </c>
      <c r="BH41" s="22" t="s">
        <v>105</v>
      </c>
      <c r="BI41" s="22" t="s">
        <v>105</v>
      </c>
      <c r="BJ41" s="22" t="s">
        <v>105</v>
      </c>
      <c r="BK41" s="42" t="s">
        <v>105</v>
      </c>
      <c r="BL41" s="45" t="s">
        <v>105</v>
      </c>
      <c r="BM41" s="42" t="s">
        <v>105</v>
      </c>
      <c r="BN41" s="167">
        <f t="shared" si="14"/>
        <v>1.5272142857142856</v>
      </c>
      <c r="BO41" s="167">
        <f t="shared" si="12"/>
        <v>4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65"/>
      <c r="B42" s="8" t="s">
        <v>29</v>
      </c>
      <c r="C42" s="12" t="s">
        <v>14</v>
      </c>
      <c r="D42" s="38" t="s">
        <v>105</v>
      </c>
      <c r="E42" s="39" t="s">
        <v>105</v>
      </c>
      <c r="F42" s="39" t="s">
        <v>105</v>
      </c>
      <c r="G42" s="39" t="s">
        <v>105</v>
      </c>
      <c r="H42" s="40" t="s">
        <v>105</v>
      </c>
      <c r="I42" s="44" t="s">
        <v>105</v>
      </c>
      <c r="J42" s="39" t="s">
        <v>105</v>
      </c>
      <c r="K42" s="39" t="s">
        <v>105</v>
      </c>
      <c r="L42" s="39" t="s">
        <v>105</v>
      </c>
      <c r="M42" s="40" t="s">
        <v>105</v>
      </c>
      <c r="N42" s="44" t="s">
        <v>105</v>
      </c>
      <c r="O42" s="39" t="s">
        <v>105</v>
      </c>
      <c r="P42" s="39" t="s">
        <v>105</v>
      </c>
      <c r="Q42" s="39" t="s">
        <v>105</v>
      </c>
      <c r="R42" s="40" t="s">
        <v>105</v>
      </c>
      <c r="S42" s="44" t="s">
        <v>105</v>
      </c>
      <c r="T42" s="39" t="s">
        <v>105</v>
      </c>
      <c r="U42" s="39" t="s">
        <v>105</v>
      </c>
      <c r="V42" s="39" t="s">
        <v>105</v>
      </c>
      <c r="W42" s="40" t="s">
        <v>105</v>
      </c>
      <c r="X42" s="44" t="s">
        <v>105</v>
      </c>
      <c r="Y42" s="39" t="s">
        <v>105</v>
      </c>
      <c r="Z42" s="39" t="s">
        <v>105</v>
      </c>
      <c r="AA42" s="39" t="s">
        <v>105</v>
      </c>
      <c r="AB42" s="40" t="s">
        <v>105</v>
      </c>
      <c r="AC42" s="44" t="s">
        <v>105</v>
      </c>
      <c r="AD42" s="39" t="s">
        <v>105</v>
      </c>
      <c r="AE42" s="39" t="s">
        <v>105</v>
      </c>
      <c r="AF42" s="117">
        <v>1.1299999999999999</v>
      </c>
      <c r="AG42" s="40" t="s">
        <v>105</v>
      </c>
      <c r="AH42" s="109">
        <v>1.07</v>
      </c>
      <c r="AI42" s="117">
        <v>1.52</v>
      </c>
      <c r="AJ42" s="138">
        <v>4.9000000000000002E-2</v>
      </c>
      <c r="AK42" s="39" t="s">
        <v>105</v>
      </c>
      <c r="AL42" s="40" t="s">
        <v>105</v>
      </c>
      <c r="AM42" s="44" t="s">
        <v>105</v>
      </c>
      <c r="AN42" s="39" t="s">
        <v>105</v>
      </c>
      <c r="AO42" s="39" t="s">
        <v>105</v>
      </c>
      <c r="AP42" s="39" t="s">
        <v>105</v>
      </c>
      <c r="AQ42" s="40" t="s">
        <v>105</v>
      </c>
      <c r="AR42" s="44" t="s">
        <v>105</v>
      </c>
      <c r="AS42" s="39" t="s">
        <v>105</v>
      </c>
      <c r="AT42" s="39" t="s">
        <v>105</v>
      </c>
      <c r="AU42" s="39" t="s">
        <v>105</v>
      </c>
      <c r="AV42" s="40" t="s">
        <v>105</v>
      </c>
      <c r="AW42" s="44" t="s">
        <v>105</v>
      </c>
      <c r="AX42" s="39" t="s">
        <v>105</v>
      </c>
      <c r="AY42" s="39" t="s">
        <v>105</v>
      </c>
      <c r="AZ42" s="39" t="s">
        <v>105</v>
      </c>
      <c r="BA42" s="40" t="s">
        <v>105</v>
      </c>
      <c r="BB42" s="44" t="s">
        <v>105</v>
      </c>
      <c r="BC42" s="39" t="s">
        <v>105</v>
      </c>
      <c r="BD42" s="39" t="s">
        <v>105</v>
      </c>
      <c r="BE42" s="39" t="s">
        <v>105</v>
      </c>
      <c r="BF42" s="40" t="s">
        <v>105</v>
      </c>
      <c r="BG42" s="44" t="s">
        <v>105</v>
      </c>
      <c r="BH42" s="39" t="s">
        <v>105</v>
      </c>
      <c r="BI42" s="39" t="s">
        <v>105</v>
      </c>
      <c r="BJ42" s="39" t="s">
        <v>105</v>
      </c>
      <c r="BK42" s="40" t="s">
        <v>105</v>
      </c>
      <c r="BL42" s="44" t="s">
        <v>105</v>
      </c>
      <c r="BM42" s="40" t="s">
        <v>105</v>
      </c>
      <c r="BN42" s="168">
        <f t="shared" si="14"/>
        <v>1.4499230769230769</v>
      </c>
      <c r="BO42" s="168">
        <f t="shared" si="12"/>
        <v>4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19</v>
      </c>
      <c r="B43" s="6" t="s">
        <v>15</v>
      </c>
      <c r="C43" s="11" t="s">
        <v>10</v>
      </c>
      <c r="D43" s="35" t="s">
        <v>105</v>
      </c>
      <c r="E43" s="36" t="s">
        <v>105</v>
      </c>
      <c r="F43" s="36" t="s">
        <v>105</v>
      </c>
      <c r="G43" s="36" t="s">
        <v>105</v>
      </c>
      <c r="H43" s="37" t="s">
        <v>105</v>
      </c>
      <c r="I43" s="43" t="s">
        <v>105</v>
      </c>
      <c r="J43" s="36" t="s">
        <v>105</v>
      </c>
      <c r="K43" s="36" t="s">
        <v>105</v>
      </c>
      <c r="L43" s="36" t="s">
        <v>105</v>
      </c>
      <c r="M43" s="37" t="s">
        <v>105</v>
      </c>
      <c r="N43" s="43" t="s">
        <v>105</v>
      </c>
      <c r="O43" s="36" t="s">
        <v>105</v>
      </c>
      <c r="P43" s="36" t="s">
        <v>105</v>
      </c>
      <c r="Q43" s="36" t="s">
        <v>105</v>
      </c>
      <c r="R43" s="37" t="s">
        <v>105</v>
      </c>
      <c r="S43" s="43" t="s">
        <v>105</v>
      </c>
      <c r="T43" s="36" t="s">
        <v>105</v>
      </c>
      <c r="U43" s="36" t="s">
        <v>105</v>
      </c>
      <c r="V43" s="36" t="s">
        <v>105</v>
      </c>
      <c r="W43" s="37" t="s">
        <v>105</v>
      </c>
      <c r="X43" s="43" t="s">
        <v>105</v>
      </c>
      <c r="Y43" s="36" t="s">
        <v>105</v>
      </c>
      <c r="Z43" s="36" t="s">
        <v>105</v>
      </c>
      <c r="AA43" s="36" t="s">
        <v>105</v>
      </c>
      <c r="AB43" s="37" t="s">
        <v>105</v>
      </c>
      <c r="AC43" s="43" t="s">
        <v>105</v>
      </c>
      <c r="AD43" s="36" t="s">
        <v>105</v>
      </c>
      <c r="AE43" s="36" t="s">
        <v>105</v>
      </c>
      <c r="AF43" s="46">
        <v>1.34</v>
      </c>
      <c r="AG43" s="37" t="s">
        <v>105</v>
      </c>
      <c r="AH43" s="112">
        <v>2.88</v>
      </c>
      <c r="AI43" s="104">
        <v>1.76</v>
      </c>
      <c r="AJ43" s="70">
        <v>4</v>
      </c>
      <c r="AK43" s="36">
        <v>0.63500000000000001</v>
      </c>
      <c r="AL43" s="37" t="s">
        <v>105</v>
      </c>
      <c r="AM43" s="43" t="s">
        <v>105</v>
      </c>
      <c r="AN43" s="36" t="s">
        <v>105</v>
      </c>
      <c r="AO43" s="36" t="s">
        <v>105</v>
      </c>
      <c r="AP43" s="36" t="s">
        <v>105</v>
      </c>
      <c r="AQ43" s="37" t="s">
        <v>105</v>
      </c>
      <c r="AR43" s="43" t="s">
        <v>105</v>
      </c>
      <c r="AS43" s="36" t="s">
        <v>105</v>
      </c>
      <c r="AT43" s="36" t="s">
        <v>105</v>
      </c>
      <c r="AU43" s="36" t="s">
        <v>105</v>
      </c>
      <c r="AV43" s="37" t="s">
        <v>105</v>
      </c>
      <c r="AW43" s="43" t="s">
        <v>105</v>
      </c>
      <c r="AX43" s="36" t="s">
        <v>105</v>
      </c>
      <c r="AY43" s="36" t="s">
        <v>105</v>
      </c>
      <c r="AZ43" s="36" t="s">
        <v>105</v>
      </c>
      <c r="BA43" s="37" t="s">
        <v>105</v>
      </c>
      <c r="BB43" s="43" t="s">
        <v>105</v>
      </c>
      <c r="BC43" s="36" t="s">
        <v>105</v>
      </c>
      <c r="BD43" s="36" t="s">
        <v>105</v>
      </c>
      <c r="BE43" s="36" t="s">
        <v>105</v>
      </c>
      <c r="BF43" s="37" t="s">
        <v>105</v>
      </c>
      <c r="BG43" s="43" t="s">
        <v>105</v>
      </c>
      <c r="BH43" s="36" t="s">
        <v>105</v>
      </c>
      <c r="BI43" s="36" t="s">
        <v>105</v>
      </c>
      <c r="BJ43" s="36" t="s">
        <v>105</v>
      </c>
      <c r="BK43" s="37" t="s">
        <v>105</v>
      </c>
      <c r="BL43" s="43" t="s">
        <v>105</v>
      </c>
      <c r="BM43" s="37" t="s">
        <v>105</v>
      </c>
      <c r="BN43" s="166">
        <f t="shared" ref="BN43:BN45" si="15">IFERROR(AVERAGE(D43:BM45),0)</f>
        <v>1.6855</v>
      </c>
      <c r="BO43" s="166">
        <f t="shared" si="12"/>
        <v>5.51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65" t="s">
        <v>11</v>
      </c>
      <c r="B44" s="7" t="s">
        <v>12</v>
      </c>
      <c r="C44" s="11" t="s">
        <v>8</v>
      </c>
      <c r="D44" s="41" t="s">
        <v>105</v>
      </c>
      <c r="E44" s="22" t="s">
        <v>105</v>
      </c>
      <c r="F44" s="22" t="s">
        <v>105</v>
      </c>
      <c r="G44" s="22" t="s">
        <v>105</v>
      </c>
      <c r="H44" s="42" t="s">
        <v>105</v>
      </c>
      <c r="I44" s="45" t="s">
        <v>105</v>
      </c>
      <c r="J44" s="22" t="s">
        <v>105</v>
      </c>
      <c r="K44" s="22" t="s">
        <v>105</v>
      </c>
      <c r="L44" s="22" t="s">
        <v>105</v>
      </c>
      <c r="M44" s="42" t="s">
        <v>105</v>
      </c>
      <c r="N44" s="45" t="s">
        <v>105</v>
      </c>
      <c r="O44" s="22" t="s">
        <v>105</v>
      </c>
      <c r="P44" s="22" t="s">
        <v>105</v>
      </c>
      <c r="Q44" s="22" t="s">
        <v>105</v>
      </c>
      <c r="R44" s="42" t="s">
        <v>105</v>
      </c>
      <c r="S44" s="45" t="s">
        <v>105</v>
      </c>
      <c r="T44" s="22" t="s">
        <v>105</v>
      </c>
      <c r="U44" s="22" t="s">
        <v>105</v>
      </c>
      <c r="V44" s="22" t="s">
        <v>105</v>
      </c>
      <c r="W44" s="42" t="s">
        <v>105</v>
      </c>
      <c r="X44" s="45" t="s">
        <v>105</v>
      </c>
      <c r="Y44" s="22" t="s">
        <v>105</v>
      </c>
      <c r="Z44" s="22" t="s">
        <v>105</v>
      </c>
      <c r="AA44" s="22" t="s">
        <v>105</v>
      </c>
      <c r="AB44" s="42" t="s">
        <v>105</v>
      </c>
      <c r="AC44" s="45" t="s">
        <v>105</v>
      </c>
      <c r="AD44" s="22" t="s">
        <v>105</v>
      </c>
      <c r="AE44" s="22" t="s">
        <v>105</v>
      </c>
      <c r="AF44" s="123">
        <v>1.53</v>
      </c>
      <c r="AG44" s="42">
        <v>0.185</v>
      </c>
      <c r="AH44" s="45">
        <v>0.82</v>
      </c>
      <c r="AI44" s="123">
        <v>1.93</v>
      </c>
      <c r="AJ44" s="22" t="s">
        <v>105</v>
      </c>
      <c r="AK44" s="22" t="s">
        <v>105</v>
      </c>
      <c r="AL44" s="42" t="s">
        <v>105</v>
      </c>
      <c r="AM44" s="45" t="s">
        <v>105</v>
      </c>
      <c r="AN44" s="22" t="s">
        <v>105</v>
      </c>
      <c r="AO44" s="22" t="s">
        <v>105</v>
      </c>
      <c r="AP44" s="22" t="s">
        <v>105</v>
      </c>
      <c r="AQ44" s="42" t="s">
        <v>105</v>
      </c>
      <c r="AR44" s="45" t="s">
        <v>105</v>
      </c>
      <c r="AS44" s="22" t="s">
        <v>105</v>
      </c>
      <c r="AT44" s="22" t="s">
        <v>105</v>
      </c>
      <c r="AU44" s="22" t="s">
        <v>105</v>
      </c>
      <c r="AV44" s="42" t="s">
        <v>105</v>
      </c>
      <c r="AW44" s="45" t="s">
        <v>105</v>
      </c>
      <c r="AX44" s="22" t="s">
        <v>105</v>
      </c>
      <c r="AY44" s="22" t="s">
        <v>105</v>
      </c>
      <c r="AZ44" s="22" t="s">
        <v>105</v>
      </c>
      <c r="BA44" s="42" t="s">
        <v>105</v>
      </c>
      <c r="BB44" s="45" t="s">
        <v>105</v>
      </c>
      <c r="BC44" s="22" t="s">
        <v>105</v>
      </c>
      <c r="BD44" s="22" t="s">
        <v>105</v>
      </c>
      <c r="BE44" s="22" t="s">
        <v>105</v>
      </c>
      <c r="BF44" s="42" t="s">
        <v>105</v>
      </c>
      <c r="BG44" s="45" t="s">
        <v>105</v>
      </c>
      <c r="BH44" s="22" t="s">
        <v>105</v>
      </c>
      <c r="BI44" s="22" t="s">
        <v>105</v>
      </c>
      <c r="BJ44" s="22" t="s">
        <v>105</v>
      </c>
      <c r="BK44" s="42" t="s">
        <v>105</v>
      </c>
      <c r="BL44" s="45" t="s">
        <v>105</v>
      </c>
      <c r="BM44" s="42" t="s">
        <v>105</v>
      </c>
      <c r="BN44" s="167">
        <f t="shared" si="15"/>
        <v>1.3382499999999997</v>
      </c>
      <c r="BO44" s="167">
        <f t="shared" si="12"/>
        <v>5.51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65"/>
      <c r="B45" s="8" t="s">
        <v>30</v>
      </c>
      <c r="C45" s="12" t="s">
        <v>14</v>
      </c>
      <c r="D45" s="38" t="s">
        <v>105</v>
      </c>
      <c r="E45" s="39" t="s">
        <v>105</v>
      </c>
      <c r="F45" s="39" t="s">
        <v>105</v>
      </c>
      <c r="G45" s="39" t="s">
        <v>105</v>
      </c>
      <c r="H45" s="40" t="s">
        <v>105</v>
      </c>
      <c r="I45" s="44" t="s">
        <v>105</v>
      </c>
      <c r="J45" s="39" t="s">
        <v>105</v>
      </c>
      <c r="K45" s="39" t="s">
        <v>105</v>
      </c>
      <c r="L45" s="39" t="s">
        <v>105</v>
      </c>
      <c r="M45" s="40" t="s">
        <v>105</v>
      </c>
      <c r="N45" s="44" t="s">
        <v>105</v>
      </c>
      <c r="O45" s="39" t="s">
        <v>105</v>
      </c>
      <c r="P45" s="39" t="s">
        <v>105</v>
      </c>
      <c r="Q45" s="39" t="s">
        <v>105</v>
      </c>
      <c r="R45" s="40" t="s">
        <v>105</v>
      </c>
      <c r="S45" s="44" t="s">
        <v>105</v>
      </c>
      <c r="T45" s="39" t="s">
        <v>105</v>
      </c>
      <c r="U45" s="39" t="s">
        <v>105</v>
      </c>
      <c r="V45" s="39" t="s">
        <v>105</v>
      </c>
      <c r="W45" s="40" t="s">
        <v>105</v>
      </c>
      <c r="X45" s="44" t="s">
        <v>105</v>
      </c>
      <c r="Y45" s="39" t="s">
        <v>105</v>
      </c>
      <c r="Z45" s="39" t="s">
        <v>105</v>
      </c>
      <c r="AA45" s="39" t="s">
        <v>105</v>
      </c>
      <c r="AB45" s="40" t="s">
        <v>105</v>
      </c>
      <c r="AC45" s="44" t="s">
        <v>105</v>
      </c>
      <c r="AD45" s="39" t="s">
        <v>105</v>
      </c>
      <c r="AE45" s="39" t="s">
        <v>105</v>
      </c>
      <c r="AF45" s="39" t="s">
        <v>105</v>
      </c>
      <c r="AG45" s="40">
        <v>8.8999999999999996E-2</v>
      </c>
      <c r="AH45" s="109">
        <v>1.54</v>
      </c>
      <c r="AI45" s="39">
        <v>0.308</v>
      </c>
      <c r="AJ45" s="117">
        <v>1.07</v>
      </c>
      <c r="AK45" s="47">
        <v>5.51</v>
      </c>
      <c r="AL45" s="40" t="s">
        <v>105</v>
      </c>
      <c r="AM45" s="44" t="s">
        <v>105</v>
      </c>
      <c r="AN45" s="39" t="s">
        <v>105</v>
      </c>
      <c r="AO45" s="39" t="s">
        <v>105</v>
      </c>
      <c r="AP45" s="39" t="s">
        <v>105</v>
      </c>
      <c r="AQ45" s="40" t="s">
        <v>105</v>
      </c>
      <c r="AR45" s="44" t="s">
        <v>105</v>
      </c>
      <c r="AS45" s="39" t="s">
        <v>105</v>
      </c>
      <c r="AT45" s="39" t="s">
        <v>105</v>
      </c>
      <c r="AU45" s="39" t="s">
        <v>105</v>
      </c>
      <c r="AV45" s="40" t="s">
        <v>105</v>
      </c>
      <c r="AW45" s="44" t="s">
        <v>105</v>
      </c>
      <c r="AX45" s="39" t="s">
        <v>105</v>
      </c>
      <c r="AY45" s="39" t="s">
        <v>105</v>
      </c>
      <c r="AZ45" s="39" t="s">
        <v>105</v>
      </c>
      <c r="BA45" s="40" t="s">
        <v>105</v>
      </c>
      <c r="BB45" s="44" t="s">
        <v>105</v>
      </c>
      <c r="BC45" s="39" t="s">
        <v>105</v>
      </c>
      <c r="BD45" s="39" t="s">
        <v>105</v>
      </c>
      <c r="BE45" s="39" t="s">
        <v>105</v>
      </c>
      <c r="BF45" s="40" t="s">
        <v>105</v>
      </c>
      <c r="BG45" s="44" t="s">
        <v>105</v>
      </c>
      <c r="BH45" s="39" t="s">
        <v>105</v>
      </c>
      <c r="BI45" s="39" t="s">
        <v>105</v>
      </c>
      <c r="BJ45" s="39" t="s">
        <v>105</v>
      </c>
      <c r="BK45" s="40" t="s">
        <v>105</v>
      </c>
      <c r="BL45" s="44" t="s">
        <v>105</v>
      </c>
      <c r="BM45" s="40" t="s">
        <v>105</v>
      </c>
      <c r="BN45" s="168">
        <f t="shared" si="15"/>
        <v>1.4621538461538461</v>
      </c>
      <c r="BO45" s="168">
        <f t="shared" si="12"/>
        <v>5.51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19</v>
      </c>
      <c r="B46" s="6" t="s">
        <v>17</v>
      </c>
      <c r="C46" s="11" t="s">
        <v>10</v>
      </c>
      <c r="D46" s="35" t="s">
        <v>105</v>
      </c>
      <c r="E46" s="36" t="s">
        <v>105</v>
      </c>
      <c r="F46" s="36" t="s">
        <v>105</v>
      </c>
      <c r="G46" s="36" t="s">
        <v>105</v>
      </c>
      <c r="H46" s="37" t="s">
        <v>105</v>
      </c>
      <c r="I46" s="43" t="s">
        <v>105</v>
      </c>
      <c r="J46" s="36" t="s">
        <v>105</v>
      </c>
      <c r="K46" s="36" t="s">
        <v>105</v>
      </c>
      <c r="L46" s="36" t="s">
        <v>105</v>
      </c>
      <c r="M46" s="37" t="s">
        <v>105</v>
      </c>
      <c r="N46" s="43" t="s">
        <v>105</v>
      </c>
      <c r="O46" s="36" t="s">
        <v>105</v>
      </c>
      <c r="P46" s="36" t="s">
        <v>105</v>
      </c>
      <c r="Q46" s="36" t="s">
        <v>105</v>
      </c>
      <c r="R46" s="37" t="s">
        <v>105</v>
      </c>
      <c r="S46" s="43" t="s">
        <v>105</v>
      </c>
      <c r="T46" s="36" t="s">
        <v>105</v>
      </c>
      <c r="U46" s="36" t="s">
        <v>105</v>
      </c>
      <c r="V46" s="36" t="s">
        <v>105</v>
      </c>
      <c r="W46" s="37" t="s">
        <v>105</v>
      </c>
      <c r="X46" s="43" t="s">
        <v>105</v>
      </c>
      <c r="Y46" s="36" t="s">
        <v>105</v>
      </c>
      <c r="Z46" s="36" t="s">
        <v>105</v>
      </c>
      <c r="AA46" s="36" t="s">
        <v>105</v>
      </c>
      <c r="AB46" s="37" t="s">
        <v>105</v>
      </c>
      <c r="AC46" s="43" t="s">
        <v>105</v>
      </c>
      <c r="AD46" s="36" t="s">
        <v>105</v>
      </c>
      <c r="AE46" s="36" t="s">
        <v>105</v>
      </c>
      <c r="AF46" s="104">
        <v>1.07</v>
      </c>
      <c r="AG46" s="37" t="s">
        <v>105</v>
      </c>
      <c r="AH46" s="43">
        <v>9.7000000000000003E-2</v>
      </c>
      <c r="AI46" s="36" t="s">
        <v>105</v>
      </c>
      <c r="AJ46" s="46">
        <v>1.91</v>
      </c>
      <c r="AK46" s="36" t="s">
        <v>105</v>
      </c>
      <c r="AL46" s="37" t="s">
        <v>105</v>
      </c>
      <c r="AM46" s="43" t="s">
        <v>105</v>
      </c>
      <c r="AN46" s="36" t="s">
        <v>105</v>
      </c>
      <c r="AO46" s="36" t="s">
        <v>105</v>
      </c>
      <c r="AP46" s="36" t="s">
        <v>105</v>
      </c>
      <c r="AQ46" s="37" t="s">
        <v>105</v>
      </c>
      <c r="AR46" s="43" t="s">
        <v>105</v>
      </c>
      <c r="AS46" s="36" t="s">
        <v>105</v>
      </c>
      <c r="AT46" s="36" t="s">
        <v>105</v>
      </c>
      <c r="AU46" s="36" t="s">
        <v>105</v>
      </c>
      <c r="AV46" s="37" t="s">
        <v>105</v>
      </c>
      <c r="AW46" s="43" t="s">
        <v>105</v>
      </c>
      <c r="AX46" s="36" t="s">
        <v>105</v>
      </c>
      <c r="AY46" s="36" t="s">
        <v>105</v>
      </c>
      <c r="AZ46" s="36" t="s">
        <v>105</v>
      </c>
      <c r="BA46" s="37" t="s">
        <v>105</v>
      </c>
      <c r="BB46" s="43" t="s">
        <v>105</v>
      </c>
      <c r="BC46" s="36" t="s">
        <v>105</v>
      </c>
      <c r="BD46" s="36" t="s">
        <v>105</v>
      </c>
      <c r="BE46" s="36" t="s">
        <v>105</v>
      </c>
      <c r="BF46" s="37" t="s">
        <v>105</v>
      </c>
      <c r="BG46" s="43" t="s">
        <v>105</v>
      </c>
      <c r="BH46" s="36" t="s">
        <v>105</v>
      </c>
      <c r="BI46" s="36" t="s">
        <v>105</v>
      </c>
      <c r="BJ46" s="36" t="s">
        <v>105</v>
      </c>
      <c r="BK46" s="37" t="s">
        <v>105</v>
      </c>
      <c r="BL46" s="43" t="s">
        <v>105</v>
      </c>
      <c r="BM46" s="37" t="s">
        <v>105</v>
      </c>
      <c r="BN46" s="166">
        <f t="shared" ref="BN46:BN48" si="16">IFERROR(AVERAGE(D46:BM48),0)</f>
        <v>1.2590000000000001</v>
      </c>
      <c r="BO46" s="166">
        <f t="shared" si="12"/>
        <v>3.54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65" t="s">
        <v>11</v>
      </c>
      <c r="B47" s="7" t="s">
        <v>12</v>
      </c>
      <c r="C47" s="11" t="s">
        <v>8</v>
      </c>
      <c r="D47" s="41" t="s">
        <v>105</v>
      </c>
      <c r="E47" s="22" t="s">
        <v>105</v>
      </c>
      <c r="F47" s="22" t="s">
        <v>105</v>
      </c>
      <c r="G47" s="22" t="s">
        <v>105</v>
      </c>
      <c r="H47" s="42" t="s">
        <v>105</v>
      </c>
      <c r="I47" s="45" t="s">
        <v>105</v>
      </c>
      <c r="J47" s="22" t="s">
        <v>105</v>
      </c>
      <c r="K47" s="22" t="s">
        <v>105</v>
      </c>
      <c r="L47" s="22" t="s">
        <v>105</v>
      </c>
      <c r="M47" s="42" t="s">
        <v>105</v>
      </c>
      <c r="N47" s="45" t="s">
        <v>105</v>
      </c>
      <c r="O47" s="22" t="s">
        <v>105</v>
      </c>
      <c r="P47" s="22" t="s">
        <v>105</v>
      </c>
      <c r="Q47" s="22" t="s">
        <v>105</v>
      </c>
      <c r="R47" s="42" t="s">
        <v>105</v>
      </c>
      <c r="S47" s="45" t="s">
        <v>105</v>
      </c>
      <c r="T47" s="22" t="s">
        <v>105</v>
      </c>
      <c r="U47" s="22" t="s">
        <v>105</v>
      </c>
      <c r="V47" s="22" t="s">
        <v>105</v>
      </c>
      <c r="W47" s="42" t="s">
        <v>105</v>
      </c>
      <c r="X47" s="45" t="s">
        <v>105</v>
      </c>
      <c r="Y47" s="22" t="s">
        <v>105</v>
      </c>
      <c r="Z47" s="22" t="s">
        <v>105</v>
      </c>
      <c r="AA47" s="22" t="s">
        <v>105</v>
      </c>
      <c r="AB47" s="42" t="s">
        <v>105</v>
      </c>
      <c r="AC47" s="45" t="s">
        <v>105</v>
      </c>
      <c r="AD47" s="22" t="s">
        <v>105</v>
      </c>
      <c r="AE47" s="22" t="s">
        <v>105</v>
      </c>
      <c r="AF47" s="123">
        <v>1.47</v>
      </c>
      <c r="AG47" s="42" t="s">
        <v>105</v>
      </c>
      <c r="AH47" s="111">
        <v>3.54</v>
      </c>
      <c r="AI47" s="123">
        <v>1.57</v>
      </c>
      <c r="AJ47" s="136">
        <v>0.68100000000000005</v>
      </c>
      <c r="AK47" s="22">
        <v>0.153</v>
      </c>
      <c r="AL47" s="42" t="s">
        <v>105</v>
      </c>
      <c r="AM47" s="45" t="s">
        <v>105</v>
      </c>
      <c r="AN47" s="22" t="s">
        <v>105</v>
      </c>
      <c r="AO47" s="22" t="s">
        <v>105</v>
      </c>
      <c r="AP47" s="22" t="s">
        <v>105</v>
      </c>
      <c r="AQ47" s="42" t="s">
        <v>105</v>
      </c>
      <c r="AR47" s="45" t="s">
        <v>105</v>
      </c>
      <c r="AS47" s="22" t="s">
        <v>105</v>
      </c>
      <c r="AT47" s="22" t="s">
        <v>105</v>
      </c>
      <c r="AU47" s="22" t="s">
        <v>105</v>
      </c>
      <c r="AV47" s="42" t="s">
        <v>105</v>
      </c>
      <c r="AW47" s="45" t="s">
        <v>105</v>
      </c>
      <c r="AX47" s="22" t="s">
        <v>105</v>
      </c>
      <c r="AY47" s="22" t="s">
        <v>105</v>
      </c>
      <c r="AZ47" s="22" t="s">
        <v>105</v>
      </c>
      <c r="BA47" s="42" t="s">
        <v>105</v>
      </c>
      <c r="BB47" s="45" t="s">
        <v>105</v>
      </c>
      <c r="BC47" s="22" t="s">
        <v>105</v>
      </c>
      <c r="BD47" s="22" t="s">
        <v>105</v>
      </c>
      <c r="BE47" s="22" t="s">
        <v>105</v>
      </c>
      <c r="BF47" s="42" t="s">
        <v>105</v>
      </c>
      <c r="BG47" s="45" t="s">
        <v>105</v>
      </c>
      <c r="BH47" s="22" t="s">
        <v>105</v>
      </c>
      <c r="BI47" s="22" t="s">
        <v>105</v>
      </c>
      <c r="BJ47" s="22" t="s">
        <v>105</v>
      </c>
      <c r="BK47" s="42" t="s">
        <v>105</v>
      </c>
      <c r="BL47" s="45" t="s">
        <v>105</v>
      </c>
      <c r="BM47" s="42" t="s">
        <v>105</v>
      </c>
      <c r="BN47" s="167">
        <f t="shared" si="16"/>
        <v>1.2930833333333331</v>
      </c>
      <c r="BO47" s="167">
        <f t="shared" si="12"/>
        <v>3.54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65"/>
      <c r="B48" s="8" t="s">
        <v>30</v>
      </c>
      <c r="C48" s="12" t="s">
        <v>14</v>
      </c>
      <c r="D48" s="38" t="s">
        <v>105</v>
      </c>
      <c r="E48" s="39" t="s">
        <v>105</v>
      </c>
      <c r="F48" s="39" t="s">
        <v>105</v>
      </c>
      <c r="G48" s="39" t="s">
        <v>105</v>
      </c>
      <c r="H48" s="40" t="s">
        <v>105</v>
      </c>
      <c r="I48" s="44" t="s">
        <v>105</v>
      </c>
      <c r="J48" s="39" t="s">
        <v>105</v>
      </c>
      <c r="K48" s="39" t="s">
        <v>105</v>
      </c>
      <c r="L48" s="39" t="s">
        <v>105</v>
      </c>
      <c r="M48" s="40" t="s">
        <v>105</v>
      </c>
      <c r="N48" s="44" t="s">
        <v>105</v>
      </c>
      <c r="O48" s="39" t="s">
        <v>105</v>
      </c>
      <c r="P48" s="39" t="s">
        <v>105</v>
      </c>
      <c r="Q48" s="39" t="s">
        <v>105</v>
      </c>
      <c r="R48" s="40" t="s">
        <v>105</v>
      </c>
      <c r="S48" s="44" t="s">
        <v>105</v>
      </c>
      <c r="T48" s="39" t="s">
        <v>105</v>
      </c>
      <c r="U48" s="39" t="s">
        <v>105</v>
      </c>
      <c r="V48" s="39" t="s">
        <v>105</v>
      </c>
      <c r="W48" s="40" t="s">
        <v>105</v>
      </c>
      <c r="X48" s="44" t="s">
        <v>105</v>
      </c>
      <c r="Y48" s="39" t="s">
        <v>105</v>
      </c>
      <c r="Z48" s="39" t="s">
        <v>105</v>
      </c>
      <c r="AA48" s="39" t="s">
        <v>105</v>
      </c>
      <c r="AB48" s="40" t="s">
        <v>105</v>
      </c>
      <c r="AC48" s="44" t="s">
        <v>105</v>
      </c>
      <c r="AD48" s="39" t="s">
        <v>105</v>
      </c>
      <c r="AE48" s="39" t="s">
        <v>105</v>
      </c>
      <c r="AF48" s="138">
        <v>0.96099999999999997</v>
      </c>
      <c r="AG48" s="40" t="s">
        <v>105</v>
      </c>
      <c r="AH48" s="44">
        <v>0.52700000000000002</v>
      </c>
      <c r="AI48" s="39" t="s">
        <v>105</v>
      </c>
      <c r="AJ48" s="39" t="s">
        <v>105</v>
      </c>
      <c r="AK48" s="117">
        <v>1.87</v>
      </c>
      <c r="AL48" s="40" t="s">
        <v>105</v>
      </c>
      <c r="AM48" s="44" t="s">
        <v>105</v>
      </c>
      <c r="AN48" s="39" t="s">
        <v>105</v>
      </c>
      <c r="AO48" s="39" t="s">
        <v>105</v>
      </c>
      <c r="AP48" s="39" t="s">
        <v>105</v>
      </c>
      <c r="AQ48" s="40" t="s">
        <v>105</v>
      </c>
      <c r="AR48" s="44" t="s">
        <v>105</v>
      </c>
      <c r="AS48" s="39" t="s">
        <v>105</v>
      </c>
      <c r="AT48" s="39" t="s">
        <v>105</v>
      </c>
      <c r="AU48" s="39" t="s">
        <v>105</v>
      </c>
      <c r="AV48" s="40" t="s">
        <v>105</v>
      </c>
      <c r="AW48" s="44" t="s">
        <v>105</v>
      </c>
      <c r="AX48" s="39" t="s">
        <v>105</v>
      </c>
      <c r="AY48" s="39" t="s">
        <v>105</v>
      </c>
      <c r="AZ48" s="39" t="s">
        <v>105</v>
      </c>
      <c r="BA48" s="40" t="s">
        <v>105</v>
      </c>
      <c r="BB48" s="44" t="s">
        <v>105</v>
      </c>
      <c r="BC48" s="39" t="s">
        <v>105</v>
      </c>
      <c r="BD48" s="39" t="s">
        <v>105</v>
      </c>
      <c r="BE48" s="39" t="s">
        <v>105</v>
      </c>
      <c r="BF48" s="40" t="s">
        <v>105</v>
      </c>
      <c r="BG48" s="44" t="s">
        <v>105</v>
      </c>
      <c r="BH48" s="39" t="s">
        <v>105</v>
      </c>
      <c r="BI48" s="39" t="s">
        <v>105</v>
      </c>
      <c r="BJ48" s="39" t="s">
        <v>105</v>
      </c>
      <c r="BK48" s="40" t="s">
        <v>105</v>
      </c>
      <c r="BL48" s="44" t="s">
        <v>105</v>
      </c>
      <c r="BM48" s="40" t="s">
        <v>105</v>
      </c>
      <c r="BN48" s="168">
        <f t="shared" si="16"/>
        <v>1.2466363636363635</v>
      </c>
      <c r="BO48" s="168">
        <f t="shared" si="12"/>
        <v>2.15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19</v>
      </c>
      <c r="B49" s="6" t="s">
        <v>31</v>
      </c>
      <c r="C49" s="11" t="s">
        <v>10</v>
      </c>
      <c r="D49" s="35" t="s">
        <v>105</v>
      </c>
      <c r="E49" s="36" t="s">
        <v>105</v>
      </c>
      <c r="F49" s="36" t="s">
        <v>105</v>
      </c>
      <c r="G49" s="36" t="s">
        <v>105</v>
      </c>
      <c r="H49" s="37" t="s">
        <v>105</v>
      </c>
      <c r="I49" s="43" t="s">
        <v>105</v>
      </c>
      <c r="J49" s="36" t="s">
        <v>105</v>
      </c>
      <c r="K49" s="36" t="s">
        <v>105</v>
      </c>
      <c r="L49" s="36" t="s">
        <v>105</v>
      </c>
      <c r="M49" s="37" t="s">
        <v>105</v>
      </c>
      <c r="N49" s="43" t="s">
        <v>105</v>
      </c>
      <c r="O49" s="36" t="s">
        <v>105</v>
      </c>
      <c r="P49" s="36" t="s">
        <v>105</v>
      </c>
      <c r="Q49" s="36" t="s">
        <v>105</v>
      </c>
      <c r="R49" s="37" t="s">
        <v>105</v>
      </c>
      <c r="S49" s="43" t="s">
        <v>105</v>
      </c>
      <c r="T49" s="36" t="s">
        <v>105</v>
      </c>
      <c r="U49" s="36" t="s">
        <v>105</v>
      </c>
      <c r="V49" s="36" t="s">
        <v>105</v>
      </c>
      <c r="W49" s="37" t="s">
        <v>105</v>
      </c>
      <c r="X49" s="43" t="s">
        <v>105</v>
      </c>
      <c r="Y49" s="36" t="s">
        <v>105</v>
      </c>
      <c r="Z49" s="36" t="s">
        <v>105</v>
      </c>
      <c r="AA49" s="36" t="s">
        <v>105</v>
      </c>
      <c r="AB49" s="37" t="s">
        <v>105</v>
      </c>
      <c r="AC49" s="43" t="s">
        <v>105</v>
      </c>
      <c r="AD49" s="36" t="s">
        <v>105</v>
      </c>
      <c r="AE49" s="36" t="s">
        <v>105</v>
      </c>
      <c r="AF49" s="36">
        <v>0.60699999999999998</v>
      </c>
      <c r="AG49" s="105">
        <v>2.15</v>
      </c>
      <c r="AH49" s="43">
        <v>0.73799999999999999</v>
      </c>
      <c r="AI49" s="36" t="s">
        <v>105</v>
      </c>
      <c r="AJ49" s="36" t="s">
        <v>105</v>
      </c>
      <c r="AK49" s="46">
        <v>1.25</v>
      </c>
      <c r="AL49" s="37" t="s">
        <v>105</v>
      </c>
      <c r="AM49" s="43" t="s">
        <v>105</v>
      </c>
      <c r="AN49" s="36" t="s">
        <v>105</v>
      </c>
      <c r="AO49" s="36" t="s">
        <v>105</v>
      </c>
      <c r="AP49" s="36" t="s">
        <v>105</v>
      </c>
      <c r="AQ49" s="37" t="s">
        <v>105</v>
      </c>
      <c r="AR49" s="43" t="s">
        <v>105</v>
      </c>
      <c r="AS49" s="36" t="s">
        <v>105</v>
      </c>
      <c r="AT49" s="36" t="s">
        <v>105</v>
      </c>
      <c r="AU49" s="36" t="s">
        <v>105</v>
      </c>
      <c r="AV49" s="37" t="s">
        <v>105</v>
      </c>
      <c r="AW49" s="43" t="s">
        <v>105</v>
      </c>
      <c r="AX49" s="36" t="s">
        <v>105</v>
      </c>
      <c r="AY49" s="36" t="s">
        <v>105</v>
      </c>
      <c r="AZ49" s="36" t="s">
        <v>105</v>
      </c>
      <c r="BA49" s="37" t="s">
        <v>105</v>
      </c>
      <c r="BB49" s="43" t="s">
        <v>105</v>
      </c>
      <c r="BC49" s="36" t="s">
        <v>105</v>
      </c>
      <c r="BD49" s="36" t="s">
        <v>105</v>
      </c>
      <c r="BE49" s="36" t="s">
        <v>105</v>
      </c>
      <c r="BF49" s="37" t="s">
        <v>105</v>
      </c>
      <c r="BG49" s="43" t="s">
        <v>105</v>
      </c>
      <c r="BH49" s="36" t="s">
        <v>105</v>
      </c>
      <c r="BI49" s="36" t="s">
        <v>105</v>
      </c>
      <c r="BJ49" s="36" t="s">
        <v>105</v>
      </c>
      <c r="BK49" s="37" t="s">
        <v>105</v>
      </c>
      <c r="BL49" s="43" t="s">
        <v>105</v>
      </c>
      <c r="BM49" s="37" t="s">
        <v>105</v>
      </c>
      <c r="BN49" s="166">
        <f t="shared" ref="BN49:BN51" si="17">IFERROR(AVERAGE(D49:BM51),0)</f>
        <v>1.3675833333333334</v>
      </c>
      <c r="BO49" s="166">
        <f t="shared" si="12"/>
        <v>2.75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65" t="s">
        <v>11</v>
      </c>
      <c r="B50" s="7" t="s">
        <v>18</v>
      </c>
      <c r="C50" s="11" t="s">
        <v>8</v>
      </c>
      <c r="D50" s="41" t="s">
        <v>105</v>
      </c>
      <c r="E50" s="22" t="s">
        <v>105</v>
      </c>
      <c r="F50" s="22" t="s">
        <v>105</v>
      </c>
      <c r="G50" s="22" t="s">
        <v>105</v>
      </c>
      <c r="H50" s="42" t="s">
        <v>105</v>
      </c>
      <c r="I50" s="45" t="s">
        <v>105</v>
      </c>
      <c r="J50" s="22" t="s">
        <v>105</v>
      </c>
      <c r="K50" s="22" t="s">
        <v>105</v>
      </c>
      <c r="L50" s="22" t="s">
        <v>105</v>
      </c>
      <c r="M50" s="42" t="s">
        <v>105</v>
      </c>
      <c r="N50" s="45" t="s">
        <v>105</v>
      </c>
      <c r="O50" s="22" t="s">
        <v>105</v>
      </c>
      <c r="P50" s="22" t="s">
        <v>105</v>
      </c>
      <c r="Q50" s="22" t="s">
        <v>105</v>
      </c>
      <c r="R50" s="42" t="s">
        <v>105</v>
      </c>
      <c r="S50" s="45" t="s">
        <v>105</v>
      </c>
      <c r="T50" s="22" t="s">
        <v>105</v>
      </c>
      <c r="U50" s="22" t="s">
        <v>105</v>
      </c>
      <c r="V50" s="22" t="s">
        <v>105</v>
      </c>
      <c r="W50" s="42" t="s">
        <v>105</v>
      </c>
      <c r="X50" s="45" t="s">
        <v>105</v>
      </c>
      <c r="Y50" s="22" t="s">
        <v>105</v>
      </c>
      <c r="Z50" s="22" t="s">
        <v>105</v>
      </c>
      <c r="AA50" s="22" t="s">
        <v>105</v>
      </c>
      <c r="AB50" s="42" t="s">
        <v>105</v>
      </c>
      <c r="AC50" s="45" t="s">
        <v>105</v>
      </c>
      <c r="AD50" s="22" t="s">
        <v>105</v>
      </c>
      <c r="AE50" s="22" t="s">
        <v>105</v>
      </c>
      <c r="AF50" s="123">
        <v>1.61</v>
      </c>
      <c r="AG50" s="60" t="s">
        <v>105</v>
      </c>
      <c r="AH50" s="111">
        <v>1.33</v>
      </c>
      <c r="AI50" s="22" t="s">
        <v>105</v>
      </c>
      <c r="AJ50" s="130">
        <v>1.1000000000000001</v>
      </c>
      <c r="AK50" s="32">
        <v>1.57</v>
      </c>
      <c r="AL50" s="42" t="s">
        <v>105</v>
      </c>
      <c r="AM50" s="45" t="s">
        <v>105</v>
      </c>
      <c r="AN50" s="22" t="s">
        <v>105</v>
      </c>
      <c r="AO50" s="22" t="s">
        <v>105</v>
      </c>
      <c r="AP50" s="22" t="s">
        <v>105</v>
      </c>
      <c r="AQ50" s="42" t="s">
        <v>105</v>
      </c>
      <c r="AR50" s="45" t="s">
        <v>105</v>
      </c>
      <c r="AS50" s="22" t="s">
        <v>105</v>
      </c>
      <c r="AT50" s="22" t="s">
        <v>105</v>
      </c>
      <c r="AU50" s="22" t="s">
        <v>105</v>
      </c>
      <c r="AV50" s="42" t="s">
        <v>105</v>
      </c>
      <c r="AW50" s="45" t="s">
        <v>105</v>
      </c>
      <c r="AX50" s="22" t="s">
        <v>105</v>
      </c>
      <c r="AY50" s="22" t="s">
        <v>105</v>
      </c>
      <c r="AZ50" s="22" t="s">
        <v>105</v>
      </c>
      <c r="BA50" s="42" t="s">
        <v>105</v>
      </c>
      <c r="BB50" s="45" t="s">
        <v>105</v>
      </c>
      <c r="BC50" s="22" t="s">
        <v>105</v>
      </c>
      <c r="BD50" s="22" t="s">
        <v>105</v>
      </c>
      <c r="BE50" s="22" t="s">
        <v>105</v>
      </c>
      <c r="BF50" s="42" t="s">
        <v>105</v>
      </c>
      <c r="BG50" s="45" t="s">
        <v>105</v>
      </c>
      <c r="BH50" s="22" t="s">
        <v>105</v>
      </c>
      <c r="BI50" s="22" t="s">
        <v>105</v>
      </c>
      <c r="BJ50" s="22" t="s">
        <v>105</v>
      </c>
      <c r="BK50" s="42" t="s">
        <v>105</v>
      </c>
      <c r="BL50" s="45" t="s">
        <v>105</v>
      </c>
      <c r="BM50" s="42" t="s">
        <v>105</v>
      </c>
      <c r="BN50" s="167">
        <f t="shared" si="17"/>
        <v>1.7161818181818183</v>
      </c>
      <c r="BO50" s="167">
        <f t="shared" si="12"/>
        <v>4.7699999999999996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65"/>
      <c r="B51" s="8" t="s">
        <v>30</v>
      </c>
      <c r="C51" s="12" t="s">
        <v>14</v>
      </c>
      <c r="D51" s="38" t="s">
        <v>105</v>
      </c>
      <c r="E51" s="39" t="s">
        <v>105</v>
      </c>
      <c r="F51" s="39" t="s">
        <v>105</v>
      </c>
      <c r="G51" s="39" t="s">
        <v>105</v>
      </c>
      <c r="H51" s="40" t="s">
        <v>105</v>
      </c>
      <c r="I51" s="44" t="s">
        <v>105</v>
      </c>
      <c r="J51" s="39" t="s">
        <v>105</v>
      </c>
      <c r="K51" s="39" t="s">
        <v>105</v>
      </c>
      <c r="L51" s="39" t="s">
        <v>105</v>
      </c>
      <c r="M51" s="40" t="s">
        <v>105</v>
      </c>
      <c r="N51" s="44" t="s">
        <v>105</v>
      </c>
      <c r="O51" s="39" t="s">
        <v>105</v>
      </c>
      <c r="P51" s="39" t="s">
        <v>105</v>
      </c>
      <c r="Q51" s="39" t="s">
        <v>105</v>
      </c>
      <c r="R51" s="40" t="s">
        <v>105</v>
      </c>
      <c r="S51" s="44" t="s">
        <v>105</v>
      </c>
      <c r="T51" s="39" t="s">
        <v>105</v>
      </c>
      <c r="U51" s="39" t="s">
        <v>105</v>
      </c>
      <c r="V51" s="39" t="s">
        <v>105</v>
      </c>
      <c r="W51" s="40" t="s">
        <v>105</v>
      </c>
      <c r="X51" s="44" t="s">
        <v>105</v>
      </c>
      <c r="Y51" s="39" t="s">
        <v>105</v>
      </c>
      <c r="Z51" s="39" t="s">
        <v>105</v>
      </c>
      <c r="AA51" s="39" t="s">
        <v>105</v>
      </c>
      <c r="AB51" s="40" t="s">
        <v>105</v>
      </c>
      <c r="AC51" s="44" t="s">
        <v>105</v>
      </c>
      <c r="AD51" s="39" t="s">
        <v>105</v>
      </c>
      <c r="AE51" s="39" t="s">
        <v>105</v>
      </c>
      <c r="AF51" s="39">
        <v>0.41599999999999998</v>
      </c>
      <c r="AG51" s="59">
        <v>1.53</v>
      </c>
      <c r="AH51" s="44" t="s">
        <v>105</v>
      </c>
      <c r="AI51" s="39" t="s">
        <v>105</v>
      </c>
      <c r="AJ51" s="117">
        <v>1.36</v>
      </c>
      <c r="AK51" s="47">
        <v>2.75</v>
      </c>
      <c r="AL51" s="40" t="s">
        <v>105</v>
      </c>
      <c r="AM51" s="44" t="s">
        <v>105</v>
      </c>
      <c r="AN51" s="39" t="s">
        <v>105</v>
      </c>
      <c r="AO51" s="39" t="s">
        <v>105</v>
      </c>
      <c r="AP51" s="39" t="s">
        <v>105</v>
      </c>
      <c r="AQ51" s="40" t="s">
        <v>105</v>
      </c>
      <c r="AR51" s="44" t="s">
        <v>105</v>
      </c>
      <c r="AS51" s="39" t="s">
        <v>105</v>
      </c>
      <c r="AT51" s="39" t="s">
        <v>105</v>
      </c>
      <c r="AU51" s="39" t="s">
        <v>105</v>
      </c>
      <c r="AV51" s="40" t="s">
        <v>105</v>
      </c>
      <c r="AW51" s="44" t="s">
        <v>105</v>
      </c>
      <c r="AX51" s="39" t="s">
        <v>105</v>
      </c>
      <c r="AY51" s="39" t="s">
        <v>105</v>
      </c>
      <c r="AZ51" s="39" t="s">
        <v>105</v>
      </c>
      <c r="BA51" s="40" t="s">
        <v>105</v>
      </c>
      <c r="BB51" s="44" t="s">
        <v>105</v>
      </c>
      <c r="BC51" s="39" t="s">
        <v>105</v>
      </c>
      <c r="BD51" s="39" t="s">
        <v>105</v>
      </c>
      <c r="BE51" s="39" t="s">
        <v>105</v>
      </c>
      <c r="BF51" s="40" t="s">
        <v>105</v>
      </c>
      <c r="BG51" s="44" t="s">
        <v>105</v>
      </c>
      <c r="BH51" s="39" t="s">
        <v>105</v>
      </c>
      <c r="BI51" s="39" t="s">
        <v>105</v>
      </c>
      <c r="BJ51" s="39" t="s">
        <v>105</v>
      </c>
      <c r="BK51" s="40" t="s">
        <v>105</v>
      </c>
      <c r="BL51" s="44" t="s">
        <v>105</v>
      </c>
      <c r="BM51" s="40" t="s">
        <v>105</v>
      </c>
      <c r="BN51" s="168">
        <f t="shared" si="17"/>
        <v>1.8033846153846154</v>
      </c>
      <c r="BO51" s="168">
        <f t="shared" si="12"/>
        <v>4.7699999999999996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19</v>
      </c>
      <c r="B52" s="6" t="s">
        <v>32</v>
      </c>
      <c r="C52" s="11" t="s">
        <v>10</v>
      </c>
      <c r="D52" s="35" t="s">
        <v>105</v>
      </c>
      <c r="E52" s="36" t="s">
        <v>105</v>
      </c>
      <c r="F52" s="36" t="s">
        <v>105</v>
      </c>
      <c r="G52" s="36" t="s">
        <v>105</v>
      </c>
      <c r="H52" s="37" t="s">
        <v>105</v>
      </c>
      <c r="I52" s="43" t="s">
        <v>105</v>
      </c>
      <c r="J52" s="36" t="s">
        <v>105</v>
      </c>
      <c r="K52" s="36" t="s">
        <v>105</v>
      </c>
      <c r="L52" s="36" t="s">
        <v>105</v>
      </c>
      <c r="M52" s="37" t="s">
        <v>105</v>
      </c>
      <c r="N52" s="43" t="s">
        <v>105</v>
      </c>
      <c r="O52" s="36" t="s">
        <v>105</v>
      </c>
      <c r="P52" s="36" t="s">
        <v>105</v>
      </c>
      <c r="Q52" s="36" t="s">
        <v>105</v>
      </c>
      <c r="R52" s="37" t="s">
        <v>105</v>
      </c>
      <c r="S52" s="43" t="s">
        <v>105</v>
      </c>
      <c r="T52" s="36" t="s">
        <v>105</v>
      </c>
      <c r="U52" s="36" t="s">
        <v>105</v>
      </c>
      <c r="V52" s="36" t="s">
        <v>105</v>
      </c>
      <c r="W52" s="37" t="s">
        <v>105</v>
      </c>
      <c r="X52" s="43" t="s">
        <v>105</v>
      </c>
      <c r="Y52" s="36" t="s">
        <v>105</v>
      </c>
      <c r="Z52" s="36" t="s">
        <v>105</v>
      </c>
      <c r="AA52" s="36" t="s">
        <v>105</v>
      </c>
      <c r="AB52" s="37" t="s">
        <v>105</v>
      </c>
      <c r="AC52" s="43" t="s">
        <v>105</v>
      </c>
      <c r="AD52" s="36" t="s">
        <v>105</v>
      </c>
      <c r="AE52" s="36" t="s">
        <v>105</v>
      </c>
      <c r="AF52" s="140">
        <v>0.79200000000000004</v>
      </c>
      <c r="AG52" s="37" t="s">
        <v>105</v>
      </c>
      <c r="AH52" s="112">
        <v>1.65</v>
      </c>
      <c r="AI52" s="36" t="s">
        <v>105</v>
      </c>
      <c r="AJ52" s="36" t="s">
        <v>105</v>
      </c>
      <c r="AK52" s="104">
        <v>4.7699999999999996</v>
      </c>
      <c r="AL52" s="37" t="s">
        <v>105</v>
      </c>
      <c r="AM52" s="43" t="s">
        <v>105</v>
      </c>
      <c r="AN52" s="36" t="s">
        <v>105</v>
      </c>
      <c r="AO52" s="36" t="s">
        <v>105</v>
      </c>
      <c r="AP52" s="36" t="s">
        <v>105</v>
      </c>
      <c r="AQ52" s="37" t="s">
        <v>105</v>
      </c>
      <c r="AR52" s="43" t="s">
        <v>105</v>
      </c>
      <c r="AS52" s="36" t="s">
        <v>105</v>
      </c>
      <c r="AT52" s="36" t="s">
        <v>105</v>
      </c>
      <c r="AU52" s="36" t="s">
        <v>105</v>
      </c>
      <c r="AV52" s="37" t="s">
        <v>105</v>
      </c>
      <c r="AW52" s="43" t="s">
        <v>105</v>
      </c>
      <c r="AX52" s="36" t="s">
        <v>105</v>
      </c>
      <c r="AY52" s="36" t="s">
        <v>105</v>
      </c>
      <c r="AZ52" s="36" t="s">
        <v>105</v>
      </c>
      <c r="BA52" s="37" t="s">
        <v>105</v>
      </c>
      <c r="BB52" s="43" t="s">
        <v>105</v>
      </c>
      <c r="BC52" s="36" t="s">
        <v>105</v>
      </c>
      <c r="BD52" s="36" t="s">
        <v>105</v>
      </c>
      <c r="BE52" s="36" t="s">
        <v>105</v>
      </c>
      <c r="BF52" s="37" t="s">
        <v>105</v>
      </c>
      <c r="BG52" s="43" t="s">
        <v>105</v>
      </c>
      <c r="BH52" s="36" t="s">
        <v>105</v>
      </c>
      <c r="BI52" s="36" t="s">
        <v>105</v>
      </c>
      <c r="BJ52" s="36" t="s">
        <v>105</v>
      </c>
      <c r="BK52" s="37" t="s">
        <v>105</v>
      </c>
      <c r="BL52" s="43" t="s">
        <v>105</v>
      </c>
      <c r="BM52" s="37" t="s">
        <v>105</v>
      </c>
      <c r="BN52" s="166">
        <f t="shared" ref="BN52:BN54" si="18">IFERROR(AVERAGE(D52:BM54),0)</f>
        <v>1.7803333333333331</v>
      </c>
      <c r="BO52" s="166">
        <f t="shared" si="12"/>
        <v>4.7699999999999996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65" t="s">
        <v>11</v>
      </c>
      <c r="B53" s="7" t="s">
        <v>12</v>
      </c>
      <c r="C53" s="11" t="s">
        <v>8</v>
      </c>
      <c r="D53" s="41" t="s">
        <v>105</v>
      </c>
      <c r="E53" s="22" t="s">
        <v>105</v>
      </c>
      <c r="F53" s="22" t="s">
        <v>105</v>
      </c>
      <c r="G53" s="22" t="s">
        <v>105</v>
      </c>
      <c r="H53" s="42" t="s">
        <v>105</v>
      </c>
      <c r="I53" s="45" t="s">
        <v>105</v>
      </c>
      <c r="J53" s="22" t="s">
        <v>105</v>
      </c>
      <c r="K53" s="22" t="s">
        <v>105</v>
      </c>
      <c r="L53" s="22" t="s">
        <v>105</v>
      </c>
      <c r="M53" s="42" t="s">
        <v>105</v>
      </c>
      <c r="N53" s="45" t="s">
        <v>105</v>
      </c>
      <c r="O53" s="22" t="s">
        <v>105</v>
      </c>
      <c r="P53" s="22" t="s">
        <v>105</v>
      </c>
      <c r="Q53" s="22" t="s">
        <v>105</v>
      </c>
      <c r="R53" s="42" t="s">
        <v>105</v>
      </c>
      <c r="S53" s="45" t="s">
        <v>105</v>
      </c>
      <c r="T53" s="22" t="s">
        <v>105</v>
      </c>
      <c r="U53" s="22" t="s">
        <v>105</v>
      </c>
      <c r="V53" s="22" t="s">
        <v>105</v>
      </c>
      <c r="W53" s="42" t="s">
        <v>105</v>
      </c>
      <c r="X53" s="45" t="s">
        <v>105</v>
      </c>
      <c r="Y53" s="22" t="s">
        <v>105</v>
      </c>
      <c r="Z53" s="22" t="s">
        <v>105</v>
      </c>
      <c r="AA53" s="22" t="s">
        <v>105</v>
      </c>
      <c r="AB53" s="42" t="s">
        <v>105</v>
      </c>
      <c r="AC53" s="45" t="s">
        <v>105</v>
      </c>
      <c r="AD53" s="22" t="s">
        <v>105</v>
      </c>
      <c r="AE53" s="22" t="s">
        <v>105</v>
      </c>
      <c r="AF53" s="136">
        <v>0.61</v>
      </c>
      <c r="AG53" s="60">
        <v>3.04</v>
      </c>
      <c r="AH53" s="124">
        <v>1.2</v>
      </c>
      <c r="AI53" s="22">
        <v>0.505</v>
      </c>
      <c r="AJ53" s="22">
        <v>0.59099999999999997</v>
      </c>
      <c r="AK53" s="123">
        <v>4.2300000000000004</v>
      </c>
      <c r="AL53" s="42" t="s">
        <v>105</v>
      </c>
      <c r="AM53" s="45" t="s">
        <v>105</v>
      </c>
      <c r="AN53" s="22" t="s">
        <v>105</v>
      </c>
      <c r="AO53" s="22" t="s">
        <v>105</v>
      </c>
      <c r="AP53" s="22" t="s">
        <v>105</v>
      </c>
      <c r="AQ53" s="42" t="s">
        <v>105</v>
      </c>
      <c r="AR53" s="45" t="s">
        <v>105</v>
      </c>
      <c r="AS53" s="22" t="s">
        <v>105</v>
      </c>
      <c r="AT53" s="22" t="s">
        <v>105</v>
      </c>
      <c r="AU53" s="22" t="s">
        <v>105</v>
      </c>
      <c r="AV53" s="42" t="s">
        <v>105</v>
      </c>
      <c r="AW53" s="45" t="s">
        <v>105</v>
      </c>
      <c r="AX53" s="22" t="s">
        <v>105</v>
      </c>
      <c r="AY53" s="22" t="s">
        <v>105</v>
      </c>
      <c r="AZ53" s="22" t="s">
        <v>105</v>
      </c>
      <c r="BA53" s="42" t="s">
        <v>105</v>
      </c>
      <c r="BB53" s="45" t="s">
        <v>105</v>
      </c>
      <c r="BC53" s="22" t="s">
        <v>105</v>
      </c>
      <c r="BD53" s="22" t="s">
        <v>105</v>
      </c>
      <c r="BE53" s="22" t="s">
        <v>105</v>
      </c>
      <c r="BF53" s="42" t="s">
        <v>105</v>
      </c>
      <c r="BG53" s="45" t="s">
        <v>105</v>
      </c>
      <c r="BH53" s="22" t="s">
        <v>105</v>
      </c>
      <c r="BI53" s="22" t="s">
        <v>105</v>
      </c>
      <c r="BJ53" s="22" t="s">
        <v>105</v>
      </c>
      <c r="BK53" s="42" t="s">
        <v>105</v>
      </c>
      <c r="BL53" s="45" t="s">
        <v>105</v>
      </c>
      <c r="BM53" s="42" t="s">
        <v>105</v>
      </c>
      <c r="BN53" s="167">
        <f t="shared" si="18"/>
        <v>2.403</v>
      </c>
      <c r="BO53" s="167">
        <f t="shared" si="12"/>
        <v>10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65"/>
      <c r="B54" s="8" t="s">
        <v>30</v>
      </c>
      <c r="C54" s="12" t="s">
        <v>14</v>
      </c>
      <c r="D54" s="38" t="s">
        <v>105</v>
      </c>
      <c r="E54" s="39" t="s">
        <v>105</v>
      </c>
      <c r="F54" s="39" t="s">
        <v>105</v>
      </c>
      <c r="G54" s="39" t="s">
        <v>105</v>
      </c>
      <c r="H54" s="40" t="s">
        <v>105</v>
      </c>
      <c r="I54" s="44" t="s">
        <v>105</v>
      </c>
      <c r="J54" s="39" t="s">
        <v>105</v>
      </c>
      <c r="K54" s="39" t="s">
        <v>105</v>
      </c>
      <c r="L54" s="39" t="s">
        <v>105</v>
      </c>
      <c r="M54" s="40" t="s">
        <v>105</v>
      </c>
      <c r="N54" s="44" t="s">
        <v>105</v>
      </c>
      <c r="O54" s="39" t="s">
        <v>105</v>
      </c>
      <c r="P54" s="39" t="s">
        <v>105</v>
      </c>
      <c r="Q54" s="39" t="s">
        <v>105</v>
      </c>
      <c r="R54" s="40" t="s">
        <v>105</v>
      </c>
      <c r="S54" s="44" t="s">
        <v>105</v>
      </c>
      <c r="T54" s="39" t="s">
        <v>105</v>
      </c>
      <c r="U54" s="39" t="s">
        <v>105</v>
      </c>
      <c r="V54" s="39" t="s">
        <v>105</v>
      </c>
      <c r="W54" s="40" t="s">
        <v>105</v>
      </c>
      <c r="X54" s="44" t="s">
        <v>105</v>
      </c>
      <c r="Y54" s="39" t="s">
        <v>105</v>
      </c>
      <c r="Z54" s="39" t="s">
        <v>105</v>
      </c>
      <c r="AA54" s="39" t="s">
        <v>105</v>
      </c>
      <c r="AB54" s="40" t="s">
        <v>105</v>
      </c>
      <c r="AC54" s="44" t="s">
        <v>105</v>
      </c>
      <c r="AD54" s="39" t="s">
        <v>105</v>
      </c>
      <c r="AE54" s="39" t="s">
        <v>105</v>
      </c>
      <c r="AF54" s="68" t="s">
        <v>105</v>
      </c>
      <c r="AG54" s="59">
        <v>2.33</v>
      </c>
      <c r="AH54" s="44" t="s">
        <v>105</v>
      </c>
      <c r="AI54" s="39" t="s">
        <v>105</v>
      </c>
      <c r="AJ54" s="117">
        <v>1.45</v>
      </c>
      <c r="AK54" s="39">
        <v>0.19600000000000001</v>
      </c>
      <c r="AL54" s="40" t="s">
        <v>105</v>
      </c>
      <c r="AM54" s="44" t="s">
        <v>105</v>
      </c>
      <c r="AN54" s="39" t="s">
        <v>105</v>
      </c>
      <c r="AO54" s="39" t="s">
        <v>105</v>
      </c>
      <c r="AP54" s="39" t="s">
        <v>105</v>
      </c>
      <c r="AQ54" s="40" t="s">
        <v>105</v>
      </c>
      <c r="AR54" s="44" t="s">
        <v>105</v>
      </c>
      <c r="AS54" s="39" t="s">
        <v>105</v>
      </c>
      <c r="AT54" s="39" t="s">
        <v>105</v>
      </c>
      <c r="AU54" s="39" t="s">
        <v>105</v>
      </c>
      <c r="AV54" s="40" t="s">
        <v>105</v>
      </c>
      <c r="AW54" s="44" t="s">
        <v>105</v>
      </c>
      <c r="AX54" s="39" t="s">
        <v>105</v>
      </c>
      <c r="AY54" s="39" t="s">
        <v>105</v>
      </c>
      <c r="AZ54" s="39" t="s">
        <v>105</v>
      </c>
      <c r="BA54" s="40" t="s">
        <v>105</v>
      </c>
      <c r="BB54" s="44" t="s">
        <v>105</v>
      </c>
      <c r="BC54" s="39" t="s">
        <v>105</v>
      </c>
      <c r="BD54" s="39" t="s">
        <v>105</v>
      </c>
      <c r="BE54" s="39" t="s">
        <v>105</v>
      </c>
      <c r="BF54" s="40" t="s">
        <v>105</v>
      </c>
      <c r="BG54" s="44" t="s">
        <v>105</v>
      </c>
      <c r="BH54" s="39" t="s">
        <v>105</v>
      </c>
      <c r="BI54" s="39" t="s">
        <v>105</v>
      </c>
      <c r="BJ54" s="39" t="s">
        <v>105</v>
      </c>
      <c r="BK54" s="40" t="s">
        <v>105</v>
      </c>
      <c r="BL54" s="44" t="s">
        <v>105</v>
      </c>
      <c r="BM54" s="40" t="s">
        <v>105</v>
      </c>
      <c r="BN54" s="168">
        <f t="shared" si="18"/>
        <v>1.9944000000000011</v>
      </c>
      <c r="BO54" s="168">
        <f t="shared" si="12"/>
        <v>10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19</v>
      </c>
      <c r="B55" s="6"/>
      <c r="C55" s="11" t="s">
        <v>10</v>
      </c>
      <c r="D55" s="35">
        <v>0.48199999999999998</v>
      </c>
      <c r="E55" s="133">
        <v>10</v>
      </c>
      <c r="F55" s="36">
        <v>0.27200000000000002</v>
      </c>
      <c r="G55" s="140">
        <v>0.34699999999999998</v>
      </c>
      <c r="H55" s="63" t="s">
        <v>105</v>
      </c>
      <c r="I55" s="43">
        <v>0.41099999999999998</v>
      </c>
      <c r="J55" s="46" t="s">
        <v>105</v>
      </c>
      <c r="K55" s="46" t="s">
        <v>105</v>
      </c>
      <c r="L55" s="46" t="s">
        <v>105</v>
      </c>
      <c r="M55" s="134">
        <v>0.30299999999999999</v>
      </c>
      <c r="N55" s="65">
        <v>1.99</v>
      </c>
      <c r="O55" s="36" t="s">
        <v>105</v>
      </c>
      <c r="P55" s="104">
        <v>6.05</v>
      </c>
      <c r="Q55" s="46">
        <v>1.51</v>
      </c>
      <c r="R55" s="134">
        <v>0.17</v>
      </c>
      <c r="S55" s="65">
        <v>5.98</v>
      </c>
      <c r="T55" s="140">
        <v>0.73299999999999998</v>
      </c>
      <c r="U55" s="46">
        <v>1.93</v>
      </c>
      <c r="V55" s="36">
        <v>0.92100000000000004</v>
      </c>
      <c r="W55" s="105">
        <v>2.76</v>
      </c>
      <c r="X55" s="139">
        <v>0.91300000000000003</v>
      </c>
      <c r="Y55" s="46">
        <v>2.52</v>
      </c>
      <c r="Z55" s="46">
        <v>1.34</v>
      </c>
      <c r="AA55" s="104">
        <v>1.0900000000000001</v>
      </c>
      <c r="AB55" s="37" t="s">
        <v>105</v>
      </c>
      <c r="AC55" s="43" t="s">
        <v>105</v>
      </c>
      <c r="AD55" s="46">
        <v>4.68</v>
      </c>
      <c r="AE55" s="36" t="s">
        <v>105</v>
      </c>
      <c r="AF55" s="104">
        <v>4.97</v>
      </c>
      <c r="AG55" s="63">
        <v>1.1100000000000001</v>
      </c>
      <c r="AH55" s="43">
        <v>5.6000000000000001E-2</v>
      </c>
      <c r="AI55" s="36" t="s">
        <v>105</v>
      </c>
      <c r="AJ55" s="104">
        <v>2.14</v>
      </c>
      <c r="AK55" s="36" t="s">
        <v>105</v>
      </c>
      <c r="AL55" s="63">
        <v>2.41</v>
      </c>
      <c r="AM55" s="65">
        <v>7.62</v>
      </c>
      <c r="AN55" s="104">
        <v>1.53</v>
      </c>
      <c r="AO55" s="36">
        <v>0.28699999999999998</v>
      </c>
      <c r="AP55" s="104">
        <v>5.84</v>
      </c>
      <c r="AQ55" s="37" t="s">
        <v>105</v>
      </c>
      <c r="AR55" s="43" t="s">
        <v>105</v>
      </c>
      <c r="AS55" s="36" t="s">
        <v>105</v>
      </c>
      <c r="AT55" s="46" t="s">
        <v>105</v>
      </c>
      <c r="AU55" s="140">
        <v>0.91700000000000004</v>
      </c>
      <c r="AV55" s="63">
        <v>5.75</v>
      </c>
      <c r="AW55" s="79" t="s">
        <v>105</v>
      </c>
      <c r="AX55" s="36" t="s">
        <v>105</v>
      </c>
      <c r="AY55" s="104">
        <v>2.29</v>
      </c>
      <c r="AZ55" s="140">
        <v>0.55300000000000005</v>
      </c>
      <c r="BA55" s="63" t="s">
        <v>105</v>
      </c>
      <c r="BB55" s="43" t="s">
        <v>105</v>
      </c>
      <c r="BC55" s="46">
        <v>2.2599999999999998</v>
      </c>
      <c r="BD55" s="46">
        <v>2.44</v>
      </c>
      <c r="BE55" s="104">
        <v>4.0199999999999996</v>
      </c>
      <c r="BF55" s="37" t="s">
        <v>105</v>
      </c>
      <c r="BG55" s="65">
        <v>2.36</v>
      </c>
      <c r="BH55" s="36" t="s">
        <v>105</v>
      </c>
      <c r="BI55" s="46" t="s">
        <v>105</v>
      </c>
      <c r="BJ55" s="104">
        <v>2.38</v>
      </c>
      <c r="BK55" s="37" t="s">
        <v>105</v>
      </c>
      <c r="BL55" s="112">
        <v>3.35</v>
      </c>
      <c r="BM55" s="105">
        <v>6.91</v>
      </c>
      <c r="BN55" s="166">
        <f t="shared" ref="BN55:BN57" si="19">IFERROR(AVERAGE(D55:BM57),0)</f>
        <v>1.9315000000000002</v>
      </c>
      <c r="BO55" s="166">
        <f t="shared" si="12"/>
        <v>10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65" t="s">
        <v>11</v>
      </c>
      <c r="B56" s="7" t="s">
        <v>33</v>
      </c>
      <c r="C56" s="11" t="s">
        <v>8</v>
      </c>
      <c r="D56" s="41" t="s">
        <v>105</v>
      </c>
      <c r="E56" s="32">
        <v>4.41</v>
      </c>
      <c r="F56" s="22" t="s">
        <v>105</v>
      </c>
      <c r="G56" s="22">
        <v>0.63200000000000001</v>
      </c>
      <c r="H56" s="60">
        <v>1.87</v>
      </c>
      <c r="I56" s="129">
        <v>0.437</v>
      </c>
      <c r="J56" s="22">
        <v>0.45400000000000001</v>
      </c>
      <c r="K56" s="22" t="s">
        <v>105</v>
      </c>
      <c r="L56" s="136">
        <v>0.53400000000000003</v>
      </c>
      <c r="M56" s="147">
        <v>0.17199999999999999</v>
      </c>
      <c r="N56" s="45" t="s">
        <v>105</v>
      </c>
      <c r="O56" s="22" t="s">
        <v>105</v>
      </c>
      <c r="P56" s="32" t="s">
        <v>105</v>
      </c>
      <c r="Q56" s="22" t="s">
        <v>105</v>
      </c>
      <c r="R56" s="42" t="s">
        <v>105</v>
      </c>
      <c r="S56" s="64">
        <v>1.02</v>
      </c>
      <c r="T56" s="22" t="s">
        <v>105</v>
      </c>
      <c r="U56" s="32">
        <v>2.84</v>
      </c>
      <c r="V56" s="32" t="s">
        <v>105</v>
      </c>
      <c r="W56" s="60">
        <v>1.55</v>
      </c>
      <c r="X56" s="64" t="s">
        <v>105</v>
      </c>
      <c r="Y56" s="22">
        <v>0.57599999999999996</v>
      </c>
      <c r="Z56" s="32">
        <v>1.55</v>
      </c>
      <c r="AA56" s="22" t="s">
        <v>105</v>
      </c>
      <c r="AB56" s="42" t="s">
        <v>105</v>
      </c>
      <c r="AC56" s="45" t="s">
        <v>105</v>
      </c>
      <c r="AD56" s="32">
        <v>3.85</v>
      </c>
      <c r="AE56" s="123">
        <v>4.1100000000000003</v>
      </c>
      <c r="AF56" s="123">
        <v>1.87</v>
      </c>
      <c r="AG56" s="42" t="s">
        <v>105</v>
      </c>
      <c r="AH56" s="111">
        <v>1.78</v>
      </c>
      <c r="AI56" s="123">
        <v>1.28</v>
      </c>
      <c r="AJ56" s="22" t="s">
        <v>105</v>
      </c>
      <c r="AK56" s="123">
        <v>5.18</v>
      </c>
      <c r="AL56" s="60">
        <v>2.0299999999999998</v>
      </c>
      <c r="AM56" s="129">
        <v>9.0999999999999998E-2</v>
      </c>
      <c r="AN56" s="123">
        <v>1.1100000000000001</v>
      </c>
      <c r="AO56" s="136">
        <v>0.46400000000000002</v>
      </c>
      <c r="AP56" s="32">
        <v>1.85</v>
      </c>
      <c r="AQ56" s="115">
        <v>1.1200000000000001</v>
      </c>
      <c r="AR56" s="151">
        <v>1</v>
      </c>
      <c r="AS56" s="136">
        <v>0.57899999999999996</v>
      </c>
      <c r="AT56" s="32">
        <v>1.29</v>
      </c>
      <c r="AU56" s="136">
        <v>0.22600000000000001</v>
      </c>
      <c r="AV56" s="115">
        <v>3.72</v>
      </c>
      <c r="AW56" s="129">
        <v>0.28199999999999997</v>
      </c>
      <c r="AX56" s="136">
        <v>0.495</v>
      </c>
      <c r="AY56" s="22">
        <v>0.63300000000000001</v>
      </c>
      <c r="AZ56" s="22" t="s">
        <v>105</v>
      </c>
      <c r="BA56" s="115">
        <v>1.73</v>
      </c>
      <c r="BB56" s="129">
        <v>0.77800000000000002</v>
      </c>
      <c r="BC56" s="22" t="s">
        <v>105</v>
      </c>
      <c r="BD56" s="123">
        <v>1.05</v>
      </c>
      <c r="BE56" s="22" t="s">
        <v>105</v>
      </c>
      <c r="BF56" s="115">
        <v>2.75</v>
      </c>
      <c r="BG56" s="129">
        <v>0.91</v>
      </c>
      <c r="BH56" s="32">
        <v>1.91</v>
      </c>
      <c r="BI56" s="22" t="s">
        <v>105</v>
      </c>
      <c r="BJ56" s="32">
        <v>1.08</v>
      </c>
      <c r="BK56" s="42">
        <v>0.59799999999999998</v>
      </c>
      <c r="BL56" s="111">
        <v>1.52</v>
      </c>
      <c r="BM56" s="42">
        <v>0.622</v>
      </c>
      <c r="BN56" s="167">
        <f t="shared" si="19"/>
        <v>1.7402619047619041</v>
      </c>
      <c r="BO56" s="167">
        <f t="shared" si="12"/>
        <v>5.97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65"/>
      <c r="B57" s="8"/>
      <c r="C57" s="12" t="s">
        <v>14</v>
      </c>
      <c r="D57" s="38" t="s">
        <v>105</v>
      </c>
      <c r="E57" s="117">
        <v>3.74</v>
      </c>
      <c r="F57" s="47">
        <v>1.78</v>
      </c>
      <c r="G57" s="47">
        <v>1.21</v>
      </c>
      <c r="H57" s="40" t="s">
        <v>105</v>
      </c>
      <c r="I57" s="61" t="s">
        <v>105</v>
      </c>
      <c r="J57" s="47" t="s">
        <v>105</v>
      </c>
      <c r="K57" s="47" t="s">
        <v>105</v>
      </c>
      <c r="L57" s="47" t="s">
        <v>105</v>
      </c>
      <c r="M57" s="59">
        <v>2.58</v>
      </c>
      <c r="N57" s="44">
        <v>0.16</v>
      </c>
      <c r="O57" s="39" t="s">
        <v>105</v>
      </c>
      <c r="P57" s="47">
        <v>1.21</v>
      </c>
      <c r="Q57" s="47" t="s">
        <v>105</v>
      </c>
      <c r="R57" s="40" t="s">
        <v>105</v>
      </c>
      <c r="S57" s="61">
        <v>1.36</v>
      </c>
      <c r="T57" s="39" t="s">
        <v>105</v>
      </c>
      <c r="U57" s="47">
        <v>3.02</v>
      </c>
      <c r="V57" s="39" t="s">
        <v>105</v>
      </c>
      <c r="W57" s="143">
        <v>0.64</v>
      </c>
      <c r="X57" s="44" t="s">
        <v>105</v>
      </c>
      <c r="Y57" s="47">
        <v>1.87</v>
      </c>
      <c r="Z57" s="117">
        <v>1.21</v>
      </c>
      <c r="AA57" s="68">
        <v>1.2</v>
      </c>
      <c r="AB57" s="40" t="s">
        <v>105</v>
      </c>
      <c r="AC57" s="44">
        <v>0.314</v>
      </c>
      <c r="AD57" s="47">
        <v>4.0199999999999996</v>
      </c>
      <c r="AE57" s="47">
        <v>2.14</v>
      </c>
      <c r="AF57" s="47">
        <v>1.38</v>
      </c>
      <c r="AG57" s="40">
        <v>0.89600000000000002</v>
      </c>
      <c r="AH57" s="109">
        <v>1.02</v>
      </c>
      <c r="AI57" s="132">
        <v>2.6</v>
      </c>
      <c r="AJ57" s="39">
        <v>0.93</v>
      </c>
      <c r="AK57" s="47" t="s">
        <v>105</v>
      </c>
      <c r="AL57" s="59">
        <v>2.42</v>
      </c>
      <c r="AM57" s="61">
        <v>5.97</v>
      </c>
      <c r="AN57" s="39">
        <v>0.52300000000000002</v>
      </c>
      <c r="AO57" s="47" t="s">
        <v>105</v>
      </c>
      <c r="AP57" s="47">
        <v>1.56</v>
      </c>
      <c r="AQ57" s="59">
        <v>1.75</v>
      </c>
      <c r="AR57" s="80">
        <v>1.9</v>
      </c>
      <c r="AS57" s="39" t="s">
        <v>105</v>
      </c>
      <c r="AT57" s="39" t="s">
        <v>105</v>
      </c>
      <c r="AU57" s="138">
        <v>0.68600000000000005</v>
      </c>
      <c r="AV57" s="59">
        <v>4.1900000000000004</v>
      </c>
      <c r="AW57" s="150">
        <v>0.83699999999999997</v>
      </c>
      <c r="AX57" s="47">
        <v>1.01</v>
      </c>
      <c r="AY57" s="39" t="s">
        <v>105</v>
      </c>
      <c r="AZ57" s="138">
        <v>0.69099999999999995</v>
      </c>
      <c r="BA57" s="40">
        <v>0.86099999999999999</v>
      </c>
      <c r="BB57" s="61">
        <v>1.92</v>
      </c>
      <c r="BC57" s="117">
        <v>1.89</v>
      </c>
      <c r="BD57" s="117">
        <v>1.96</v>
      </c>
      <c r="BE57" s="47">
        <v>1.47</v>
      </c>
      <c r="BF57" s="59">
        <v>2.34</v>
      </c>
      <c r="BG57" s="61">
        <v>1.21</v>
      </c>
      <c r="BH57" s="117">
        <v>1.53</v>
      </c>
      <c r="BI57" s="117">
        <v>1.92</v>
      </c>
      <c r="BJ57" s="117">
        <v>2.78</v>
      </c>
      <c r="BK57" s="40" t="s">
        <v>105</v>
      </c>
      <c r="BL57" s="109">
        <v>1.26</v>
      </c>
      <c r="BM57" s="40" t="s">
        <v>105</v>
      </c>
      <c r="BN57" s="168">
        <f t="shared" si="19"/>
        <v>2.0001440000000001</v>
      </c>
      <c r="BO57" s="168">
        <f t="shared" si="12"/>
        <v>6.96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19</v>
      </c>
      <c r="B58" s="6"/>
      <c r="C58" s="11" t="s">
        <v>10</v>
      </c>
      <c r="D58" s="62">
        <v>5.23</v>
      </c>
      <c r="E58" s="104">
        <v>2.98</v>
      </c>
      <c r="F58" s="36" t="s">
        <v>105</v>
      </c>
      <c r="G58" s="36">
        <v>0.746</v>
      </c>
      <c r="H58" s="134">
        <v>0.97099999999999997</v>
      </c>
      <c r="I58" s="112">
        <v>1.19</v>
      </c>
      <c r="J58" s="36" t="s">
        <v>105</v>
      </c>
      <c r="K58" s="36" t="s">
        <v>105</v>
      </c>
      <c r="L58" s="36" t="s">
        <v>105</v>
      </c>
      <c r="M58" s="37">
        <v>0.106</v>
      </c>
      <c r="N58" s="43">
        <v>0.12</v>
      </c>
      <c r="O58" s="46">
        <v>1.97</v>
      </c>
      <c r="P58" s="36" t="s">
        <v>105</v>
      </c>
      <c r="Q58" s="46">
        <v>1.88</v>
      </c>
      <c r="R58" s="37" t="s">
        <v>105</v>
      </c>
      <c r="S58" s="43" t="s">
        <v>105</v>
      </c>
      <c r="T58" s="36" t="s">
        <v>105</v>
      </c>
      <c r="U58" s="46">
        <v>2.04</v>
      </c>
      <c r="V58" s="46" t="s">
        <v>105</v>
      </c>
      <c r="W58" s="63">
        <v>3.18</v>
      </c>
      <c r="X58" s="75">
        <v>4.4000000000000004</v>
      </c>
      <c r="Y58" s="46">
        <v>4.5199999999999996</v>
      </c>
      <c r="Z58" s="104">
        <v>2.89</v>
      </c>
      <c r="AA58" s="46">
        <v>4.72</v>
      </c>
      <c r="AB58" s="134">
        <v>0.36299999999999999</v>
      </c>
      <c r="AC58" s="112">
        <v>2.5299999999999998</v>
      </c>
      <c r="AD58" s="104">
        <v>1.98</v>
      </c>
      <c r="AE58" s="67" t="s">
        <v>105</v>
      </c>
      <c r="AF58" s="46">
        <v>3.38</v>
      </c>
      <c r="AG58" s="63" t="s">
        <v>105</v>
      </c>
      <c r="AH58" s="65" t="s">
        <v>105</v>
      </c>
      <c r="AI58" s="104">
        <v>3.86</v>
      </c>
      <c r="AJ58" s="46">
        <v>2.79</v>
      </c>
      <c r="AK58" s="46">
        <v>1.87</v>
      </c>
      <c r="AL58" s="63">
        <v>1.77</v>
      </c>
      <c r="AM58" s="65" t="s">
        <v>105</v>
      </c>
      <c r="AN58" s="104">
        <v>1.35</v>
      </c>
      <c r="AO58" s="36">
        <v>0.67400000000000004</v>
      </c>
      <c r="AP58" s="67">
        <v>3.1</v>
      </c>
      <c r="AQ58" s="37">
        <v>0.46400000000000002</v>
      </c>
      <c r="AR58" s="65">
        <v>2.19</v>
      </c>
      <c r="AS58" s="104">
        <v>1.61</v>
      </c>
      <c r="AT58" s="140">
        <v>0.505</v>
      </c>
      <c r="AU58" s="46" t="s">
        <v>105</v>
      </c>
      <c r="AV58" s="63">
        <v>2.39</v>
      </c>
      <c r="AW58" s="65">
        <v>1.17</v>
      </c>
      <c r="AX58" s="46">
        <v>1.93</v>
      </c>
      <c r="AY58" s="152" t="s">
        <v>105</v>
      </c>
      <c r="AZ58" s="67">
        <v>1.9</v>
      </c>
      <c r="BA58" s="134">
        <v>0.11700000000000001</v>
      </c>
      <c r="BB58" s="65" t="s">
        <v>105</v>
      </c>
      <c r="BC58" s="67">
        <v>1.5</v>
      </c>
      <c r="BD58" s="140">
        <v>0.82399999999999995</v>
      </c>
      <c r="BE58" s="36" t="s">
        <v>105</v>
      </c>
      <c r="BF58" s="37" t="s">
        <v>105</v>
      </c>
      <c r="BG58" s="43" t="s">
        <v>105</v>
      </c>
      <c r="BH58" s="36" t="s">
        <v>105</v>
      </c>
      <c r="BI58" s="36">
        <v>0.39700000000000002</v>
      </c>
      <c r="BJ58" s="104">
        <v>2.2599999999999998</v>
      </c>
      <c r="BK58" s="63">
        <v>1.61</v>
      </c>
      <c r="BL58" s="139">
        <v>0.51500000000000001</v>
      </c>
      <c r="BM58" s="63">
        <v>3.37</v>
      </c>
      <c r="BN58" s="166">
        <f t="shared" ref="BN58:BN60" si="20">IFERROR(AVERAGE(D58:BM60),0)</f>
        <v>2.0232635658914724</v>
      </c>
      <c r="BO58" s="166">
        <f t="shared" si="12"/>
        <v>6.96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65" t="s">
        <v>11</v>
      </c>
      <c r="B59" s="7" t="s">
        <v>34</v>
      </c>
      <c r="C59" s="11" t="s">
        <v>8</v>
      </c>
      <c r="D59" s="74">
        <v>1.1200000000000001</v>
      </c>
      <c r="E59" s="130">
        <v>4.9000000000000004</v>
      </c>
      <c r="F59" s="22" t="s">
        <v>105</v>
      </c>
      <c r="G59" s="22" t="s">
        <v>105</v>
      </c>
      <c r="H59" s="42" t="s">
        <v>105</v>
      </c>
      <c r="I59" s="64" t="s">
        <v>105</v>
      </c>
      <c r="J59" s="32" t="s">
        <v>105</v>
      </c>
      <c r="K59" s="22">
        <v>0.96299999999999997</v>
      </c>
      <c r="L59" s="22" t="s">
        <v>105</v>
      </c>
      <c r="M59" s="60">
        <v>1.06</v>
      </c>
      <c r="N59" s="45" t="s">
        <v>105</v>
      </c>
      <c r="O59" s="22" t="s">
        <v>105</v>
      </c>
      <c r="P59" s="136">
        <v>0.17799999999999999</v>
      </c>
      <c r="Q59" s="32" t="s">
        <v>105</v>
      </c>
      <c r="R59" s="147">
        <v>0.318</v>
      </c>
      <c r="S59" s="64">
        <v>1.82</v>
      </c>
      <c r="T59" s="136">
        <v>0.99299999999999999</v>
      </c>
      <c r="U59" s="32">
        <v>1.08</v>
      </c>
      <c r="V59" s="136">
        <v>0.90100000000000002</v>
      </c>
      <c r="W59" s="60">
        <v>2.52</v>
      </c>
      <c r="X59" s="64">
        <v>2.72</v>
      </c>
      <c r="Y59" s="32">
        <v>5.07</v>
      </c>
      <c r="Z59" s="32">
        <v>6.07</v>
      </c>
      <c r="AA59" s="32">
        <v>5.25</v>
      </c>
      <c r="AB59" s="147">
        <v>0.34100000000000003</v>
      </c>
      <c r="AC59" s="64">
        <v>1.68</v>
      </c>
      <c r="AD59" s="34">
        <v>1.1000000000000001</v>
      </c>
      <c r="AE59" s="22" t="s">
        <v>105</v>
      </c>
      <c r="AF59" s="32">
        <v>6.58</v>
      </c>
      <c r="AG59" s="60">
        <v>6.96</v>
      </c>
      <c r="AH59" s="64" t="s">
        <v>105</v>
      </c>
      <c r="AI59" s="32">
        <v>5.04</v>
      </c>
      <c r="AJ59" s="32">
        <v>3.23</v>
      </c>
      <c r="AK59" s="22">
        <v>0.63600000000000001</v>
      </c>
      <c r="AL59" s="60">
        <v>1.98</v>
      </c>
      <c r="AM59" s="45">
        <v>5.5E-2</v>
      </c>
      <c r="AN59" s="34" t="s">
        <v>105</v>
      </c>
      <c r="AO59" s="22" t="s">
        <v>105</v>
      </c>
      <c r="AP59" s="32">
        <v>4.8899999999999997</v>
      </c>
      <c r="AQ59" s="42" t="s">
        <v>105</v>
      </c>
      <c r="AR59" s="64">
        <v>1.1399999999999999</v>
      </c>
      <c r="AS59" s="22" t="s">
        <v>105</v>
      </c>
      <c r="AT59" s="22" t="s">
        <v>105</v>
      </c>
      <c r="AU59" s="32">
        <v>5.48</v>
      </c>
      <c r="AV59" s="60" t="s">
        <v>105</v>
      </c>
      <c r="AW59" s="64">
        <v>1.83</v>
      </c>
      <c r="AX59" s="32">
        <v>1.1100000000000001</v>
      </c>
      <c r="AY59" s="32">
        <v>1.95</v>
      </c>
      <c r="AZ59" s="136">
        <v>0.72299999999999998</v>
      </c>
      <c r="BA59" s="60">
        <v>2.0499999999999998</v>
      </c>
      <c r="BB59" s="129">
        <v>0.57699999999999996</v>
      </c>
      <c r="BC59" s="34">
        <v>2.4</v>
      </c>
      <c r="BD59" s="32">
        <v>2.95</v>
      </c>
      <c r="BE59" s="22" t="s">
        <v>105</v>
      </c>
      <c r="BF59" s="60">
        <v>1.77</v>
      </c>
      <c r="BG59" s="45" t="s">
        <v>105</v>
      </c>
      <c r="BH59" s="149">
        <v>1</v>
      </c>
      <c r="BI59" s="22">
        <v>0.51200000000000001</v>
      </c>
      <c r="BJ59" s="22">
        <v>0.30099999999999999</v>
      </c>
      <c r="BK59" s="42" t="s">
        <v>105</v>
      </c>
      <c r="BL59" s="64" t="s">
        <v>105</v>
      </c>
      <c r="BM59" s="60">
        <v>1.45</v>
      </c>
      <c r="BN59" s="167">
        <f t="shared" si="20"/>
        <v>1.9817925925925928</v>
      </c>
      <c r="BO59" s="167">
        <f t="shared" si="12"/>
        <v>6.96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65"/>
      <c r="B60" s="8"/>
      <c r="C60" s="12" t="s">
        <v>14</v>
      </c>
      <c r="D60" s="73">
        <v>2.37</v>
      </c>
      <c r="E60" s="47">
        <v>5.28</v>
      </c>
      <c r="F60" s="47" t="s">
        <v>105</v>
      </c>
      <c r="G60" s="39" t="s">
        <v>105</v>
      </c>
      <c r="H60" s="59">
        <v>1.38</v>
      </c>
      <c r="I60" s="44" t="s">
        <v>105</v>
      </c>
      <c r="J60" s="39">
        <v>0.115</v>
      </c>
      <c r="K60" s="39" t="s">
        <v>105</v>
      </c>
      <c r="L60" s="39" t="s">
        <v>105</v>
      </c>
      <c r="M60" s="40" t="s">
        <v>105</v>
      </c>
      <c r="N60" s="44">
        <v>0.93500000000000005</v>
      </c>
      <c r="O60" s="39" t="s">
        <v>105</v>
      </c>
      <c r="P60" s="47">
        <v>3.12</v>
      </c>
      <c r="Q60" s="39" t="s">
        <v>105</v>
      </c>
      <c r="R60" s="143">
        <v>0.41499999999999998</v>
      </c>
      <c r="S60" s="150">
        <v>0.79300000000000004</v>
      </c>
      <c r="T60" s="47">
        <v>2.16</v>
      </c>
      <c r="U60" s="47">
        <v>2.06</v>
      </c>
      <c r="V60" s="138">
        <v>0.33700000000000002</v>
      </c>
      <c r="W60" s="143">
        <v>7.2999999999999995E-2</v>
      </c>
      <c r="X60" s="61" t="s">
        <v>105</v>
      </c>
      <c r="Y60" s="47">
        <v>3.28</v>
      </c>
      <c r="Z60" s="47">
        <v>2.2599999999999998</v>
      </c>
      <c r="AA60" s="47">
        <v>3.13</v>
      </c>
      <c r="AB60" s="59">
        <v>1.47</v>
      </c>
      <c r="AC60" s="61">
        <v>1.93</v>
      </c>
      <c r="AD60" s="117">
        <v>1.07</v>
      </c>
      <c r="AE60" s="138">
        <v>0.871</v>
      </c>
      <c r="AF60" s="47">
        <v>4.3099999999999996</v>
      </c>
      <c r="AG60" s="59">
        <v>5.24</v>
      </c>
      <c r="AH60" s="150">
        <v>0.752</v>
      </c>
      <c r="AI60" s="47">
        <v>5.18</v>
      </c>
      <c r="AJ60" s="68">
        <v>1.5</v>
      </c>
      <c r="AK60" s="39">
        <v>4.5999999999999999E-2</v>
      </c>
      <c r="AL60" s="59">
        <v>2.5299999999999998</v>
      </c>
      <c r="AM60" s="150">
        <v>0.32300000000000001</v>
      </c>
      <c r="AN60" s="39">
        <v>0.20699999999999999</v>
      </c>
      <c r="AO60" s="39" t="s">
        <v>105</v>
      </c>
      <c r="AP60" s="138">
        <v>0.45</v>
      </c>
      <c r="AQ60" s="59">
        <v>2.5099999999999998</v>
      </c>
      <c r="AR60" s="61">
        <v>2.83</v>
      </c>
      <c r="AS60" s="47">
        <v>3.37</v>
      </c>
      <c r="AT60" s="47">
        <v>2.82</v>
      </c>
      <c r="AU60" s="117">
        <v>5.28</v>
      </c>
      <c r="AV60" s="40">
        <v>0.23</v>
      </c>
      <c r="AW60" s="44" t="s">
        <v>105</v>
      </c>
      <c r="AX60" s="77" t="s">
        <v>105</v>
      </c>
      <c r="AY60" s="47">
        <v>1.21</v>
      </c>
      <c r="AZ60" s="68">
        <v>1.5</v>
      </c>
      <c r="BA60" s="116">
        <v>1.51</v>
      </c>
      <c r="BB60" s="61" t="s">
        <v>105</v>
      </c>
      <c r="BC60" s="39" t="s">
        <v>105</v>
      </c>
      <c r="BD60" s="47">
        <v>1.79</v>
      </c>
      <c r="BE60" s="39" t="s">
        <v>105</v>
      </c>
      <c r="BF60" s="59">
        <v>1.53</v>
      </c>
      <c r="BG60" s="44" t="s">
        <v>105</v>
      </c>
      <c r="BH60" s="39">
        <v>0.47099999999999997</v>
      </c>
      <c r="BI60" s="132">
        <v>1.2</v>
      </c>
      <c r="BJ60" s="47">
        <v>2.39</v>
      </c>
      <c r="BK60" s="40">
        <v>4.9000000000000002E-2</v>
      </c>
      <c r="BL60" s="109">
        <v>1.74</v>
      </c>
      <c r="BM60" s="143">
        <v>0.92400000000000004</v>
      </c>
      <c r="BN60" s="168">
        <f t="shared" si="20"/>
        <v>1.8196713286713289</v>
      </c>
      <c r="BO60" s="168">
        <f t="shared" si="12"/>
        <v>7.28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19</v>
      </c>
      <c r="B61" s="6"/>
      <c r="C61" s="11" t="s">
        <v>10</v>
      </c>
      <c r="D61" s="62">
        <v>1.39</v>
      </c>
      <c r="E61" s="46">
        <v>4.92</v>
      </c>
      <c r="F61" s="46">
        <v>1.23</v>
      </c>
      <c r="G61" s="36">
        <v>0.74</v>
      </c>
      <c r="H61" s="63">
        <v>1.52</v>
      </c>
      <c r="I61" s="65">
        <v>4.51</v>
      </c>
      <c r="J61" s="104">
        <v>1.07</v>
      </c>
      <c r="K61" s="46">
        <v>1.76</v>
      </c>
      <c r="L61" s="67">
        <v>1.6</v>
      </c>
      <c r="M61" s="37" t="s">
        <v>105</v>
      </c>
      <c r="N61" s="43" t="s">
        <v>105</v>
      </c>
      <c r="O61" s="46">
        <v>3.82</v>
      </c>
      <c r="P61" s="46">
        <v>2.72</v>
      </c>
      <c r="Q61" s="36" t="s">
        <v>105</v>
      </c>
      <c r="R61" s="105">
        <v>1.01</v>
      </c>
      <c r="S61" s="65">
        <v>1.37</v>
      </c>
      <c r="T61" s="46" t="s">
        <v>105</v>
      </c>
      <c r="U61" s="46">
        <v>1.94</v>
      </c>
      <c r="V61" s="46">
        <v>3.61</v>
      </c>
      <c r="W61" s="63">
        <v>3.52</v>
      </c>
      <c r="X61" s="65">
        <v>3.38</v>
      </c>
      <c r="Y61" s="46">
        <v>2.58</v>
      </c>
      <c r="Z61" s="46" t="s">
        <v>105</v>
      </c>
      <c r="AA61" s="46">
        <v>1.72</v>
      </c>
      <c r="AB61" s="69" t="s">
        <v>105</v>
      </c>
      <c r="AC61" s="139">
        <v>0.98499999999999999</v>
      </c>
      <c r="AD61" s="46">
        <v>4.16</v>
      </c>
      <c r="AE61" s="46">
        <v>5.03</v>
      </c>
      <c r="AF61" s="140">
        <v>0.97399999999999998</v>
      </c>
      <c r="AG61" s="63">
        <v>1.99</v>
      </c>
      <c r="AH61" s="65">
        <v>2.83</v>
      </c>
      <c r="AI61" s="46">
        <v>4.62</v>
      </c>
      <c r="AJ61" s="104">
        <v>1.87</v>
      </c>
      <c r="AK61" s="46">
        <v>1.37</v>
      </c>
      <c r="AL61" s="63">
        <v>1.57</v>
      </c>
      <c r="AM61" s="43">
        <v>0.93400000000000005</v>
      </c>
      <c r="AN61" s="140">
        <v>0.60399999999999998</v>
      </c>
      <c r="AO61" s="46">
        <v>1.1200000000000001</v>
      </c>
      <c r="AP61" s="140">
        <v>0.29699999999999999</v>
      </c>
      <c r="AQ61" s="134">
        <v>0.193</v>
      </c>
      <c r="AR61" s="139">
        <v>0.59099999999999997</v>
      </c>
      <c r="AS61" s="140">
        <v>0.61299999999999999</v>
      </c>
      <c r="AT61" s="140">
        <v>0.22600000000000001</v>
      </c>
      <c r="AU61" s="46" t="s">
        <v>105</v>
      </c>
      <c r="AV61" s="134">
        <v>0.69599999999999995</v>
      </c>
      <c r="AW61" s="65" t="s">
        <v>105</v>
      </c>
      <c r="AX61" s="46" t="s">
        <v>105</v>
      </c>
      <c r="AY61" s="46" t="s">
        <v>105</v>
      </c>
      <c r="AZ61" s="67" t="s">
        <v>105</v>
      </c>
      <c r="BA61" s="69" t="s">
        <v>105</v>
      </c>
      <c r="BB61" s="65">
        <v>1.1399999999999999</v>
      </c>
      <c r="BC61" s="46" t="s">
        <v>105</v>
      </c>
      <c r="BD61" s="140">
        <v>0.187</v>
      </c>
      <c r="BE61" s="36">
        <v>0.97099999999999997</v>
      </c>
      <c r="BF61" s="63">
        <v>1.34</v>
      </c>
      <c r="BG61" s="139">
        <v>0.96299999999999997</v>
      </c>
      <c r="BH61" s="140">
        <v>0.82899999999999996</v>
      </c>
      <c r="BI61" s="46">
        <v>1.02</v>
      </c>
      <c r="BJ61" s="46">
        <v>1.53</v>
      </c>
      <c r="BK61" s="63">
        <v>3.12</v>
      </c>
      <c r="BL61" s="112">
        <v>3.72</v>
      </c>
      <c r="BM61" s="63" t="s">
        <v>105</v>
      </c>
      <c r="BN61" s="166">
        <f t="shared" ref="BN61:BN63" si="21">IFERROR(AVERAGE(D61:BM63),0)</f>
        <v>1.8627222222222224</v>
      </c>
      <c r="BO61" s="166">
        <f t="shared" si="12"/>
        <v>9.2899999999999991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65" t="s">
        <v>11</v>
      </c>
      <c r="B62" s="7" t="s">
        <v>35</v>
      </c>
      <c r="C62" s="11" t="s">
        <v>8</v>
      </c>
      <c r="D62" s="41" t="s">
        <v>105</v>
      </c>
      <c r="E62" s="32">
        <v>1.18</v>
      </c>
      <c r="F62" s="22">
        <v>0.69199999999999995</v>
      </c>
      <c r="G62" s="22" t="s">
        <v>105</v>
      </c>
      <c r="H62" s="60">
        <v>1.87</v>
      </c>
      <c r="I62" s="45" t="s">
        <v>105</v>
      </c>
      <c r="J62" s="22">
        <v>0.81100000000000005</v>
      </c>
      <c r="K62" s="22" t="s">
        <v>105</v>
      </c>
      <c r="L62" s="22" t="s">
        <v>105</v>
      </c>
      <c r="M62" s="147">
        <v>0.47399999999999998</v>
      </c>
      <c r="N62" s="129">
        <v>0.311</v>
      </c>
      <c r="O62" s="22">
        <v>0.35799999999999998</v>
      </c>
      <c r="P62" s="32">
        <v>1.78</v>
      </c>
      <c r="Q62" s="136">
        <v>0.67600000000000005</v>
      </c>
      <c r="R62" s="60">
        <v>1.48</v>
      </c>
      <c r="S62" s="64">
        <v>3.09</v>
      </c>
      <c r="T62" s="32">
        <v>1.73</v>
      </c>
      <c r="U62" s="32">
        <v>1.39</v>
      </c>
      <c r="V62" s="136">
        <v>0.30099999999999999</v>
      </c>
      <c r="W62" s="60">
        <v>2.0099999999999998</v>
      </c>
      <c r="X62" s="72">
        <v>1.3</v>
      </c>
      <c r="Y62" s="34">
        <v>3.7</v>
      </c>
      <c r="Z62" s="136">
        <v>0.47699999999999998</v>
      </c>
      <c r="AA62" s="32" t="s">
        <v>105</v>
      </c>
      <c r="AB62" s="60">
        <v>2.97</v>
      </c>
      <c r="AC62" s="45" t="s">
        <v>105</v>
      </c>
      <c r="AD62" s="32">
        <v>7.28</v>
      </c>
      <c r="AE62" s="32" t="s">
        <v>105</v>
      </c>
      <c r="AF62" s="136">
        <v>0.27200000000000002</v>
      </c>
      <c r="AG62" s="60">
        <v>6.64</v>
      </c>
      <c r="AH62" s="129">
        <v>0.22600000000000001</v>
      </c>
      <c r="AI62" s="32">
        <v>5.72</v>
      </c>
      <c r="AJ62" s="32">
        <v>1.98</v>
      </c>
      <c r="AK62" s="136">
        <v>0.53200000000000003</v>
      </c>
      <c r="AL62" s="60">
        <v>1.0900000000000001</v>
      </c>
      <c r="AM62" s="64">
        <v>2.5099999999999998</v>
      </c>
      <c r="AN62" s="32">
        <v>1.1200000000000001</v>
      </c>
      <c r="AO62" s="22">
        <v>0.35899999999999999</v>
      </c>
      <c r="AP62" s="136">
        <v>0.79200000000000004</v>
      </c>
      <c r="AQ62" s="60">
        <v>1.71</v>
      </c>
      <c r="AR62" s="64">
        <v>3.11</v>
      </c>
      <c r="AS62" s="32">
        <v>2.2799999999999998</v>
      </c>
      <c r="AT62" s="32" t="s">
        <v>105</v>
      </c>
      <c r="AU62" s="32">
        <v>3.72</v>
      </c>
      <c r="AV62" s="115">
        <v>2.25</v>
      </c>
      <c r="AW62" s="64" t="s">
        <v>105</v>
      </c>
      <c r="AX62" s="32">
        <v>1.65</v>
      </c>
      <c r="AY62" s="136">
        <v>0.64300000000000002</v>
      </c>
      <c r="AZ62" s="32" t="s">
        <v>105</v>
      </c>
      <c r="BA62" s="60" t="s">
        <v>105</v>
      </c>
      <c r="BB62" s="64" t="s">
        <v>105</v>
      </c>
      <c r="BC62" s="32">
        <v>1.04</v>
      </c>
      <c r="BD62" s="136">
        <v>0.113</v>
      </c>
      <c r="BE62" s="32">
        <v>1.82</v>
      </c>
      <c r="BF62" s="147">
        <v>0.55100000000000005</v>
      </c>
      <c r="BG62" s="64">
        <v>1.53</v>
      </c>
      <c r="BH62" s="32">
        <v>1.82</v>
      </c>
      <c r="BI62" s="32">
        <v>1.23</v>
      </c>
      <c r="BJ62" s="136">
        <v>0.71399999999999997</v>
      </c>
      <c r="BK62" s="147">
        <v>0.39700000000000002</v>
      </c>
      <c r="BL62" s="64">
        <v>3.54</v>
      </c>
      <c r="BM62" s="60">
        <v>2.13</v>
      </c>
      <c r="BN62" s="167">
        <f t="shared" si="21"/>
        <v>1.8949020979020976</v>
      </c>
      <c r="BO62" s="167">
        <f t="shared" si="12"/>
        <v>9.2899999999999991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65"/>
      <c r="B63" s="8"/>
      <c r="C63" s="12" t="s">
        <v>14</v>
      </c>
      <c r="D63" s="38" t="s">
        <v>105</v>
      </c>
      <c r="E63" s="47" t="s">
        <v>105</v>
      </c>
      <c r="F63" s="39" t="s">
        <v>105</v>
      </c>
      <c r="G63" s="39" t="s">
        <v>105</v>
      </c>
      <c r="H63" s="59">
        <v>1.41</v>
      </c>
      <c r="I63" s="153">
        <v>1</v>
      </c>
      <c r="J63" s="47" t="s">
        <v>105</v>
      </c>
      <c r="K63" s="39" t="s">
        <v>105</v>
      </c>
      <c r="L63" s="138">
        <v>0.66300000000000003</v>
      </c>
      <c r="M63" s="143">
        <v>0.52300000000000002</v>
      </c>
      <c r="N63" s="150">
        <v>0.60499999999999998</v>
      </c>
      <c r="O63" s="47" t="s">
        <v>105</v>
      </c>
      <c r="P63" s="47" t="s">
        <v>105</v>
      </c>
      <c r="Q63" s="138">
        <v>0.17</v>
      </c>
      <c r="R63" s="143">
        <v>0.60399999999999998</v>
      </c>
      <c r="S63" s="61">
        <v>1.35</v>
      </c>
      <c r="T63" s="47" t="s">
        <v>105</v>
      </c>
      <c r="U63" s="47">
        <v>1.57</v>
      </c>
      <c r="V63" s="47">
        <v>2.2400000000000002</v>
      </c>
      <c r="W63" s="143">
        <v>0.108</v>
      </c>
      <c r="X63" s="61">
        <v>2.87</v>
      </c>
      <c r="Y63" s="47">
        <v>3.96</v>
      </c>
      <c r="Z63" s="47">
        <v>2.2400000000000002</v>
      </c>
      <c r="AA63" s="47" t="s">
        <v>105</v>
      </c>
      <c r="AB63" s="59">
        <v>2.29</v>
      </c>
      <c r="AC63" s="61">
        <v>3.12</v>
      </c>
      <c r="AD63" s="47">
        <v>3.81</v>
      </c>
      <c r="AE63" s="138">
        <v>0.75</v>
      </c>
      <c r="AF63" s="47">
        <v>2.94</v>
      </c>
      <c r="AG63" s="59">
        <v>6.76</v>
      </c>
      <c r="AH63" s="61">
        <v>1.82</v>
      </c>
      <c r="AI63" s="47">
        <v>9.2899999999999991</v>
      </c>
      <c r="AJ63" s="47">
        <v>2.85</v>
      </c>
      <c r="AK63" s="47">
        <v>1.1599999999999999</v>
      </c>
      <c r="AL63" s="59">
        <v>4.47</v>
      </c>
      <c r="AM63" s="150">
        <v>0.79800000000000004</v>
      </c>
      <c r="AN63" s="47">
        <v>3.28</v>
      </c>
      <c r="AO63" s="47">
        <v>2.72</v>
      </c>
      <c r="AP63" s="47">
        <v>1.49</v>
      </c>
      <c r="AQ63" s="143">
        <v>2.5999999999999999E-2</v>
      </c>
      <c r="AR63" s="61">
        <v>1.62</v>
      </c>
      <c r="AS63" s="138">
        <v>0.498</v>
      </c>
      <c r="AT63" s="47">
        <v>2.67</v>
      </c>
      <c r="AU63" s="39" t="s">
        <v>105</v>
      </c>
      <c r="AV63" s="59" t="s">
        <v>105</v>
      </c>
      <c r="AW63" s="61" t="s">
        <v>105</v>
      </c>
      <c r="AX63" s="47">
        <v>2.2599999999999998</v>
      </c>
      <c r="AY63" s="138">
        <v>0.97399999999999998</v>
      </c>
      <c r="AZ63" s="47" t="s">
        <v>105</v>
      </c>
      <c r="BA63" s="59">
        <v>2.33</v>
      </c>
      <c r="BB63" s="61" t="s">
        <v>105</v>
      </c>
      <c r="BC63" s="47">
        <v>1.57</v>
      </c>
      <c r="BD63" s="47">
        <v>1.87</v>
      </c>
      <c r="BE63" s="117">
        <v>1.38</v>
      </c>
      <c r="BF63" s="59">
        <v>1.67</v>
      </c>
      <c r="BG63" s="61">
        <v>1.49</v>
      </c>
      <c r="BH63" s="47">
        <v>1.45</v>
      </c>
      <c r="BI63" s="138">
        <v>7.1999999999999995E-2</v>
      </c>
      <c r="BJ63" s="39">
        <v>0.53400000000000003</v>
      </c>
      <c r="BK63" s="40">
        <v>0.82499999999999996</v>
      </c>
      <c r="BL63" s="109">
        <v>2.11</v>
      </c>
      <c r="BM63" s="59">
        <v>2.75</v>
      </c>
      <c r="BN63" s="168">
        <f t="shared" si="21"/>
        <v>1.9318244274809155</v>
      </c>
      <c r="BO63" s="168">
        <f t="shared" si="12"/>
        <v>9.2899999999999991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19</v>
      </c>
      <c r="B64" s="6"/>
      <c r="C64" s="11" t="s">
        <v>10</v>
      </c>
      <c r="D64" s="35" t="s">
        <v>105</v>
      </c>
      <c r="E64" s="36" t="s">
        <v>105</v>
      </c>
      <c r="F64" s="46">
        <v>3.98</v>
      </c>
      <c r="G64" s="104">
        <v>3.16</v>
      </c>
      <c r="H64" s="69">
        <v>2.2999999999999998</v>
      </c>
      <c r="I64" s="43" t="s">
        <v>105</v>
      </c>
      <c r="J64" s="36" t="s">
        <v>105</v>
      </c>
      <c r="K64" s="36" t="s">
        <v>105</v>
      </c>
      <c r="L64" s="36">
        <v>0.26900000000000002</v>
      </c>
      <c r="M64" s="63" t="s">
        <v>105</v>
      </c>
      <c r="N64" s="112">
        <v>1.04</v>
      </c>
      <c r="O64" s="36">
        <v>0.32500000000000001</v>
      </c>
      <c r="P64" s="46" t="s">
        <v>105</v>
      </c>
      <c r="Q64" s="140">
        <v>0.41899999999999998</v>
      </c>
      <c r="R64" s="37">
        <v>0.64</v>
      </c>
      <c r="S64" s="65">
        <v>3.88</v>
      </c>
      <c r="T64" s="46">
        <v>1.71</v>
      </c>
      <c r="U64" s="36">
        <v>0.502</v>
      </c>
      <c r="V64" s="104">
        <v>1.87</v>
      </c>
      <c r="W64" s="63">
        <v>1.57</v>
      </c>
      <c r="X64" s="43">
        <v>0.61</v>
      </c>
      <c r="Y64" s="36">
        <v>0.42599999999999999</v>
      </c>
      <c r="Z64" s="46">
        <v>2.4700000000000002</v>
      </c>
      <c r="AA64" s="104">
        <v>1.69</v>
      </c>
      <c r="AB64" s="37">
        <v>5.5E-2</v>
      </c>
      <c r="AC64" s="43" t="s">
        <v>105</v>
      </c>
      <c r="AD64" s="36" t="s">
        <v>105</v>
      </c>
      <c r="AE64" s="36">
        <v>0.95099999999999996</v>
      </c>
      <c r="AF64" s="46">
        <v>2.12</v>
      </c>
      <c r="AG64" s="63">
        <v>3.04</v>
      </c>
      <c r="AH64" s="43" t="s">
        <v>105</v>
      </c>
      <c r="AI64" s="104">
        <v>1.59</v>
      </c>
      <c r="AJ64" s="46">
        <v>5.25</v>
      </c>
      <c r="AK64" s="140">
        <v>0.84899999999999998</v>
      </c>
      <c r="AL64" s="37">
        <v>0.41499999999999998</v>
      </c>
      <c r="AM64" s="112">
        <v>5.95</v>
      </c>
      <c r="AN64" s="36" t="s">
        <v>105</v>
      </c>
      <c r="AO64" s="36" t="s">
        <v>105</v>
      </c>
      <c r="AP64" s="46">
        <v>3.48</v>
      </c>
      <c r="AQ64" s="63">
        <v>2.85</v>
      </c>
      <c r="AR64" s="65">
        <v>4.0599999999999996</v>
      </c>
      <c r="AS64" s="46">
        <v>2.44</v>
      </c>
      <c r="AT64" s="46">
        <v>1.49</v>
      </c>
      <c r="AU64" s="46">
        <v>3.26</v>
      </c>
      <c r="AV64" s="63">
        <v>1.34</v>
      </c>
      <c r="AW64" s="65">
        <v>2.1800000000000002</v>
      </c>
      <c r="AX64" s="104">
        <v>1.23</v>
      </c>
      <c r="AY64" s="140">
        <v>0.63600000000000001</v>
      </c>
      <c r="AZ64" s="46">
        <v>1.19</v>
      </c>
      <c r="BA64" s="63">
        <v>2.4700000000000002</v>
      </c>
      <c r="BB64" s="79">
        <v>2</v>
      </c>
      <c r="BC64" s="46">
        <v>1.48</v>
      </c>
      <c r="BD64" s="36">
        <v>0.20200000000000001</v>
      </c>
      <c r="BE64" s="67">
        <v>8.1</v>
      </c>
      <c r="BF64" s="134">
        <v>0.69199999999999995</v>
      </c>
      <c r="BG64" s="75">
        <v>2.5</v>
      </c>
      <c r="BH64" s="36" t="s">
        <v>105</v>
      </c>
      <c r="BI64" s="46" t="s">
        <v>105</v>
      </c>
      <c r="BJ64" s="46">
        <v>1.41</v>
      </c>
      <c r="BK64" s="37">
        <v>0.57099999999999995</v>
      </c>
      <c r="BL64" s="112">
        <v>1.98</v>
      </c>
      <c r="BM64" s="37" t="s">
        <v>105</v>
      </c>
      <c r="BN64" s="166">
        <f t="shared" ref="BN64:BN66" si="22">IFERROR(AVERAGE(D64:BM66),0)</f>
        <v>1.9131709401709398</v>
      </c>
      <c r="BO64" s="166">
        <f t="shared" si="12"/>
        <v>8.68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65" t="s">
        <v>11</v>
      </c>
      <c r="B65" s="7" t="s">
        <v>36</v>
      </c>
      <c r="C65" s="11" t="s">
        <v>8</v>
      </c>
      <c r="D65" s="74">
        <v>3.76</v>
      </c>
      <c r="E65" s="34">
        <v>2.2999999999999998</v>
      </c>
      <c r="F65" s="22" t="s">
        <v>105</v>
      </c>
      <c r="G65" s="22" t="s">
        <v>105</v>
      </c>
      <c r="H65" s="147">
        <v>0.54100000000000004</v>
      </c>
      <c r="I65" s="45">
        <v>0.441</v>
      </c>
      <c r="J65" s="22" t="s">
        <v>105</v>
      </c>
      <c r="K65" s="123">
        <v>1.1200000000000001</v>
      </c>
      <c r="L65" s="32">
        <v>3.42</v>
      </c>
      <c r="M65" s="60" t="s">
        <v>105</v>
      </c>
      <c r="N65" s="45" t="s">
        <v>105</v>
      </c>
      <c r="O65" s="22" t="s">
        <v>105</v>
      </c>
      <c r="P65" s="22">
        <v>0.66100000000000003</v>
      </c>
      <c r="Q65" s="22" t="s">
        <v>105</v>
      </c>
      <c r="R65" s="42">
        <v>0.48899999999999999</v>
      </c>
      <c r="S65" s="64" t="s">
        <v>105</v>
      </c>
      <c r="T65" s="136">
        <v>0.374</v>
      </c>
      <c r="U65" s="22" t="s">
        <v>105</v>
      </c>
      <c r="V65" s="32">
        <v>1.51</v>
      </c>
      <c r="W65" s="147">
        <v>0.161</v>
      </c>
      <c r="X65" s="64" t="s">
        <v>105</v>
      </c>
      <c r="Y65" s="32" t="s">
        <v>105</v>
      </c>
      <c r="Z65" s="32" t="s">
        <v>105</v>
      </c>
      <c r="AA65" s="136">
        <v>0.33300000000000002</v>
      </c>
      <c r="AB65" s="42" t="s">
        <v>105</v>
      </c>
      <c r="AC65" s="129">
        <v>0.64200000000000002</v>
      </c>
      <c r="AD65" s="22" t="s">
        <v>105</v>
      </c>
      <c r="AE65" s="32" t="s">
        <v>105</v>
      </c>
      <c r="AF65" s="32" t="s">
        <v>105</v>
      </c>
      <c r="AG65" s="60">
        <v>5.54</v>
      </c>
      <c r="AH65" s="64" t="s">
        <v>105</v>
      </c>
      <c r="AI65" s="123">
        <v>1.22</v>
      </c>
      <c r="AJ65" s="136">
        <v>0.95399999999999996</v>
      </c>
      <c r="AK65" s="32" t="s">
        <v>105</v>
      </c>
      <c r="AL65" s="42" t="s">
        <v>105</v>
      </c>
      <c r="AM65" s="129">
        <v>0.31</v>
      </c>
      <c r="AN65" s="32" t="s">
        <v>105</v>
      </c>
      <c r="AO65" s="32">
        <v>2.2400000000000002</v>
      </c>
      <c r="AP65" s="32">
        <v>2.86</v>
      </c>
      <c r="AQ65" s="60" t="s">
        <v>105</v>
      </c>
      <c r="AR65" s="45" t="s">
        <v>105</v>
      </c>
      <c r="AS65" s="32">
        <v>4.17</v>
      </c>
      <c r="AT65" s="136">
        <v>0.32400000000000001</v>
      </c>
      <c r="AU65" s="32" t="s">
        <v>105</v>
      </c>
      <c r="AV65" s="147">
        <v>0.21199999999999999</v>
      </c>
      <c r="AW65" s="72" t="s">
        <v>105</v>
      </c>
      <c r="AX65" s="32">
        <v>1.55</v>
      </c>
      <c r="AY65" s="32">
        <v>4.6500000000000004</v>
      </c>
      <c r="AZ65" s="22" t="s">
        <v>105</v>
      </c>
      <c r="BA65" s="60">
        <v>2.76</v>
      </c>
      <c r="BB65" s="129">
        <v>0.57799999999999996</v>
      </c>
      <c r="BC65" s="32">
        <v>1.1100000000000001</v>
      </c>
      <c r="BD65" s="22">
        <v>0.83899999999999997</v>
      </c>
      <c r="BE65" s="123">
        <v>8.68</v>
      </c>
      <c r="BF65" s="42">
        <v>0.19800000000000001</v>
      </c>
      <c r="BG65" s="64">
        <v>3.72</v>
      </c>
      <c r="BH65" s="22">
        <v>0.751</v>
      </c>
      <c r="BI65" s="123">
        <v>1.1599999999999999</v>
      </c>
      <c r="BJ65" s="22">
        <v>5.2999999999999999E-2</v>
      </c>
      <c r="BK65" s="42">
        <v>0.29599999999999999</v>
      </c>
      <c r="BL65" s="64">
        <v>3.17</v>
      </c>
      <c r="BM65" s="60">
        <v>4.37</v>
      </c>
      <c r="BN65" s="167">
        <f t="shared" si="22"/>
        <v>1.8020707070707067</v>
      </c>
      <c r="BO65" s="167">
        <f t="shared" si="12"/>
        <v>8.68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65"/>
      <c r="B66" s="8"/>
      <c r="C66" s="12" t="s">
        <v>14</v>
      </c>
      <c r="D66" s="73" t="s">
        <v>105</v>
      </c>
      <c r="E66" s="47" t="s">
        <v>105</v>
      </c>
      <c r="F66" s="138">
        <v>0.78600000000000003</v>
      </c>
      <c r="G66" s="39" t="s">
        <v>105</v>
      </c>
      <c r="H66" s="143">
        <v>0.67300000000000004</v>
      </c>
      <c r="I66" s="44" t="s">
        <v>105</v>
      </c>
      <c r="J66" s="117">
        <v>2.0699999999999998</v>
      </c>
      <c r="K66" s="39" t="s">
        <v>105</v>
      </c>
      <c r="L66" s="47">
        <v>1.06</v>
      </c>
      <c r="M66" s="76" t="s">
        <v>105</v>
      </c>
      <c r="N66" s="44" t="s">
        <v>105</v>
      </c>
      <c r="O66" s="39" t="s">
        <v>105</v>
      </c>
      <c r="P66" s="39" t="s">
        <v>105</v>
      </c>
      <c r="Q66" s="138">
        <v>5.8999999999999997E-2</v>
      </c>
      <c r="R66" s="59" t="s">
        <v>105</v>
      </c>
      <c r="S66" s="61" t="s">
        <v>105</v>
      </c>
      <c r="T66" s="47" t="s">
        <v>105</v>
      </c>
      <c r="U66" s="138">
        <v>0.34899999999999998</v>
      </c>
      <c r="V66" s="47" t="s">
        <v>105</v>
      </c>
      <c r="W66" s="59" t="s">
        <v>105</v>
      </c>
      <c r="X66" s="44" t="s">
        <v>105</v>
      </c>
      <c r="Y66" s="47" t="s">
        <v>105</v>
      </c>
      <c r="Z66" s="138">
        <v>0.46600000000000003</v>
      </c>
      <c r="AA66" s="47" t="s">
        <v>105</v>
      </c>
      <c r="AB66" s="59" t="s">
        <v>105</v>
      </c>
      <c r="AC66" s="61" t="s">
        <v>105</v>
      </c>
      <c r="AD66" s="47" t="s">
        <v>105</v>
      </c>
      <c r="AE66" s="39" t="s">
        <v>105</v>
      </c>
      <c r="AF66" s="47" t="s">
        <v>105</v>
      </c>
      <c r="AG66" s="40">
        <v>0.95599999999999996</v>
      </c>
      <c r="AH66" s="44" t="s">
        <v>105</v>
      </c>
      <c r="AI66" s="47" t="s">
        <v>105</v>
      </c>
      <c r="AJ66" s="47">
        <v>5.47</v>
      </c>
      <c r="AK66" s="47" t="s">
        <v>105</v>
      </c>
      <c r="AL66" s="59" t="s">
        <v>105</v>
      </c>
      <c r="AM66" s="61">
        <v>5.38</v>
      </c>
      <c r="AN66" s="47">
        <v>3.41</v>
      </c>
      <c r="AO66" s="47">
        <v>4.58</v>
      </c>
      <c r="AP66" s="68">
        <v>2.5</v>
      </c>
      <c r="AQ66" s="59" t="s">
        <v>105</v>
      </c>
      <c r="AR66" s="61" t="s">
        <v>105</v>
      </c>
      <c r="AS66" s="47">
        <v>2.2599999999999998</v>
      </c>
      <c r="AT66" s="39" t="s">
        <v>105</v>
      </c>
      <c r="AU66" s="47">
        <v>1.1299999999999999</v>
      </c>
      <c r="AV66" s="143">
        <v>0.57199999999999995</v>
      </c>
      <c r="AW66" s="61">
        <v>2.54</v>
      </c>
      <c r="AX66" s="39">
        <v>0.29799999999999999</v>
      </c>
      <c r="AY66" s="132">
        <v>1.5</v>
      </c>
      <c r="AZ66" s="68">
        <v>1.7</v>
      </c>
      <c r="BA66" s="59">
        <v>3.02</v>
      </c>
      <c r="BB66" s="150">
        <v>0.76600000000000001</v>
      </c>
      <c r="BC66" s="47">
        <v>1.1499999999999999</v>
      </c>
      <c r="BD66" s="117">
        <v>4.4400000000000004</v>
      </c>
      <c r="BE66" s="117">
        <v>5.52</v>
      </c>
      <c r="BF66" s="143">
        <v>5.1999999999999998E-2</v>
      </c>
      <c r="BG66" s="150">
        <v>0.26100000000000001</v>
      </c>
      <c r="BH66" s="39">
        <v>0.86399999999999999</v>
      </c>
      <c r="BI66" s="117">
        <v>1.01</v>
      </c>
      <c r="BJ66" s="39">
        <v>0.41099999999999998</v>
      </c>
      <c r="BK66" s="40">
        <v>0.96899999999999997</v>
      </c>
      <c r="BL66" s="61">
        <v>3.48</v>
      </c>
      <c r="BM66" s="59">
        <v>4.03</v>
      </c>
      <c r="BN66" s="168">
        <f t="shared" si="22"/>
        <v>1.6754946236559145</v>
      </c>
      <c r="BO66" s="168">
        <f t="shared" si="12"/>
        <v>8.61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19</v>
      </c>
      <c r="B67" s="6"/>
      <c r="C67" s="11" t="s">
        <v>10</v>
      </c>
      <c r="D67" s="35" t="s">
        <v>105</v>
      </c>
      <c r="E67" s="36">
        <v>0.69699999999999995</v>
      </c>
      <c r="F67" s="46">
        <v>1.93</v>
      </c>
      <c r="G67" s="36" t="s">
        <v>105</v>
      </c>
      <c r="H67" s="63" t="s">
        <v>105</v>
      </c>
      <c r="I67" s="112">
        <v>1.48</v>
      </c>
      <c r="J67" s="46">
        <v>1.53</v>
      </c>
      <c r="K67" s="46">
        <v>1.1499999999999999</v>
      </c>
      <c r="L67" s="36" t="s">
        <v>105</v>
      </c>
      <c r="M67" s="37" t="s">
        <v>105</v>
      </c>
      <c r="N67" s="43" t="s">
        <v>105</v>
      </c>
      <c r="O67" s="36" t="s">
        <v>105</v>
      </c>
      <c r="P67" s="36" t="s">
        <v>105</v>
      </c>
      <c r="Q67" s="46">
        <v>1.68</v>
      </c>
      <c r="R67" s="37">
        <v>0.39300000000000002</v>
      </c>
      <c r="S67" s="65">
        <v>1.88</v>
      </c>
      <c r="T67" s="36" t="s">
        <v>105</v>
      </c>
      <c r="U67" s="140">
        <v>0.52900000000000003</v>
      </c>
      <c r="V67" s="36" t="s">
        <v>105</v>
      </c>
      <c r="W67" s="37">
        <v>0.13800000000000001</v>
      </c>
      <c r="X67" s="43" t="s">
        <v>105</v>
      </c>
      <c r="Y67" s="36" t="s">
        <v>105</v>
      </c>
      <c r="Z67" s="104">
        <v>1.25</v>
      </c>
      <c r="AA67" s="140">
        <v>0.23300000000000001</v>
      </c>
      <c r="AB67" s="105">
        <v>1.56</v>
      </c>
      <c r="AC67" s="43">
        <v>0.11899999999999999</v>
      </c>
      <c r="AD67" s="36">
        <v>0.39900000000000002</v>
      </c>
      <c r="AE67" s="36" t="s">
        <v>105</v>
      </c>
      <c r="AF67" s="46">
        <v>4.8499999999999996</v>
      </c>
      <c r="AG67" s="37" t="s">
        <v>105</v>
      </c>
      <c r="AH67" s="43" t="s">
        <v>105</v>
      </c>
      <c r="AI67" s="46">
        <v>8.61</v>
      </c>
      <c r="AJ67" s="36" t="s">
        <v>105</v>
      </c>
      <c r="AK67" s="36" t="s">
        <v>105</v>
      </c>
      <c r="AL67" s="37" t="s">
        <v>105</v>
      </c>
      <c r="AM67" s="43" t="s">
        <v>105</v>
      </c>
      <c r="AN67" s="104">
        <v>2.09</v>
      </c>
      <c r="AO67" s="36" t="s">
        <v>105</v>
      </c>
      <c r="AP67" s="36" t="s">
        <v>105</v>
      </c>
      <c r="AQ67" s="37" t="s">
        <v>105</v>
      </c>
      <c r="AR67" s="112">
        <v>3.16</v>
      </c>
      <c r="AS67" s="36" t="s">
        <v>105</v>
      </c>
      <c r="AT67" s="36" t="s">
        <v>105</v>
      </c>
      <c r="AU67" s="104">
        <v>2.31</v>
      </c>
      <c r="AV67" s="105">
        <v>2.4500000000000002</v>
      </c>
      <c r="AW67" s="112">
        <v>2.08</v>
      </c>
      <c r="AX67" s="46" t="s">
        <v>105</v>
      </c>
      <c r="AY67" s="36" t="s">
        <v>105</v>
      </c>
      <c r="AZ67" s="36" t="s">
        <v>105</v>
      </c>
      <c r="BA67" s="37">
        <v>0.89</v>
      </c>
      <c r="BB67" s="43">
        <v>0.14299999999999999</v>
      </c>
      <c r="BC67" s="46" t="s">
        <v>105</v>
      </c>
      <c r="BD67" s="36" t="s">
        <v>105</v>
      </c>
      <c r="BE67" s="140">
        <v>0.84299999999999997</v>
      </c>
      <c r="BF67" s="134">
        <v>0.32500000000000001</v>
      </c>
      <c r="BG67" s="65">
        <v>1.67</v>
      </c>
      <c r="BH67" s="140">
        <v>3.6999999999999998E-2</v>
      </c>
      <c r="BI67" s="46">
        <v>2.78</v>
      </c>
      <c r="BJ67" s="46" t="s">
        <v>105</v>
      </c>
      <c r="BK67" s="63" t="s">
        <v>105</v>
      </c>
      <c r="BL67" s="43" t="s">
        <v>105</v>
      </c>
      <c r="BM67" s="37" t="s">
        <v>105</v>
      </c>
      <c r="BN67" s="166">
        <f t="shared" ref="BN67:BN69" si="23">IFERROR(AVERAGE(D67:BM69),0)</f>
        <v>1.9700333333333342</v>
      </c>
      <c r="BO67" s="166">
        <f t="shared" si="12"/>
        <v>9.0500000000000007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65" t="s">
        <v>11</v>
      </c>
      <c r="B68" s="7" t="s">
        <v>37</v>
      </c>
      <c r="C68" s="11" t="s">
        <v>8</v>
      </c>
      <c r="D68" s="74">
        <v>2.15</v>
      </c>
      <c r="E68" s="32">
        <v>4.18</v>
      </c>
      <c r="F68" s="22" t="s">
        <v>105</v>
      </c>
      <c r="G68" s="136">
        <v>0.51900000000000002</v>
      </c>
      <c r="H68" s="147">
        <v>0.126</v>
      </c>
      <c r="I68" s="45">
        <v>0.61399999999999999</v>
      </c>
      <c r="J68" s="136">
        <v>0.33900000000000002</v>
      </c>
      <c r="K68" s="22" t="s">
        <v>105</v>
      </c>
      <c r="L68" s="22">
        <v>8.6999999999999994E-2</v>
      </c>
      <c r="M68" s="115">
        <v>2.21</v>
      </c>
      <c r="N68" s="64">
        <v>1.99</v>
      </c>
      <c r="O68" s="32">
        <v>1.33</v>
      </c>
      <c r="P68" s="32" t="s">
        <v>105</v>
      </c>
      <c r="Q68" s="32">
        <v>1.35</v>
      </c>
      <c r="R68" s="71" t="s">
        <v>105</v>
      </c>
      <c r="S68" s="64" t="s">
        <v>105</v>
      </c>
      <c r="T68" s="32">
        <v>2.65</v>
      </c>
      <c r="U68" s="34" t="s">
        <v>105</v>
      </c>
      <c r="V68" s="32" t="s">
        <v>105</v>
      </c>
      <c r="W68" s="42" t="s">
        <v>105</v>
      </c>
      <c r="X68" s="45" t="s">
        <v>105</v>
      </c>
      <c r="Y68" s="22" t="s">
        <v>105</v>
      </c>
      <c r="Z68" s="22" t="s">
        <v>105</v>
      </c>
      <c r="AA68" s="32" t="s">
        <v>105</v>
      </c>
      <c r="AB68" s="115">
        <v>1.53</v>
      </c>
      <c r="AC68" s="45" t="s">
        <v>105</v>
      </c>
      <c r="AD68" s="22" t="s">
        <v>105</v>
      </c>
      <c r="AE68" s="33" t="s">
        <v>105</v>
      </c>
      <c r="AF68" s="32" t="s">
        <v>105</v>
      </c>
      <c r="AG68" s="60" t="s">
        <v>105</v>
      </c>
      <c r="AH68" s="45" t="s">
        <v>105</v>
      </c>
      <c r="AI68" s="22" t="s">
        <v>105</v>
      </c>
      <c r="AJ68" s="22" t="s">
        <v>105</v>
      </c>
      <c r="AK68" s="22" t="s">
        <v>105</v>
      </c>
      <c r="AL68" s="42" t="s">
        <v>105</v>
      </c>
      <c r="AM68" s="64" t="s">
        <v>105</v>
      </c>
      <c r="AN68" s="32">
        <v>1.51</v>
      </c>
      <c r="AO68" s="22">
        <v>0.96499999999999997</v>
      </c>
      <c r="AP68" s="22" t="s">
        <v>105</v>
      </c>
      <c r="AQ68" s="147">
        <v>0.78700000000000003</v>
      </c>
      <c r="AR68" s="64">
        <v>1.08</v>
      </c>
      <c r="AS68" s="22" t="s">
        <v>105</v>
      </c>
      <c r="AT68" s="22">
        <v>2.1999999999999999E-2</v>
      </c>
      <c r="AU68" s="32" t="s">
        <v>105</v>
      </c>
      <c r="AV68" s="42" t="s">
        <v>105</v>
      </c>
      <c r="AW68" s="64" t="s">
        <v>105</v>
      </c>
      <c r="AX68" s="22" t="s">
        <v>105</v>
      </c>
      <c r="AY68" s="22" t="s">
        <v>105</v>
      </c>
      <c r="AZ68" s="136">
        <v>0.80400000000000005</v>
      </c>
      <c r="BA68" s="60">
        <v>1.32</v>
      </c>
      <c r="BB68" s="129">
        <v>0.76300000000000001</v>
      </c>
      <c r="BC68" s="32">
        <v>3.47</v>
      </c>
      <c r="BD68" s="32">
        <v>2.58</v>
      </c>
      <c r="BE68" s="32">
        <v>5.1100000000000003</v>
      </c>
      <c r="BF68" s="147">
        <v>0.76</v>
      </c>
      <c r="BG68" s="64">
        <v>2.23</v>
      </c>
      <c r="BH68" s="136">
        <v>0.75</v>
      </c>
      <c r="BI68" s="136">
        <v>0.27200000000000002</v>
      </c>
      <c r="BJ68" s="136">
        <v>0.96399999999999997</v>
      </c>
      <c r="BK68" s="42">
        <v>0.60099999999999998</v>
      </c>
      <c r="BL68" s="64">
        <v>1.82</v>
      </c>
      <c r="BM68" s="60" t="s">
        <v>105</v>
      </c>
      <c r="BN68" s="167">
        <f t="shared" si="23"/>
        <v>1.8934851485148521</v>
      </c>
      <c r="BO68" s="167">
        <f t="shared" ref="BO68:BO99" si="24">MAX(D68:BM70)</f>
        <v>9.0500000000000007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65"/>
      <c r="B69" s="8"/>
      <c r="C69" s="12" t="s">
        <v>14</v>
      </c>
      <c r="D69" s="73" t="s">
        <v>105</v>
      </c>
      <c r="E69" s="39" t="s">
        <v>105</v>
      </c>
      <c r="F69" s="39" t="s">
        <v>105</v>
      </c>
      <c r="G69" s="47">
        <v>1.07</v>
      </c>
      <c r="H69" s="59" t="s">
        <v>105</v>
      </c>
      <c r="I69" s="61">
        <v>1.72</v>
      </c>
      <c r="J69" s="138">
        <v>0.999</v>
      </c>
      <c r="K69" s="39">
        <v>8.8999999999999996E-2</v>
      </c>
      <c r="L69" s="39" t="s">
        <v>105</v>
      </c>
      <c r="M69" s="59">
        <v>1.59</v>
      </c>
      <c r="N69" s="44" t="s">
        <v>105</v>
      </c>
      <c r="O69" s="47" t="s">
        <v>105</v>
      </c>
      <c r="P69" s="47" t="s">
        <v>105</v>
      </c>
      <c r="Q69" s="68" t="s">
        <v>105</v>
      </c>
      <c r="R69" s="59" t="s">
        <v>105</v>
      </c>
      <c r="S69" s="61" t="s">
        <v>105</v>
      </c>
      <c r="T69" s="68">
        <v>2.9</v>
      </c>
      <c r="U69" s="47">
        <v>1.82</v>
      </c>
      <c r="V69" s="47" t="s">
        <v>105</v>
      </c>
      <c r="W69" s="40" t="s">
        <v>105</v>
      </c>
      <c r="X69" s="150">
        <v>0.74299999999999999</v>
      </c>
      <c r="Y69" s="47" t="s">
        <v>105</v>
      </c>
      <c r="Z69" s="39" t="s">
        <v>105</v>
      </c>
      <c r="AA69" s="47" t="s">
        <v>105</v>
      </c>
      <c r="AB69" s="40" t="s">
        <v>105</v>
      </c>
      <c r="AC69" s="61">
        <v>1.74</v>
      </c>
      <c r="AD69" s="47" t="s">
        <v>105</v>
      </c>
      <c r="AE69" s="68" t="s">
        <v>105</v>
      </c>
      <c r="AF69" s="68" t="s">
        <v>105</v>
      </c>
      <c r="AG69" s="40" t="s">
        <v>105</v>
      </c>
      <c r="AH69" s="109">
        <v>3.95</v>
      </c>
      <c r="AI69" s="47" t="s">
        <v>105</v>
      </c>
      <c r="AJ69" s="47" t="s">
        <v>105</v>
      </c>
      <c r="AK69" s="138">
        <v>0.48399999999999999</v>
      </c>
      <c r="AL69" s="143">
        <v>2.1999999999999999E-2</v>
      </c>
      <c r="AM69" s="61" t="s">
        <v>105</v>
      </c>
      <c r="AN69" s="47" t="s">
        <v>105</v>
      </c>
      <c r="AO69" s="47" t="s">
        <v>105</v>
      </c>
      <c r="AP69" s="138">
        <v>0.314</v>
      </c>
      <c r="AQ69" s="40" t="s">
        <v>105</v>
      </c>
      <c r="AR69" s="150">
        <v>0.32500000000000001</v>
      </c>
      <c r="AS69" s="47">
        <v>3.13</v>
      </c>
      <c r="AT69" s="47">
        <v>3.58</v>
      </c>
      <c r="AU69" s="47">
        <v>1.18</v>
      </c>
      <c r="AV69" s="59">
        <v>9.0500000000000007</v>
      </c>
      <c r="AW69" s="61">
        <v>3.85</v>
      </c>
      <c r="AX69" s="47">
        <v>5.33</v>
      </c>
      <c r="AY69" s="47">
        <v>8.4600000000000009</v>
      </c>
      <c r="AZ69" s="47">
        <v>5.68</v>
      </c>
      <c r="BA69" s="59">
        <v>5.62</v>
      </c>
      <c r="BB69" s="61">
        <v>1.74</v>
      </c>
      <c r="BC69" s="47">
        <v>3.84</v>
      </c>
      <c r="BD69" s="47">
        <v>2.5299999999999998</v>
      </c>
      <c r="BE69" s="47" t="s">
        <v>105</v>
      </c>
      <c r="BF69" s="59">
        <v>5.08</v>
      </c>
      <c r="BG69" s="61">
        <v>5.55</v>
      </c>
      <c r="BH69" s="47">
        <v>1.88</v>
      </c>
      <c r="BI69" s="138">
        <v>0.94799999999999995</v>
      </c>
      <c r="BJ69" s="47" t="s">
        <v>105</v>
      </c>
      <c r="BK69" s="40" t="s">
        <v>105</v>
      </c>
      <c r="BL69" s="61" t="s">
        <v>105</v>
      </c>
      <c r="BM69" s="59" t="s">
        <v>105</v>
      </c>
      <c r="BN69" s="168">
        <f t="shared" si="23"/>
        <v>2.0990095238095234</v>
      </c>
      <c r="BO69" s="168">
        <f t="shared" si="24"/>
        <v>9.5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19</v>
      </c>
      <c r="B70" s="6"/>
      <c r="C70" s="11" t="s">
        <v>10</v>
      </c>
      <c r="D70" s="35" t="s">
        <v>105</v>
      </c>
      <c r="E70" s="46" t="s">
        <v>105</v>
      </c>
      <c r="F70" s="140">
        <v>8.5000000000000006E-2</v>
      </c>
      <c r="G70" s="70" t="s">
        <v>105</v>
      </c>
      <c r="H70" s="63">
        <v>1.1299999999999999</v>
      </c>
      <c r="I70" s="79" t="s">
        <v>105</v>
      </c>
      <c r="J70" s="46">
        <v>3.58</v>
      </c>
      <c r="K70" s="46">
        <v>1.37</v>
      </c>
      <c r="L70" s="140">
        <v>0.89500000000000002</v>
      </c>
      <c r="M70" s="134">
        <v>0.56799999999999995</v>
      </c>
      <c r="N70" s="139">
        <v>0.108</v>
      </c>
      <c r="O70" s="67">
        <v>2.5</v>
      </c>
      <c r="P70" s="140">
        <v>0.876</v>
      </c>
      <c r="Q70" s="46">
        <v>1.75</v>
      </c>
      <c r="R70" s="134">
        <v>0.24</v>
      </c>
      <c r="S70" s="75">
        <v>1.7</v>
      </c>
      <c r="T70" s="46">
        <v>2.54</v>
      </c>
      <c r="U70" s="46">
        <v>1.66</v>
      </c>
      <c r="V70" s="36" t="s">
        <v>105</v>
      </c>
      <c r="W70" s="63" t="s">
        <v>105</v>
      </c>
      <c r="X70" s="65" t="s">
        <v>105</v>
      </c>
      <c r="Y70" s="46" t="s">
        <v>105</v>
      </c>
      <c r="Z70" s="104">
        <v>2.2799999999999998</v>
      </c>
      <c r="AA70" s="36">
        <v>0.81399999999999995</v>
      </c>
      <c r="AB70" s="37">
        <v>0.78</v>
      </c>
      <c r="AC70" s="43" t="s">
        <v>105</v>
      </c>
      <c r="AD70" s="36">
        <v>0.49</v>
      </c>
      <c r="AE70" s="36" t="s">
        <v>105</v>
      </c>
      <c r="AF70" s="46">
        <v>1.74</v>
      </c>
      <c r="AG70" s="37" t="s">
        <v>105</v>
      </c>
      <c r="AH70" s="43">
        <v>0.317</v>
      </c>
      <c r="AI70" s="36" t="s">
        <v>105</v>
      </c>
      <c r="AJ70" s="36">
        <v>6.0000000000000001E-3</v>
      </c>
      <c r="AK70" s="36" t="s">
        <v>105</v>
      </c>
      <c r="AL70" s="63">
        <v>1.45</v>
      </c>
      <c r="AM70" s="43">
        <v>0.97199999999999998</v>
      </c>
      <c r="AN70" s="36" t="s">
        <v>105</v>
      </c>
      <c r="AO70" s="140">
        <v>0.42799999999999999</v>
      </c>
      <c r="AP70" s="36">
        <v>0.36199999999999999</v>
      </c>
      <c r="AQ70" s="37" t="s">
        <v>105</v>
      </c>
      <c r="AR70" s="43">
        <v>0.34899999999999998</v>
      </c>
      <c r="AS70" s="36">
        <v>0.76</v>
      </c>
      <c r="AT70" s="36" t="s">
        <v>105</v>
      </c>
      <c r="AU70" s="36" t="s">
        <v>105</v>
      </c>
      <c r="AV70" s="37" t="s">
        <v>105</v>
      </c>
      <c r="AW70" s="112">
        <v>1.45</v>
      </c>
      <c r="AX70" s="36" t="s">
        <v>105</v>
      </c>
      <c r="AY70" s="36">
        <v>4.3999999999999997E-2</v>
      </c>
      <c r="AZ70" s="36" t="s">
        <v>105</v>
      </c>
      <c r="BA70" s="37">
        <v>0.98899999999999999</v>
      </c>
      <c r="BB70" s="65">
        <v>1.75</v>
      </c>
      <c r="BC70" s="46">
        <v>3.09</v>
      </c>
      <c r="BD70" s="46">
        <v>3.01</v>
      </c>
      <c r="BE70" s="46">
        <v>5.25</v>
      </c>
      <c r="BF70" s="134">
        <v>0.02</v>
      </c>
      <c r="BG70" s="65" t="s">
        <v>105</v>
      </c>
      <c r="BH70" s="46">
        <v>5.43</v>
      </c>
      <c r="BI70" s="46">
        <v>2.69</v>
      </c>
      <c r="BJ70" s="104">
        <v>1.95</v>
      </c>
      <c r="BK70" s="63">
        <v>4.74</v>
      </c>
      <c r="BL70" s="139">
        <v>0.98199999999999998</v>
      </c>
      <c r="BM70" s="37" t="s">
        <v>105</v>
      </c>
      <c r="BN70" s="166">
        <f t="shared" ref="BN70:BN72" si="25">IFERROR(AVERAGE(D70:BM72),0)</f>
        <v>2.4327927927927937</v>
      </c>
      <c r="BO70" s="166">
        <f t="shared" si="24"/>
        <v>12.6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65" t="s">
        <v>11</v>
      </c>
      <c r="B71" s="7" t="s">
        <v>38</v>
      </c>
      <c r="C71" s="11" t="s">
        <v>8</v>
      </c>
      <c r="D71" s="74" t="s">
        <v>105</v>
      </c>
      <c r="E71" s="22" t="s">
        <v>105</v>
      </c>
      <c r="F71" s="22" t="s">
        <v>105</v>
      </c>
      <c r="G71" s="136">
        <v>0.3</v>
      </c>
      <c r="H71" s="125">
        <v>1.7</v>
      </c>
      <c r="I71" s="64">
        <v>1.25</v>
      </c>
      <c r="J71" s="136">
        <v>0.75700000000000001</v>
      </c>
      <c r="K71" s="136">
        <v>4.8000000000000001E-2</v>
      </c>
      <c r="L71" s="32">
        <v>1.48</v>
      </c>
      <c r="M71" s="71" t="s">
        <v>105</v>
      </c>
      <c r="N71" s="64" t="s">
        <v>105</v>
      </c>
      <c r="O71" s="123">
        <v>1.63</v>
      </c>
      <c r="P71" s="32">
        <v>1.34</v>
      </c>
      <c r="Q71" s="22">
        <v>0.80900000000000005</v>
      </c>
      <c r="R71" s="147">
        <v>0.77800000000000002</v>
      </c>
      <c r="S71" s="64">
        <v>1.04</v>
      </c>
      <c r="T71" s="136">
        <v>0.95</v>
      </c>
      <c r="U71" s="22" t="s">
        <v>105</v>
      </c>
      <c r="V71" s="130">
        <v>1.6</v>
      </c>
      <c r="W71" s="147">
        <v>0.36</v>
      </c>
      <c r="X71" s="72" t="s">
        <v>105</v>
      </c>
      <c r="Y71" s="136">
        <v>0.36399999999999999</v>
      </c>
      <c r="Z71" s="22" t="s">
        <v>105</v>
      </c>
      <c r="AA71" s="22" t="s">
        <v>105</v>
      </c>
      <c r="AB71" s="115">
        <v>2.06</v>
      </c>
      <c r="AC71" s="45" t="s">
        <v>105</v>
      </c>
      <c r="AD71" s="32" t="s">
        <v>105</v>
      </c>
      <c r="AE71" s="22" t="s">
        <v>105</v>
      </c>
      <c r="AF71" s="123">
        <v>1.49</v>
      </c>
      <c r="AG71" s="42" t="s">
        <v>105</v>
      </c>
      <c r="AH71" s="111">
        <v>1.74</v>
      </c>
      <c r="AI71" s="32" t="s">
        <v>105</v>
      </c>
      <c r="AJ71" s="22" t="s">
        <v>105</v>
      </c>
      <c r="AK71" s="22" t="s">
        <v>105</v>
      </c>
      <c r="AL71" s="60" t="s">
        <v>105</v>
      </c>
      <c r="AM71" s="45" t="s">
        <v>105</v>
      </c>
      <c r="AN71" s="22" t="s">
        <v>105</v>
      </c>
      <c r="AO71" s="32">
        <v>1.95</v>
      </c>
      <c r="AP71" s="32">
        <v>3.06</v>
      </c>
      <c r="AQ71" s="60">
        <v>2.2200000000000002</v>
      </c>
      <c r="AR71" s="64" t="s">
        <v>105</v>
      </c>
      <c r="AS71" s="32" t="s">
        <v>105</v>
      </c>
      <c r="AT71" s="32" t="s">
        <v>105</v>
      </c>
      <c r="AU71" s="22" t="s">
        <v>105</v>
      </c>
      <c r="AV71" s="60">
        <v>4.7699999999999996</v>
      </c>
      <c r="AW71" s="45" t="s">
        <v>105</v>
      </c>
      <c r="AX71" s="123">
        <v>1.71</v>
      </c>
      <c r="AY71" s="32">
        <v>2.62</v>
      </c>
      <c r="AZ71" s="32">
        <v>4.79</v>
      </c>
      <c r="BA71" s="60" t="s">
        <v>105</v>
      </c>
      <c r="BB71" s="64">
        <v>4.43</v>
      </c>
      <c r="BC71" s="32" t="s">
        <v>105</v>
      </c>
      <c r="BD71" s="32">
        <v>3.16</v>
      </c>
      <c r="BE71" s="32" t="s">
        <v>105</v>
      </c>
      <c r="BF71" s="71">
        <v>4.0999999999999996</v>
      </c>
      <c r="BG71" s="72">
        <v>9.5</v>
      </c>
      <c r="BH71" s="32">
        <v>1.17</v>
      </c>
      <c r="BI71" s="34">
        <v>4.9000000000000004</v>
      </c>
      <c r="BJ71" s="123">
        <v>1.75</v>
      </c>
      <c r="BK71" s="60">
        <v>3.27</v>
      </c>
      <c r="BL71" s="129">
        <v>0.65200000000000002</v>
      </c>
      <c r="BM71" s="147">
        <v>0.28899999999999998</v>
      </c>
      <c r="BN71" s="167">
        <f t="shared" si="25"/>
        <v>2.9065890410958901</v>
      </c>
      <c r="BO71" s="167">
        <f t="shared" si="24"/>
        <v>12.6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65"/>
      <c r="B72" s="8"/>
      <c r="C72" s="12" t="s">
        <v>14</v>
      </c>
      <c r="D72" s="73" t="s">
        <v>105</v>
      </c>
      <c r="E72" s="68" t="s">
        <v>105</v>
      </c>
      <c r="F72" s="39" t="s">
        <v>105</v>
      </c>
      <c r="G72" s="117">
        <v>2.29</v>
      </c>
      <c r="H72" s="59">
        <v>1.73</v>
      </c>
      <c r="I72" s="61">
        <v>1.68</v>
      </c>
      <c r="J72" s="68">
        <v>1.7</v>
      </c>
      <c r="K72" s="47">
        <v>1.99</v>
      </c>
      <c r="L72" s="47">
        <v>1.75</v>
      </c>
      <c r="M72" s="59">
        <v>1.99</v>
      </c>
      <c r="N72" s="61">
        <v>1.19</v>
      </c>
      <c r="O72" s="47" t="s">
        <v>105</v>
      </c>
      <c r="P72" s="47" t="s">
        <v>105</v>
      </c>
      <c r="Q72" s="47">
        <v>2.2799999999999998</v>
      </c>
      <c r="R72" s="40" t="s">
        <v>105</v>
      </c>
      <c r="S72" s="150">
        <v>0.78500000000000003</v>
      </c>
      <c r="T72" s="47">
        <v>1.32</v>
      </c>
      <c r="U72" s="47">
        <v>2.0499999999999998</v>
      </c>
      <c r="V72" s="47">
        <v>1.87</v>
      </c>
      <c r="W72" s="59" t="s">
        <v>105</v>
      </c>
      <c r="X72" s="44" t="s">
        <v>105</v>
      </c>
      <c r="Y72" s="138">
        <v>0.32700000000000001</v>
      </c>
      <c r="Z72" s="39" t="s">
        <v>105</v>
      </c>
      <c r="AA72" s="68">
        <v>2.9</v>
      </c>
      <c r="AB72" s="59">
        <v>1.46</v>
      </c>
      <c r="AC72" s="44" t="s">
        <v>105</v>
      </c>
      <c r="AD72" s="39" t="s">
        <v>105</v>
      </c>
      <c r="AE72" s="39">
        <v>0.17899999999999999</v>
      </c>
      <c r="AF72" s="47">
        <v>4.1100000000000003</v>
      </c>
      <c r="AG72" s="76" t="s">
        <v>105</v>
      </c>
      <c r="AH72" s="109">
        <v>1.57</v>
      </c>
      <c r="AI72" s="39" t="s">
        <v>105</v>
      </c>
      <c r="AJ72" s="117">
        <v>2.1800000000000002</v>
      </c>
      <c r="AK72" s="39" t="s">
        <v>105</v>
      </c>
      <c r="AL72" s="59" t="s">
        <v>105</v>
      </c>
      <c r="AM72" s="44" t="s">
        <v>105</v>
      </c>
      <c r="AN72" s="39" t="s">
        <v>105</v>
      </c>
      <c r="AO72" s="39">
        <v>0.622</v>
      </c>
      <c r="AP72" s="39">
        <v>0.28499999999999998</v>
      </c>
      <c r="AQ72" s="40" t="s">
        <v>105</v>
      </c>
      <c r="AR72" s="61">
        <v>6.94</v>
      </c>
      <c r="AS72" s="47" t="s">
        <v>105</v>
      </c>
      <c r="AT72" s="47">
        <v>7.21</v>
      </c>
      <c r="AU72" s="47">
        <v>4.7300000000000004</v>
      </c>
      <c r="AV72" s="59" t="s">
        <v>105</v>
      </c>
      <c r="AW72" s="61">
        <v>7.38</v>
      </c>
      <c r="AX72" s="39" t="s">
        <v>105</v>
      </c>
      <c r="AY72" s="47" t="s">
        <v>105</v>
      </c>
      <c r="AZ72" s="47" t="s">
        <v>105</v>
      </c>
      <c r="BA72" s="59" t="s">
        <v>105</v>
      </c>
      <c r="BB72" s="80">
        <v>6.9</v>
      </c>
      <c r="BC72" s="47">
        <v>4.46</v>
      </c>
      <c r="BD72" s="47">
        <v>8.2899999999999991</v>
      </c>
      <c r="BE72" s="47">
        <v>8.3699999999999992</v>
      </c>
      <c r="BF72" s="66">
        <v>7.9</v>
      </c>
      <c r="BG72" s="154">
        <v>12.6</v>
      </c>
      <c r="BH72" s="47">
        <v>6.72</v>
      </c>
      <c r="BI72" s="47">
        <v>4.53</v>
      </c>
      <c r="BJ72" s="39" t="s">
        <v>105</v>
      </c>
      <c r="BK72" s="59">
        <v>1.47</v>
      </c>
      <c r="BL72" s="61" t="s">
        <v>105</v>
      </c>
      <c r="BM72" s="108">
        <v>11.1</v>
      </c>
      <c r="BN72" s="168">
        <f t="shared" si="25"/>
        <v>3.4479767441860458</v>
      </c>
      <c r="BO72" s="168">
        <f t="shared" si="24"/>
        <v>12.6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19</v>
      </c>
      <c r="B73" s="6" t="s">
        <v>9</v>
      </c>
      <c r="C73" s="11" t="s">
        <v>10</v>
      </c>
      <c r="D73" s="35" t="s">
        <v>105</v>
      </c>
      <c r="E73" s="36" t="s">
        <v>105</v>
      </c>
      <c r="F73" s="36" t="s">
        <v>105</v>
      </c>
      <c r="G73" s="36" t="s">
        <v>105</v>
      </c>
      <c r="H73" s="37" t="s">
        <v>105</v>
      </c>
      <c r="I73" s="43" t="s">
        <v>105</v>
      </c>
      <c r="J73" s="36" t="s">
        <v>105</v>
      </c>
      <c r="K73" s="36" t="s">
        <v>105</v>
      </c>
      <c r="L73" s="36" t="s">
        <v>105</v>
      </c>
      <c r="M73" s="37" t="s">
        <v>105</v>
      </c>
      <c r="N73" s="43" t="s">
        <v>105</v>
      </c>
      <c r="O73" s="36" t="s">
        <v>105</v>
      </c>
      <c r="P73" s="36" t="s">
        <v>105</v>
      </c>
      <c r="Q73" s="36" t="s">
        <v>105</v>
      </c>
      <c r="R73" s="37" t="s">
        <v>105</v>
      </c>
      <c r="S73" s="43" t="s">
        <v>105</v>
      </c>
      <c r="T73" s="36" t="s">
        <v>105</v>
      </c>
      <c r="U73" s="36" t="s">
        <v>105</v>
      </c>
      <c r="V73" s="36" t="s">
        <v>105</v>
      </c>
      <c r="W73" s="37" t="s">
        <v>105</v>
      </c>
      <c r="X73" s="43" t="s">
        <v>105</v>
      </c>
      <c r="Y73" s="36" t="s">
        <v>105</v>
      </c>
      <c r="Z73" s="36" t="s">
        <v>105</v>
      </c>
      <c r="AA73" s="36" t="s">
        <v>105</v>
      </c>
      <c r="AB73" s="37" t="s">
        <v>105</v>
      </c>
      <c r="AC73" s="43" t="s">
        <v>105</v>
      </c>
      <c r="AD73" s="36" t="s">
        <v>105</v>
      </c>
      <c r="AE73" s="36" t="s">
        <v>105</v>
      </c>
      <c r="AF73" s="36" t="s">
        <v>105</v>
      </c>
      <c r="AG73" s="37" t="s">
        <v>105</v>
      </c>
      <c r="AH73" s="43">
        <v>0.40600000000000003</v>
      </c>
      <c r="AI73" s="36" t="s">
        <v>105</v>
      </c>
      <c r="AJ73" s="104">
        <v>2.88</v>
      </c>
      <c r="AK73" s="36" t="s">
        <v>105</v>
      </c>
      <c r="AL73" s="37" t="s">
        <v>105</v>
      </c>
      <c r="AM73" s="43" t="s">
        <v>105</v>
      </c>
      <c r="AN73" s="36" t="s">
        <v>105</v>
      </c>
      <c r="AO73" s="36" t="s">
        <v>105</v>
      </c>
      <c r="AP73" s="36" t="s">
        <v>105</v>
      </c>
      <c r="AQ73" s="37" t="s">
        <v>105</v>
      </c>
      <c r="AR73" s="43" t="s">
        <v>105</v>
      </c>
      <c r="AS73" s="36" t="s">
        <v>105</v>
      </c>
      <c r="AT73" s="36" t="s">
        <v>105</v>
      </c>
      <c r="AU73" s="36" t="s">
        <v>105</v>
      </c>
      <c r="AV73" s="37" t="s">
        <v>105</v>
      </c>
      <c r="AW73" s="43" t="s">
        <v>105</v>
      </c>
      <c r="AX73" s="36" t="s">
        <v>105</v>
      </c>
      <c r="AY73" s="36" t="s">
        <v>105</v>
      </c>
      <c r="AZ73" s="36" t="s">
        <v>105</v>
      </c>
      <c r="BA73" s="37" t="s">
        <v>105</v>
      </c>
      <c r="BB73" s="43" t="s">
        <v>105</v>
      </c>
      <c r="BC73" s="36" t="s">
        <v>105</v>
      </c>
      <c r="BD73" s="36" t="s">
        <v>105</v>
      </c>
      <c r="BE73" s="36" t="s">
        <v>105</v>
      </c>
      <c r="BF73" s="37" t="s">
        <v>105</v>
      </c>
      <c r="BG73" s="43" t="s">
        <v>105</v>
      </c>
      <c r="BH73" s="36" t="s">
        <v>105</v>
      </c>
      <c r="BI73" s="36" t="s">
        <v>105</v>
      </c>
      <c r="BJ73" s="36" t="s">
        <v>105</v>
      </c>
      <c r="BK73" s="37" t="s">
        <v>105</v>
      </c>
      <c r="BL73" s="43" t="s">
        <v>105</v>
      </c>
      <c r="BM73" s="37" t="s">
        <v>105</v>
      </c>
      <c r="BN73" s="166">
        <f t="shared" ref="BN73:BN75" si="26">IFERROR(AVERAGE(D73:BM75),0)</f>
        <v>2.2310000000000003</v>
      </c>
      <c r="BO73" s="166">
        <f t="shared" si="24"/>
        <v>4.5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65" t="s">
        <v>11</v>
      </c>
      <c r="B74" s="7" t="s">
        <v>12</v>
      </c>
      <c r="C74" s="11" t="s">
        <v>8</v>
      </c>
      <c r="D74" s="41" t="s">
        <v>105</v>
      </c>
      <c r="E74" s="22" t="s">
        <v>105</v>
      </c>
      <c r="F74" s="22" t="s">
        <v>105</v>
      </c>
      <c r="G74" s="22" t="s">
        <v>105</v>
      </c>
      <c r="H74" s="42" t="s">
        <v>105</v>
      </c>
      <c r="I74" s="45" t="s">
        <v>105</v>
      </c>
      <c r="J74" s="22" t="s">
        <v>105</v>
      </c>
      <c r="K74" s="22" t="s">
        <v>105</v>
      </c>
      <c r="L74" s="22" t="s">
        <v>105</v>
      </c>
      <c r="M74" s="42" t="s">
        <v>105</v>
      </c>
      <c r="N74" s="45" t="s">
        <v>105</v>
      </c>
      <c r="O74" s="22" t="s">
        <v>105</v>
      </c>
      <c r="P74" s="22" t="s">
        <v>105</v>
      </c>
      <c r="Q74" s="22" t="s">
        <v>105</v>
      </c>
      <c r="R74" s="42" t="s">
        <v>105</v>
      </c>
      <c r="S74" s="45" t="s">
        <v>105</v>
      </c>
      <c r="T74" s="22" t="s">
        <v>105</v>
      </c>
      <c r="U74" s="22" t="s">
        <v>105</v>
      </c>
      <c r="V74" s="22" t="s">
        <v>105</v>
      </c>
      <c r="W74" s="42" t="s">
        <v>105</v>
      </c>
      <c r="X74" s="45" t="s">
        <v>105</v>
      </c>
      <c r="Y74" s="22" t="s">
        <v>105</v>
      </c>
      <c r="Z74" s="22" t="s">
        <v>105</v>
      </c>
      <c r="AA74" s="22" t="s">
        <v>105</v>
      </c>
      <c r="AB74" s="42" t="s">
        <v>105</v>
      </c>
      <c r="AC74" s="45" t="s">
        <v>105</v>
      </c>
      <c r="AD74" s="22" t="s">
        <v>105</v>
      </c>
      <c r="AE74" s="22" t="s">
        <v>105</v>
      </c>
      <c r="AF74" s="22" t="s">
        <v>105</v>
      </c>
      <c r="AG74" s="42" t="s">
        <v>105</v>
      </c>
      <c r="AH74" s="111">
        <v>3.24</v>
      </c>
      <c r="AI74" s="32">
        <v>1.03</v>
      </c>
      <c r="AJ74" s="123">
        <v>3.95</v>
      </c>
      <c r="AK74" s="130">
        <v>1.4</v>
      </c>
      <c r="AL74" s="147">
        <v>0.499</v>
      </c>
      <c r="AM74" s="45" t="s">
        <v>105</v>
      </c>
      <c r="AN74" s="22" t="s">
        <v>105</v>
      </c>
      <c r="AO74" s="22" t="s">
        <v>105</v>
      </c>
      <c r="AP74" s="22" t="s">
        <v>105</v>
      </c>
      <c r="AQ74" s="42" t="s">
        <v>105</v>
      </c>
      <c r="AR74" s="45" t="s">
        <v>105</v>
      </c>
      <c r="AS74" s="22" t="s">
        <v>105</v>
      </c>
      <c r="AT74" s="22" t="s">
        <v>105</v>
      </c>
      <c r="AU74" s="22" t="s">
        <v>105</v>
      </c>
      <c r="AV74" s="42" t="s">
        <v>105</v>
      </c>
      <c r="AW74" s="45" t="s">
        <v>105</v>
      </c>
      <c r="AX74" s="22" t="s">
        <v>105</v>
      </c>
      <c r="AY74" s="22" t="s">
        <v>105</v>
      </c>
      <c r="AZ74" s="22" t="s">
        <v>105</v>
      </c>
      <c r="BA74" s="42" t="s">
        <v>105</v>
      </c>
      <c r="BB74" s="45" t="s">
        <v>105</v>
      </c>
      <c r="BC74" s="22" t="s">
        <v>105</v>
      </c>
      <c r="BD74" s="22" t="s">
        <v>105</v>
      </c>
      <c r="BE74" s="22" t="s">
        <v>105</v>
      </c>
      <c r="BF74" s="42" t="s">
        <v>105</v>
      </c>
      <c r="BG74" s="45" t="s">
        <v>105</v>
      </c>
      <c r="BH74" s="22" t="s">
        <v>105</v>
      </c>
      <c r="BI74" s="22" t="s">
        <v>105</v>
      </c>
      <c r="BJ74" s="22" t="s">
        <v>105</v>
      </c>
      <c r="BK74" s="42" t="s">
        <v>105</v>
      </c>
      <c r="BL74" s="45" t="s">
        <v>105</v>
      </c>
      <c r="BM74" s="42" t="s">
        <v>105</v>
      </c>
      <c r="BN74" s="167">
        <f t="shared" si="26"/>
        <v>1.9443333333333337</v>
      </c>
      <c r="BO74" s="167">
        <f t="shared" si="24"/>
        <v>4.5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65"/>
      <c r="B75" s="8" t="s">
        <v>39</v>
      </c>
      <c r="C75" s="12" t="s">
        <v>14</v>
      </c>
      <c r="D75" s="38" t="s">
        <v>105</v>
      </c>
      <c r="E75" s="39" t="s">
        <v>105</v>
      </c>
      <c r="F75" s="39" t="s">
        <v>105</v>
      </c>
      <c r="G75" s="39" t="s">
        <v>105</v>
      </c>
      <c r="H75" s="40" t="s">
        <v>105</v>
      </c>
      <c r="I75" s="44" t="s">
        <v>105</v>
      </c>
      <c r="J75" s="39" t="s">
        <v>105</v>
      </c>
      <c r="K75" s="39" t="s">
        <v>105</v>
      </c>
      <c r="L75" s="39" t="s">
        <v>105</v>
      </c>
      <c r="M75" s="40" t="s">
        <v>105</v>
      </c>
      <c r="N75" s="44" t="s">
        <v>105</v>
      </c>
      <c r="O75" s="39" t="s">
        <v>105</v>
      </c>
      <c r="P75" s="39" t="s">
        <v>105</v>
      </c>
      <c r="Q75" s="39" t="s">
        <v>105</v>
      </c>
      <c r="R75" s="40" t="s">
        <v>105</v>
      </c>
      <c r="S75" s="44" t="s">
        <v>105</v>
      </c>
      <c r="T75" s="39" t="s">
        <v>105</v>
      </c>
      <c r="U75" s="39" t="s">
        <v>105</v>
      </c>
      <c r="V75" s="39" t="s">
        <v>105</v>
      </c>
      <c r="W75" s="40" t="s">
        <v>105</v>
      </c>
      <c r="X75" s="44" t="s">
        <v>105</v>
      </c>
      <c r="Y75" s="39" t="s">
        <v>105</v>
      </c>
      <c r="Z75" s="39" t="s">
        <v>105</v>
      </c>
      <c r="AA75" s="39" t="s">
        <v>105</v>
      </c>
      <c r="AB75" s="40" t="s">
        <v>105</v>
      </c>
      <c r="AC75" s="44" t="s">
        <v>105</v>
      </c>
      <c r="AD75" s="39" t="s">
        <v>105</v>
      </c>
      <c r="AE75" s="39" t="s">
        <v>105</v>
      </c>
      <c r="AF75" s="39" t="s">
        <v>105</v>
      </c>
      <c r="AG75" s="126">
        <v>4.5</v>
      </c>
      <c r="AH75" s="61">
        <v>4.1100000000000003</v>
      </c>
      <c r="AI75" s="39" t="s">
        <v>105</v>
      </c>
      <c r="AJ75" s="39" t="s">
        <v>105</v>
      </c>
      <c r="AK75" s="39" t="s">
        <v>105</v>
      </c>
      <c r="AL75" s="143">
        <v>0.29499999999999998</v>
      </c>
      <c r="AM75" s="44" t="s">
        <v>105</v>
      </c>
      <c r="AN75" s="39" t="s">
        <v>105</v>
      </c>
      <c r="AO75" s="39" t="s">
        <v>105</v>
      </c>
      <c r="AP75" s="39" t="s">
        <v>105</v>
      </c>
      <c r="AQ75" s="40" t="s">
        <v>105</v>
      </c>
      <c r="AR75" s="44" t="s">
        <v>105</v>
      </c>
      <c r="AS75" s="39" t="s">
        <v>105</v>
      </c>
      <c r="AT75" s="39" t="s">
        <v>105</v>
      </c>
      <c r="AU75" s="39" t="s">
        <v>105</v>
      </c>
      <c r="AV75" s="40" t="s">
        <v>105</v>
      </c>
      <c r="AW75" s="44" t="s">
        <v>105</v>
      </c>
      <c r="AX75" s="39" t="s">
        <v>105</v>
      </c>
      <c r="AY75" s="39" t="s">
        <v>105</v>
      </c>
      <c r="AZ75" s="39" t="s">
        <v>105</v>
      </c>
      <c r="BA75" s="40" t="s">
        <v>105</v>
      </c>
      <c r="BB75" s="44" t="s">
        <v>105</v>
      </c>
      <c r="BC75" s="39" t="s">
        <v>105</v>
      </c>
      <c r="BD75" s="39" t="s">
        <v>105</v>
      </c>
      <c r="BE75" s="39" t="s">
        <v>105</v>
      </c>
      <c r="BF75" s="40" t="s">
        <v>105</v>
      </c>
      <c r="BG75" s="44" t="s">
        <v>105</v>
      </c>
      <c r="BH75" s="39" t="s">
        <v>105</v>
      </c>
      <c r="BI75" s="39" t="s">
        <v>105</v>
      </c>
      <c r="BJ75" s="39" t="s">
        <v>105</v>
      </c>
      <c r="BK75" s="40" t="s">
        <v>105</v>
      </c>
      <c r="BL75" s="44" t="s">
        <v>105</v>
      </c>
      <c r="BM75" s="40" t="s">
        <v>105</v>
      </c>
      <c r="BN75" s="168">
        <f t="shared" si="26"/>
        <v>1.8903333333333332</v>
      </c>
      <c r="BO75" s="168">
        <f t="shared" si="24"/>
        <v>4.5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19</v>
      </c>
      <c r="B76" s="6" t="s">
        <v>15</v>
      </c>
      <c r="C76" s="11" t="s">
        <v>10</v>
      </c>
      <c r="D76" s="35" t="s">
        <v>105</v>
      </c>
      <c r="E76" s="36" t="s">
        <v>105</v>
      </c>
      <c r="F76" s="36" t="s">
        <v>105</v>
      </c>
      <c r="G76" s="36" t="s">
        <v>105</v>
      </c>
      <c r="H76" s="37" t="s">
        <v>105</v>
      </c>
      <c r="I76" s="43" t="s">
        <v>105</v>
      </c>
      <c r="J76" s="36" t="s">
        <v>105</v>
      </c>
      <c r="K76" s="36" t="s">
        <v>105</v>
      </c>
      <c r="L76" s="36" t="s">
        <v>105</v>
      </c>
      <c r="M76" s="37" t="s">
        <v>105</v>
      </c>
      <c r="N76" s="43" t="s">
        <v>105</v>
      </c>
      <c r="O76" s="36" t="s">
        <v>105</v>
      </c>
      <c r="P76" s="36" t="s">
        <v>105</v>
      </c>
      <c r="Q76" s="36" t="s">
        <v>105</v>
      </c>
      <c r="R76" s="37" t="s">
        <v>105</v>
      </c>
      <c r="S76" s="43" t="s">
        <v>105</v>
      </c>
      <c r="T76" s="36" t="s">
        <v>105</v>
      </c>
      <c r="U76" s="36" t="s">
        <v>105</v>
      </c>
      <c r="V76" s="36" t="s">
        <v>105</v>
      </c>
      <c r="W76" s="37" t="s">
        <v>105</v>
      </c>
      <c r="X76" s="43" t="s">
        <v>105</v>
      </c>
      <c r="Y76" s="36" t="s">
        <v>105</v>
      </c>
      <c r="Z76" s="36" t="s">
        <v>105</v>
      </c>
      <c r="AA76" s="36" t="s">
        <v>105</v>
      </c>
      <c r="AB76" s="37" t="s">
        <v>105</v>
      </c>
      <c r="AC76" s="43" t="s">
        <v>105</v>
      </c>
      <c r="AD76" s="36" t="s">
        <v>105</v>
      </c>
      <c r="AE76" s="36" t="s">
        <v>105</v>
      </c>
      <c r="AF76" s="36" t="s">
        <v>105</v>
      </c>
      <c r="AG76" s="105">
        <v>1.01</v>
      </c>
      <c r="AH76" s="43" t="s">
        <v>105</v>
      </c>
      <c r="AI76" s="36">
        <v>0.23799999999999999</v>
      </c>
      <c r="AJ76" s="104">
        <v>1.1599999999999999</v>
      </c>
      <c r="AK76" s="120">
        <v>1.9</v>
      </c>
      <c r="AL76" s="37" t="s">
        <v>105</v>
      </c>
      <c r="AM76" s="43" t="s">
        <v>105</v>
      </c>
      <c r="AN76" s="36" t="s">
        <v>105</v>
      </c>
      <c r="AO76" s="36" t="s">
        <v>105</v>
      </c>
      <c r="AP76" s="36" t="s">
        <v>105</v>
      </c>
      <c r="AQ76" s="37" t="s">
        <v>105</v>
      </c>
      <c r="AR76" s="43" t="s">
        <v>105</v>
      </c>
      <c r="AS76" s="36" t="s">
        <v>105</v>
      </c>
      <c r="AT76" s="36" t="s">
        <v>105</v>
      </c>
      <c r="AU76" s="36" t="s">
        <v>105</v>
      </c>
      <c r="AV76" s="37" t="s">
        <v>105</v>
      </c>
      <c r="AW76" s="43" t="s">
        <v>105</v>
      </c>
      <c r="AX76" s="36" t="s">
        <v>105</v>
      </c>
      <c r="AY76" s="36" t="s">
        <v>105</v>
      </c>
      <c r="AZ76" s="36" t="s">
        <v>105</v>
      </c>
      <c r="BA76" s="37" t="s">
        <v>105</v>
      </c>
      <c r="BB76" s="43" t="s">
        <v>105</v>
      </c>
      <c r="BC76" s="36" t="s">
        <v>105</v>
      </c>
      <c r="BD76" s="36" t="s">
        <v>105</v>
      </c>
      <c r="BE76" s="36" t="s">
        <v>105</v>
      </c>
      <c r="BF76" s="37" t="s">
        <v>105</v>
      </c>
      <c r="BG76" s="43" t="s">
        <v>105</v>
      </c>
      <c r="BH76" s="36" t="s">
        <v>105</v>
      </c>
      <c r="BI76" s="36" t="s">
        <v>105</v>
      </c>
      <c r="BJ76" s="36" t="s">
        <v>105</v>
      </c>
      <c r="BK76" s="37" t="s">
        <v>105</v>
      </c>
      <c r="BL76" s="43" t="s">
        <v>105</v>
      </c>
      <c r="BM76" s="37" t="s">
        <v>105</v>
      </c>
      <c r="BN76" s="166">
        <f t="shared" ref="BN76:BN78" si="27">IFERROR(AVERAGE(D76:BM78),0)</f>
        <v>2.4906666666666664</v>
      </c>
      <c r="BO76" s="166">
        <f t="shared" si="24"/>
        <v>6.3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65" t="s">
        <v>11</v>
      </c>
      <c r="B77" s="7" t="s">
        <v>12</v>
      </c>
      <c r="C77" s="11" t="s">
        <v>8</v>
      </c>
      <c r="D77" s="41" t="s">
        <v>105</v>
      </c>
      <c r="E77" s="22" t="s">
        <v>105</v>
      </c>
      <c r="F77" s="22" t="s">
        <v>105</v>
      </c>
      <c r="G77" s="22" t="s">
        <v>105</v>
      </c>
      <c r="H77" s="42" t="s">
        <v>105</v>
      </c>
      <c r="I77" s="45" t="s">
        <v>105</v>
      </c>
      <c r="J77" s="22" t="s">
        <v>105</v>
      </c>
      <c r="K77" s="22" t="s">
        <v>105</v>
      </c>
      <c r="L77" s="22" t="s">
        <v>105</v>
      </c>
      <c r="M77" s="42" t="s">
        <v>105</v>
      </c>
      <c r="N77" s="45" t="s">
        <v>105</v>
      </c>
      <c r="O77" s="22" t="s">
        <v>105</v>
      </c>
      <c r="P77" s="22" t="s">
        <v>105</v>
      </c>
      <c r="Q77" s="22" t="s">
        <v>105</v>
      </c>
      <c r="R77" s="42" t="s">
        <v>105</v>
      </c>
      <c r="S77" s="45" t="s">
        <v>105</v>
      </c>
      <c r="T77" s="22" t="s">
        <v>105</v>
      </c>
      <c r="U77" s="22" t="s">
        <v>105</v>
      </c>
      <c r="V77" s="22" t="s">
        <v>105</v>
      </c>
      <c r="W77" s="42" t="s">
        <v>105</v>
      </c>
      <c r="X77" s="45" t="s">
        <v>105</v>
      </c>
      <c r="Y77" s="22" t="s">
        <v>105</v>
      </c>
      <c r="Z77" s="22" t="s">
        <v>105</v>
      </c>
      <c r="AA77" s="22" t="s">
        <v>105</v>
      </c>
      <c r="AB77" s="42" t="s">
        <v>105</v>
      </c>
      <c r="AC77" s="45" t="s">
        <v>105</v>
      </c>
      <c r="AD77" s="22" t="s">
        <v>105</v>
      </c>
      <c r="AE77" s="22" t="s">
        <v>105</v>
      </c>
      <c r="AF77" s="22" t="s">
        <v>105</v>
      </c>
      <c r="AG77" s="144">
        <v>2</v>
      </c>
      <c r="AH77" s="45" t="s">
        <v>105</v>
      </c>
      <c r="AI77" s="130">
        <v>1.8</v>
      </c>
      <c r="AJ77" s="22" t="s">
        <v>105</v>
      </c>
      <c r="AK77" s="32" t="s">
        <v>105</v>
      </c>
      <c r="AL77" s="42" t="s">
        <v>105</v>
      </c>
      <c r="AM77" s="45" t="s">
        <v>105</v>
      </c>
      <c r="AN77" s="22" t="s">
        <v>105</v>
      </c>
      <c r="AO77" s="22" t="s">
        <v>105</v>
      </c>
      <c r="AP77" s="22" t="s">
        <v>105</v>
      </c>
      <c r="AQ77" s="42" t="s">
        <v>105</v>
      </c>
      <c r="AR77" s="45" t="s">
        <v>105</v>
      </c>
      <c r="AS77" s="22" t="s">
        <v>105</v>
      </c>
      <c r="AT77" s="22" t="s">
        <v>105</v>
      </c>
      <c r="AU77" s="22" t="s">
        <v>105</v>
      </c>
      <c r="AV77" s="42" t="s">
        <v>105</v>
      </c>
      <c r="AW77" s="45" t="s">
        <v>105</v>
      </c>
      <c r="AX77" s="22" t="s">
        <v>105</v>
      </c>
      <c r="AY77" s="22" t="s">
        <v>105</v>
      </c>
      <c r="AZ77" s="22" t="s">
        <v>105</v>
      </c>
      <c r="BA77" s="42" t="s">
        <v>105</v>
      </c>
      <c r="BB77" s="45" t="s">
        <v>105</v>
      </c>
      <c r="BC77" s="22" t="s">
        <v>105</v>
      </c>
      <c r="BD77" s="22" t="s">
        <v>105</v>
      </c>
      <c r="BE77" s="22" t="s">
        <v>105</v>
      </c>
      <c r="BF77" s="42" t="s">
        <v>105</v>
      </c>
      <c r="BG77" s="45" t="s">
        <v>105</v>
      </c>
      <c r="BH77" s="22" t="s">
        <v>105</v>
      </c>
      <c r="BI77" s="22" t="s">
        <v>105</v>
      </c>
      <c r="BJ77" s="22" t="s">
        <v>105</v>
      </c>
      <c r="BK77" s="42" t="s">
        <v>105</v>
      </c>
      <c r="BL77" s="45" t="s">
        <v>105</v>
      </c>
      <c r="BM77" s="42" t="s">
        <v>105</v>
      </c>
      <c r="BN77" s="167">
        <f t="shared" si="27"/>
        <v>1.7862452830188684</v>
      </c>
      <c r="BO77" s="167">
        <f t="shared" si="24"/>
        <v>8.02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65"/>
      <c r="B78" s="8" t="s">
        <v>39</v>
      </c>
      <c r="C78" s="12" t="s">
        <v>14</v>
      </c>
      <c r="D78" s="38" t="s">
        <v>105</v>
      </c>
      <c r="E78" s="39" t="s">
        <v>105</v>
      </c>
      <c r="F78" s="39" t="s">
        <v>105</v>
      </c>
      <c r="G78" s="39" t="s">
        <v>105</v>
      </c>
      <c r="H78" s="40" t="s">
        <v>105</v>
      </c>
      <c r="I78" s="44" t="s">
        <v>105</v>
      </c>
      <c r="J78" s="39" t="s">
        <v>105</v>
      </c>
      <c r="K78" s="39" t="s">
        <v>105</v>
      </c>
      <c r="L78" s="39" t="s">
        <v>105</v>
      </c>
      <c r="M78" s="40" t="s">
        <v>105</v>
      </c>
      <c r="N78" s="44" t="s">
        <v>105</v>
      </c>
      <c r="O78" s="39" t="s">
        <v>105</v>
      </c>
      <c r="P78" s="39" t="s">
        <v>105</v>
      </c>
      <c r="Q78" s="39" t="s">
        <v>105</v>
      </c>
      <c r="R78" s="40" t="s">
        <v>105</v>
      </c>
      <c r="S78" s="44" t="s">
        <v>105</v>
      </c>
      <c r="T78" s="39" t="s">
        <v>105</v>
      </c>
      <c r="U78" s="39" t="s">
        <v>105</v>
      </c>
      <c r="V78" s="39" t="s">
        <v>105</v>
      </c>
      <c r="W78" s="40" t="s">
        <v>105</v>
      </c>
      <c r="X78" s="44" t="s">
        <v>105</v>
      </c>
      <c r="Y78" s="39" t="s">
        <v>105</v>
      </c>
      <c r="Z78" s="39" t="s">
        <v>105</v>
      </c>
      <c r="AA78" s="39" t="s">
        <v>105</v>
      </c>
      <c r="AB78" s="40" t="s">
        <v>105</v>
      </c>
      <c r="AC78" s="44" t="s">
        <v>105</v>
      </c>
      <c r="AD78" s="39" t="s">
        <v>105</v>
      </c>
      <c r="AE78" s="39" t="s">
        <v>105</v>
      </c>
      <c r="AF78" s="39" t="s">
        <v>105</v>
      </c>
      <c r="AG78" s="116">
        <v>1.31</v>
      </c>
      <c r="AH78" s="61">
        <v>4.3499999999999996</v>
      </c>
      <c r="AI78" s="117">
        <v>3.04</v>
      </c>
      <c r="AJ78" s="68">
        <v>6.3</v>
      </c>
      <c r="AK78" s="68">
        <v>4.0999999999999996</v>
      </c>
      <c r="AL78" s="116">
        <v>2.68</v>
      </c>
      <c r="AM78" s="44" t="s">
        <v>105</v>
      </c>
      <c r="AN78" s="39" t="s">
        <v>105</v>
      </c>
      <c r="AO78" s="39" t="s">
        <v>105</v>
      </c>
      <c r="AP78" s="39" t="s">
        <v>105</v>
      </c>
      <c r="AQ78" s="40" t="s">
        <v>105</v>
      </c>
      <c r="AR78" s="44" t="s">
        <v>105</v>
      </c>
      <c r="AS78" s="39" t="s">
        <v>105</v>
      </c>
      <c r="AT78" s="39" t="s">
        <v>105</v>
      </c>
      <c r="AU78" s="39" t="s">
        <v>105</v>
      </c>
      <c r="AV78" s="40" t="s">
        <v>105</v>
      </c>
      <c r="AW78" s="44" t="s">
        <v>105</v>
      </c>
      <c r="AX78" s="39" t="s">
        <v>105</v>
      </c>
      <c r="AY78" s="39" t="s">
        <v>105</v>
      </c>
      <c r="AZ78" s="39" t="s">
        <v>105</v>
      </c>
      <c r="BA78" s="40" t="s">
        <v>105</v>
      </c>
      <c r="BB78" s="44" t="s">
        <v>105</v>
      </c>
      <c r="BC78" s="39" t="s">
        <v>105</v>
      </c>
      <c r="BD78" s="39" t="s">
        <v>105</v>
      </c>
      <c r="BE78" s="39" t="s">
        <v>105</v>
      </c>
      <c r="BF78" s="40" t="s">
        <v>105</v>
      </c>
      <c r="BG78" s="44" t="s">
        <v>105</v>
      </c>
      <c r="BH78" s="39" t="s">
        <v>105</v>
      </c>
      <c r="BI78" s="39" t="s">
        <v>105</v>
      </c>
      <c r="BJ78" s="39" t="s">
        <v>105</v>
      </c>
      <c r="BK78" s="40" t="s">
        <v>105</v>
      </c>
      <c r="BL78" s="44" t="s">
        <v>105</v>
      </c>
      <c r="BM78" s="40" t="s">
        <v>105</v>
      </c>
      <c r="BN78" s="168">
        <f t="shared" si="27"/>
        <v>1.9565599999999999</v>
      </c>
      <c r="BO78" s="168">
        <f t="shared" si="24"/>
        <v>8.7799999999999994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19</v>
      </c>
      <c r="B79" s="6"/>
      <c r="C79" s="11" t="s">
        <v>10</v>
      </c>
      <c r="D79" s="35" t="s">
        <v>105</v>
      </c>
      <c r="E79" s="104">
        <v>8.02</v>
      </c>
      <c r="F79" s="46">
        <v>2.0699999999999998</v>
      </c>
      <c r="G79" s="104">
        <v>1.1100000000000001</v>
      </c>
      <c r="H79" s="63">
        <v>2.89</v>
      </c>
      <c r="I79" s="65">
        <v>1.27</v>
      </c>
      <c r="J79" s="140">
        <v>0.78900000000000003</v>
      </c>
      <c r="K79" s="140">
        <v>0.95499999999999996</v>
      </c>
      <c r="L79" s="140">
        <v>0.121</v>
      </c>
      <c r="M79" s="63">
        <v>2.11</v>
      </c>
      <c r="N79" s="65">
        <v>1.45</v>
      </c>
      <c r="O79" s="140">
        <v>0.25900000000000001</v>
      </c>
      <c r="P79" s="46">
        <v>2.38</v>
      </c>
      <c r="Q79" s="140">
        <v>0.77300000000000002</v>
      </c>
      <c r="R79" s="63">
        <v>1.57</v>
      </c>
      <c r="S79" s="65">
        <v>1.94</v>
      </c>
      <c r="T79" s="140">
        <v>0.34499999999999997</v>
      </c>
      <c r="U79" s="104">
        <v>1.69</v>
      </c>
      <c r="V79" s="36">
        <v>5.8999999999999997E-2</v>
      </c>
      <c r="W79" s="134">
        <v>0.46</v>
      </c>
      <c r="X79" s="65">
        <v>1.81</v>
      </c>
      <c r="Y79" s="36" t="s">
        <v>105</v>
      </c>
      <c r="Z79" s="36" t="s">
        <v>105</v>
      </c>
      <c r="AA79" s="36">
        <v>0.13100000000000001</v>
      </c>
      <c r="AB79" s="37" t="s">
        <v>105</v>
      </c>
      <c r="AC79" s="43">
        <v>0.28599999999999998</v>
      </c>
      <c r="AD79" s="36">
        <v>0.63100000000000001</v>
      </c>
      <c r="AE79" s="140">
        <v>0.46899999999999997</v>
      </c>
      <c r="AF79" s="104">
        <v>1.63</v>
      </c>
      <c r="AG79" s="37" t="s">
        <v>105</v>
      </c>
      <c r="AH79" s="65">
        <v>1.34</v>
      </c>
      <c r="AI79" s="36">
        <v>0.70099999999999996</v>
      </c>
      <c r="AJ79" s="46" t="s">
        <v>105</v>
      </c>
      <c r="AK79" s="104">
        <v>1.82</v>
      </c>
      <c r="AL79" s="37" t="s">
        <v>105</v>
      </c>
      <c r="AM79" s="43" t="s">
        <v>105</v>
      </c>
      <c r="AN79" s="36" t="s">
        <v>105</v>
      </c>
      <c r="AO79" s="36">
        <v>0.96399999999999997</v>
      </c>
      <c r="AP79" s="36" t="s">
        <v>105</v>
      </c>
      <c r="AQ79" s="105">
        <v>2.5099999999999998</v>
      </c>
      <c r="AR79" s="65">
        <v>3.22</v>
      </c>
      <c r="AS79" s="46">
        <v>2.72</v>
      </c>
      <c r="AT79" s="140">
        <v>0.183</v>
      </c>
      <c r="AU79" s="46">
        <v>3.39</v>
      </c>
      <c r="AV79" s="63">
        <v>3.58</v>
      </c>
      <c r="AW79" s="65">
        <v>2.73</v>
      </c>
      <c r="AX79" s="36" t="s">
        <v>105</v>
      </c>
      <c r="AY79" s="36" t="s">
        <v>105</v>
      </c>
      <c r="AZ79" s="36">
        <v>0.104</v>
      </c>
      <c r="BA79" s="134">
        <v>0.499</v>
      </c>
      <c r="BB79" s="43" t="s">
        <v>105</v>
      </c>
      <c r="BC79" s="36">
        <v>0.79300000000000004</v>
      </c>
      <c r="BD79" s="36" t="s">
        <v>105</v>
      </c>
      <c r="BE79" s="36" t="s">
        <v>105</v>
      </c>
      <c r="BF79" s="105">
        <v>1.1599999999999999</v>
      </c>
      <c r="BG79" s="65">
        <v>3.98</v>
      </c>
      <c r="BH79" s="140">
        <v>0.70199999999999996</v>
      </c>
      <c r="BI79" s="140">
        <v>0.187</v>
      </c>
      <c r="BJ79" s="36" t="s">
        <v>105</v>
      </c>
      <c r="BK79" s="63" t="s">
        <v>105</v>
      </c>
      <c r="BL79" s="65">
        <v>1.23</v>
      </c>
      <c r="BM79" s="105">
        <v>2.06</v>
      </c>
      <c r="BN79" s="166">
        <f t="shared" ref="BN79:BN81" si="28">IFERROR(AVERAGE(D79:BM81),0)</f>
        <v>1.9878999999999993</v>
      </c>
      <c r="BO79" s="166">
        <f t="shared" si="24"/>
        <v>16.7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65" t="s">
        <v>11</v>
      </c>
      <c r="B80" s="7" t="s">
        <v>40</v>
      </c>
      <c r="C80" s="11" t="s">
        <v>8</v>
      </c>
      <c r="D80" s="74">
        <v>3.11</v>
      </c>
      <c r="E80" s="22">
        <v>0.64600000000000002</v>
      </c>
      <c r="F80" s="136">
        <v>0.59199999999999997</v>
      </c>
      <c r="G80" s="22" t="s">
        <v>105</v>
      </c>
      <c r="H80" s="60">
        <v>1.63</v>
      </c>
      <c r="I80" s="111">
        <v>1.04</v>
      </c>
      <c r="J80" s="123">
        <v>1.33</v>
      </c>
      <c r="K80" s="136">
        <v>0.52200000000000002</v>
      </c>
      <c r="L80" s="32" t="s">
        <v>105</v>
      </c>
      <c r="M80" s="60">
        <v>2.33</v>
      </c>
      <c r="N80" s="64">
        <v>1.39</v>
      </c>
      <c r="O80" s="32">
        <v>2.0299999999999998</v>
      </c>
      <c r="P80" s="32" t="s">
        <v>105</v>
      </c>
      <c r="Q80" s="32">
        <v>2.95</v>
      </c>
      <c r="R80" s="42">
        <v>0.44</v>
      </c>
      <c r="S80" s="129">
        <v>0.91800000000000004</v>
      </c>
      <c r="T80" s="32">
        <v>1.78</v>
      </c>
      <c r="U80" s="32">
        <v>2.54</v>
      </c>
      <c r="V80" s="32">
        <v>3.19</v>
      </c>
      <c r="W80" s="60">
        <v>2.25</v>
      </c>
      <c r="X80" s="64">
        <v>4.24</v>
      </c>
      <c r="Y80" s="123">
        <v>1.69</v>
      </c>
      <c r="Z80" s="34">
        <v>1.1000000000000001</v>
      </c>
      <c r="AA80" s="32">
        <v>1.72</v>
      </c>
      <c r="AB80" s="60">
        <v>3.81</v>
      </c>
      <c r="AC80" s="64">
        <v>2.92</v>
      </c>
      <c r="AD80" s="32">
        <v>1.35</v>
      </c>
      <c r="AE80" s="22" t="s">
        <v>105</v>
      </c>
      <c r="AF80" s="32">
        <v>2.0099999999999998</v>
      </c>
      <c r="AG80" s="147">
        <v>0.23200000000000001</v>
      </c>
      <c r="AH80" s="45" t="s">
        <v>105</v>
      </c>
      <c r="AI80" s="22">
        <v>0.21</v>
      </c>
      <c r="AJ80" s="136">
        <v>0.24299999999999999</v>
      </c>
      <c r="AK80" s="123">
        <v>8.7799999999999994</v>
      </c>
      <c r="AL80" s="115">
        <v>1.89</v>
      </c>
      <c r="AM80" s="64">
        <v>5.64</v>
      </c>
      <c r="AN80" s="123">
        <v>2.46</v>
      </c>
      <c r="AO80" s="22" t="s">
        <v>105</v>
      </c>
      <c r="AP80" s="22" t="s">
        <v>105</v>
      </c>
      <c r="AQ80" s="115">
        <v>5.76</v>
      </c>
      <c r="AR80" s="64">
        <v>2.31</v>
      </c>
      <c r="AS80" s="136">
        <v>0.495</v>
      </c>
      <c r="AT80" s="32" t="s">
        <v>105</v>
      </c>
      <c r="AU80" s="32">
        <v>2.04</v>
      </c>
      <c r="AV80" s="147">
        <v>0.92300000000000004</v>
      </c>
      <c r="AW80" s="129">
        <v>0.66600000000000004</v>
      </c>
      <c r="AX80" s="32" t="s">
        <v>105</v>
      </c>
      <c r="AY80" s="32" t="s">
        <v>105</v>
      </c>
      <c r="AZ80" s="136">
        <v>3.2000000000000001E-2</v>
      </c>
      <c r="BA80" s="60">
        <v>3.55</v>
      </c>
      <c r="BB80" s="64">
        <v>1.01</v>
      </c>
      <c r="BC80" s="32">
        <v>4.46</v>
      </c>
      <c r="BD80" s="123">
        <v>1.29</v>
      </c>
      <c r="BE80" s="32" t="s">
        <v>105</v>
      </c>
      <c r="BF80" s="60">
        <v>3.69</v>
      </c>
      <c r="BG80" s="64">
        <v>4.8899999999999997</v>
      </c>
      <c r="BH80" s="32" t="s">
        <v>105</v>
      </c>
      <c r="BI80" s="136">
        <v>0.97399999999999998</v>
      </c>
      <c r="BJ80" s="32">
        <v>3.47</v>
      </c>
      <c r="BK80" s="71">
        <v>2.2000000000000002</v>
      </c>
      <c r="BL80" s="45" t="s">
        <v>105</v>
      </c>
      <c r="BM80" s="42">
        <v>4.2000000000000003E-2</v>
      </c>
      <c r="BN80" s="167">
        <f t="shared" si="28"/>
        <v>2.2378850574712641</v>
      </c>
      <c r="BO80" s="167">
        <f t="shared" si="24"/>
        <v>16.7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65"/>
      <c r="B81" s="8"/>
      <c r="C81" s="12" t="s">
        <v>14</v>
      </c>
      <c r="D81" s="38" t="s">
        <v>105</v>
      </c>
      <c r="E81" s="39">
        <v>0.28299999999999997</v>
      </c>
      <c r="F81" s="117">
        <v>4.45</v>
      </c>
      <c r="G81" s="117">
        <v>1.27</v>
      </c>
      <c r="H81" s="143">
        <v>0.16500000000000001</v>
      </c>
      <c r="I81" s="137">
        <v>2.4</v>
      </c>
      <c r="J81" s="39" t="s">
        <v>105</v>
      </c>
      <c r="K81" s="47">
        <v>1.49</v>
      </c>
      <c r="L81" s="47">
        <v>2.93</v>
      </c>
      <c r="M81" s="59">
        <v>1.68</v>
      </c>
      <c r="N81" s="61">
        <v>1.66</v>
      </c>
      <c r="O81" s="138">
        <v>0.81799999999999995</v>
      </c>
      <c r="P81" s="138">
        <v>0.749</v>
      </c>
      <c r="Q81" s="138">
        <v>0.251</v>
      </c>
      <c r="R81" s="143">
        <v>0.112</v>
      </c>
      <c r="S81" s="150">
        <v>0.187</v>
      </c>
      <c r="T81" s="138">
        <v>0.52300000000000002</v>
      </c>
      <c r="U81" s="47" t="s">
        <v>105</v>
      </c>
      <c r="V81" s="47">
        <v>2.11</v>
      </c>
      <c r="W81" s="59">
        <v>1.41</v>
      </c>
      <c r="X81" s="80">
        <v>3.2</v>
      </c>
      <c r="Y81" s="39" t="s">
        <v>105</v>
      </c>
      <c r="Z81" s="39" t="s">
        <v>105</v>
      </c>
      <c r="AA81" s="138">
        <v>0.60699999999999998</v>
      </c>
      <c r="AB81" s="59" t="s">
        <v>105</v>
      </c>
      <c r="AC81" s="61">
        <v>1.21</v>
      </c>
      <c r="AD81" s="138">
        <v>0.51200000000000001</v>
      </c>
      <c r="AE81" s="47" t="s">
        <v>105</v>
      </c>
      <c r="AF81" s="47" t="s">
        <v>105</v>
      </c>
      <c r="AG81" s="40" t="s">
        <v>105</v>
      </c>
      <c r="AH81" s="44" t="s">
        <v>105</v>
      </c>
      <c r="AI81" s="47">
        <v>1.56</v>
      </c>
      <c r="AJ81" s="138">
        <v>0.219</v>
      </c>
      <c r="AK81" s="39" t="s">
        <v>105</v>
      </c>
      <c r="AL81" s="116">
        <v>4.37</v>
      </c>
      <c r="AM81" s="44" t="s">
        <v>105</v>
      </c>
      <c r="AN81" s="39" t="s">
        <v>105</v>
      </c>
      <c r="AO81" s="39" t="s">
        <v>105</v>
      </c>
      <c r="AP81" s="47" t="s">
        <v>105</v>
      </c>
      <c r="AQ81" s="59" t="s">
        <v>105</v>
      </c>
      <c r="AR81" s="61" t="s">
        <v>105</v>
      </c>
      <c r="AS81" s="47" t="s">
        <v>105</v>
      </c>
      <c r="AT81" s="47" t="s">
        <v>105</v>
      </c>
      <c r="AU81" s="47">
        <v>2.54</v>
      </c>
      <c r="AV81" s="66">
        <v>2.2000000000000002</v>
      </c>
      <c r="AW81" s="61" t="s">
        <v>105</v>
      </c>
      <c r="AX81" s="47">
        <v>2.0099999999999998</v>
      </c>
      <c r="AY81" s="47" t="s">
        <v>105</v>
      </c>
      <c r="AZ81" s="47" t="s">
        <v>105</v>
      </c>
      <c r="BA81" s="143">
        <v>0.47499999999999998</v>
      </c>
      <c r="BB81" s="61" t="s">
        <v>105</v>
      </c>
      <c r="BC81" s="47">
        <v>3.17</v>
      </c>
      <c r="BD81" s="68">
        <v>5.8</v>
      </c>
      <c r="BE81" s="47" t="s">
        <v>105</v>
      </c>
      <c r="BF81" s="59">
        <v>6.46</v>
      </c>
      <c r="BG81" s="61">
        <v>5.14</v>
      </c>
      <c r="BH81" s="47">
        <v>1.48</v>
      </c>
      <c r="BI81" s="47">
        <v>3.01</v>
      </c>
      <c r="BJ81" s="39" t="s">
        <v>105</v>
      </c>
      <c r="BK81" s="59" t="s">
        <v>105</v>
      </c>
      <c r="BL81" s="155">
        <v>16.7</v>
      </c>
      <c r="BM81" s="126">
        <v>1.4</v>
      </c>
      <c r="BN81" s="168">
        <f t="shared" si="28"/>
        <v>2.2879534883720933</v>
      </c>
      <c r="BO81" s="168">
        <f t="shared" si="24"/>
        <v>16.7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19</v>
      </c>
      <c r="B82" s="6" t="s">
        <v>17</v>
      </c>
      <c r="C82" s="11" t="s">
        <v>10</v>
      </c>
      <c r="D82" s="35" t="s">
        <v>105</v>
      </c>
      <c r="E82" s="36" t="s">
        <v>105</v>
      </c>
      <c r="F82" s="36" t="s">
        <v>105</v>
      </c>
      <c r="G82" s="36" t="s">
        <v>105</v>
      </c>
      <c r="H82" s="37" t="s">
        <v>105</v>
      </c>
      <c r="I82" s="43" t="s">
        <v>105</v>
      </c>
      <c r="J82" s="36" t="s">
        <v>105</v>
      </c>
      <c r="K82" s="36" t="s">
        <v>105</v>
      </c>
      <c r="L82" s="36" t="s">
        <v>105</v>
      </c>
      <c r="M82" s="37" t="s">
        <v>105</v>
      </c>
      <c r="N82" s="43" t="s">
        <v>105</v>
      </c>
      <c r="O82" s="36" t="s">
        <v>105</v>
      </c>
      <c r="P82" s="36" t="s">
        <v>105</v>
      </c>
      <c r="Q82" s="36" t="s">
        <v>105</v>
      </c>
      <c r="R82" s="37" t="s">
        <v>105</v>
      </c>
      <c r="S82" s="43" t="s">
        <v>105</v>
      </c>
      <c r="T82" s="36" t="s">
        <v>105</v>
      </c>
      <c r="U82" s="36" t="s">
        <v>105</v>
      </c>
      <c r="V82" s="36" t="s">
        <v>105</v>
      </c>
      <c r="W82" s="37" t="s">
        <v>105</v>
      </c>
      <c r="X82" s="43" t="s">
        <v>105</v>
      </c>
      <c r="Y82" s="36" t="s">
        <v>105</v>
      </c>
      <c r="Z82" s="36" t="s">
        <v>105</v>
      </c>
      <c r="AA82" s="36" t="s">
        <v>105</v>
      </c>
      <c r="AB82" s="37" t="s">
        <v>105</v>
      </c>
      <c r="AC82" s="43" t="s">
        <v>105</v>
      </c>
      <c r="AD82" s="36" t="s">
        <v>105</v>
      </c>
      <c r="AE82" s="36" t="s">
        <v>105</v>
      </c>
      <c r="AF82" s="36" t="s">
        <v>105</v>
      </c>
      <c r="AG82" s="105">
        <v>1.78</v>
      </c>
      <c r="AH82" s="112">
        <v>3.58</v>
      </c>
      <c r="AI82" s="36" t="s">
        <v>105</v>
      </c>
      <c r="AJ82" s="36" t="s">
        <v>105</v>
      </c>
      <c r="AK82" s="36" t="s">
        <v>105</v>
      </c>
      <c r="AL82" s="37" t="s">
        <v>105</v>
      </c>
      <c r="AM82" s="43" t="s">
        <v>105</v>
      </c>
      <c r="AN82" s="36" t="s">
        <v>105</v>
      </c>
      <c r="AO82" s="36" t="s">
        <v>105</v>
      </c>
      <c r="AP82" s="36" t="s">
        <v>105</v>
      </c>
      <c r="AQ82" s="37" t="s">
        <v>105</v>
      </c>
      <c r="AR82" s="43" t="s">
        <v>105</v>
      </c>
      <c r="AS82" s="36" t="s">
        <v>105</v>
      </c>
      <c r="AT82" s="36" t="s">
        <v>105</v>
      </c>
      <c r="AU82" s="36" t="s">
        <v>105</v>
      </c>
      <c r="AV82" s="37" t="s">
        <v>105</v>
      </c>
      <c r="AW82" s="43" t="s">
        <v>105</v>
      </c>
      <c r="AX82" s="36" t="s">
        <v>105</v>
      </c>
      <c r="AY82" s="36" t="s">
        <v>105</v>
      </c>
      <c r="AZ82" s="36" t="s">
        <v>105</v>
      </c>
      <c r="BA82" s="37" t="s">
        <v>105</v>
      </c>
      <c r="BB82" s="43" t="s">
        <v>105</v>
      </c>
      <c r="BC82" s="36" t="s">
        <v>105</v>
      </c>
      <c r="BD82" s="36" t="s">
        <v>105</v>
      </c>
      <c r="BE82" s="36" t="s">
        <v>105</v>
      </c>
      <c r="BF82" s="37" t="s">
        <v>105</v>
      </c>
      <c r="BG82" s="43" t="s">
        <v>105</v>
      </c>
      <c r="BH82" s="36" t="s">
        <v>105</v>
      </c>
      <c r="BI82" s="36" t="s">
        <v>105</v>
      </c>
      <c r="BJ82" s="36" t="s">
        <v>105</v>
      </c>
      <c r="BK82" s="37" t="s">
        <v>105</v>
      </c>
      <c r="BL82" s="43" t="s">
        <v>105</v>
      </c>
      <c r="BM82" s="37" t="s">
        <v>105</v>
      </c>
      <c r="BN82" s="166">
        <f t="shared" ref="BN82:BN84" si="29">IFERROR(AVERAGE(D82:BM84),0)</f>
        <v>2.4275833333333332</v>
      </c>
      <c r="BO82" s="166">
        <f t="shared" si="24"/>
        <v>6.07</v>
      </c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65" t="s">
        <v>11</v>
      </c>
      <c r="B83" s="7" t="s">
        <v>12</v>
      </c>
      <c r="C83" s="11" t="s">
        <v>8</v>
      </c>
      <c r="D83" s="41" t="s">
        <v>105</v>
      </c>
      <c r="E83" s="22" t="s">
        <v>105</v>
      </c>
      <c r="F83" s="22" t="s">
        <v>105</v>
      </c>
      <c r="G83" s="22" t="s">
        <v>105</v>
      </c>
      <c r="H83" s="42" t="s">
        <v>105</v>
      </c>
      <c r="I83" s="45" t="s">
        <v>105</v>
      </c>
      <c r="J83" s="22" t="s">
        <v>105</v>
      </c>
      <c r="K83" s="22" t="s">
        <v>105</v>
      </c>
      <c r="L83" s="22" t="s">
        <v>105</v>
      </c>
      <c r="M83" s="42" t="s">
        <v>105</v>
      </c>
      <c r="N83" s="45" t="s">
        <v>105</v>
      </c>
      <c r="O83" s="22" t="s">
        <v>105</v>
      </c>
      <c r="P83" s="22" t="s">
        <v>105</v>
      </c>
      <c r="Q83" s="22" t="s">
        <v>105</v>
      </c>
      <c r="R83" s="42" t="s">
        <v>105</v>
      </c>
      <c r="S83" s="45" t="s">
        <v>105</v>
      </c>
      <c r="T83" s="22" t="s">
        <v>105</v>
      </c>
      <c r="U83" s="22" t="s">
        <v>105</v>
      </c>
      <c r="V83" s="22" t="s">
        <v>105</v>
      </c>
      <c r="W83" s="42" t="s">
        <v>105</v>
      </c>
      <c r="X83" s="45" t="s">
        <v>105</v>
      </c>
      <c r="Y83" s="22" t="s">
        <v>105</v>
      </c>
      <c r="Z83" s="22" t="s">
        <v>105</v>
      </c>
      <c r="AA83" s="22" t="s">
        <v>105</v>
      </c>
      <c r="AB83" s="42" t="s">
        <v>105</v>
      </c>
      <c r="AC83" s="45" t="s">
        <v>105</v>
      </c>
      <c r="AD83" s="22" t="s">
        <v>105</v>
      </c>
      <c r="AE83" s="22" t="s">
        <v>105</v>
      </c>
      <c r="AF83" s="22" t="s">
        <v>105</v>
      </c>
      <c r="AG83" s="115">
        <v>2.42</v>
      </c>
      <c r="AH83" s="111">
        <v>1.76</v>
      </c>
      <c r="AI83" s="22">
        <v>0.83099999999999996</v>
      </c>
      <c r="AJ83" s="32">
        <v>1.1499999999999999</v>
      </c>
      <c r="AK83" s="32">
        <v>2.31</v>
      </c>
      <c r="AL83" s="42" t="s">
        <v>105</v>
      </c>
      <c r="AM83" s="45" t="s">
        <v>105</v>
      </c>
      <c r="AN83" s="22" t="s">
        <v>105</v>
      </c>
      <c r="AO83" s="22" t="s">
        <v>105</v>
      </c>
      <c r="AP83" s="22" t="s">
        <v>105</v>
      </c>
      <c r="AQ83" s="42" t="s">
        <v>105</v>
      </c>
      <c r="AR83" s="45" t="s">
        <v>105</v>
      </c>
      <c r="AS83" s="22" t="s">
        <v>105</v>
      </c>
      <c r="AT83" s="22" t="s">
        <v>105</v>
      </c>
      <c r="AU83" s="22" t="s">
        <v>105</v>
      </c>
      <c r="AV83" s="42" t="s">
        <v>105</v>
      </c>
      <c r="AW83" s="45" t="s">
        <v>105</v>
      </c>
      <c r="AX83" s="22" t="s">
        <v>105</v>
      </c>
      <c r="AY83" s="22" t="s">
        <v>105</v>
      </c>
      <c r="AZ83" s="22" t="s">
        <v>105</v>
      </c>
      <c r="BA83" s="42" t="s">
        <v>105</v>
      </c>
      <c r="BB83" s="45" t="s">
        <v>105</v>
      </c>
      <c r="BC83" s="22" t="s">
        <v>105</v>
      </c>
      <c r="BD83" s="22" t="s">
        <v>105</v>
      </c>
      <c r="BE83" s="22" t="s">
        <v>105</v>
      </c>
      <c r="BF83" s="42" t="s">
        <v>105</v>
      </c>
      <c r="BG83" s="45" t="s">
        <v>105</v>
      </c>
      <c r="BH83" s="22" t="s">
        <v>105</v>
      </c>
      <c r="BI83" s="22" t="s">
        <v>105</v>
      </c>
      <c r="BJ83" s="22" t="s">
        <v>105</v>
      </c>
      <c r="BK83" s="42" t="s">
        <v>105</v>
      </c>
      <c r="BL83" s="45" t="s">
        <v>105</v>
      </c>
      <c r="BM83" s="42" t="s">
        <v>105</v>
      </c>
      <c r="BN83" s="167">
        <f t="shared" si="29"/>
        <v>1.4753018867924528</v>
      </c>
      <c r="BO83" s="167">
        <f t="shared" si="24"/>
        <v>6.07</v>
      </c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65"/>
      <c r="B84" s="8" t="s">
        <v>39</v>
      </c>
      <c r="C84" s="12" t="s">
        <v>14</v>
      </c>
      <c r="D84" s="38" t="s">
        <v>105</v>
      </c>
      <c r="E84" s="39" t="s">
        <v>105</v>
      </c>
      <c r="F84" s="39" t="s">
        <v>105</v>
      </c>
      <c r="G84" s="39" t="s">
        <v>105</v>
      </c>
      <c r="H84" s="40" t="s">
        <v>105</v>
      </c>
      <c r="I84" s="44" t="s">
        <v>105</v>
      </c>
      <c r="J84" s="39" t="s">
        <v>105</v>
      </c>
      <c r="K84" s="39" t="s">
        <v>105</v>
      </c>
      <c r="L84" s="39" t="s">
        <v>105</v>
      </c>
      <c r="M84" s="40" t="s">
        <v>105</v>
      </c>
      <c r="N84" s="44" t="s">
        <v>105</v>
      </c>
      <c r="O84" s="39" t="s">
        <v>105</v>
      </c>
      <c r="P84" s="39" t="s">
        <v>105</v>
      </c>
      <c r="Q84" s="39" t="s">
        <v>105</v>
      </c>
      <c r="R84" s="40" t="s">
        <v>105</v>
      </c>
      <c r="S84" s="44" t="s">
        <v>105</v>
      </c>
      <c r="T84" s="39" t="s">
        <v>105</v>
      </c>
      <c r="U84" s="39" t="s">
        <v>105</v>
      </c>
      <c r="V84" s="39" t="s">
        <v>105</v>
      </c>
      <c r="W84" s="40" t="s">
        <v>105</v>
      </c>
      <c r="X84" s="44" t="s">
        <v>105</v>
      </c>
      <c r="Y84" s="39" t="s">
        <v>105</v>
      </c>
      <c r="Z84" s="39" t="s">
        <v>105</v>
      </c>
      <c r="AA84" s="39" t="s">
        <v>105</v>
      </c>
      <c r="AB84" s="40" t="s">
        <v>105</v>
      </c>
      <c r="AC84" s="44" t="s">
        <v>105</v>
      </c>
      <c r="AD84" s="39" t="s">
        <v>105</v>
      </c>
      <c r="AE84" s="39" t="s">
        <v>105</v>
      </c>
      <c r="AF84" s="39" t="s">
        <v>105</v>
      </c>
      <c r="AG84" s="40" t="s">
        <v>105</v>
      </c>
      <c r="AH84" s="109">
        <v>2.2799999999999998</v>
      </c>
      <c r="AI84" s="117">
        <v>1.21</v>
      </c>
      <c r="AJ84" s="138">
        <v>0.36</v>
      </c>
      <c r="AK84" s="47">
        <v>5.38</v>
      </c>
      <c r="AL84" s="116">
        <v>6.07</v>
      </c>
      <c r="AM84" s="44" t="s">
        <v>105</v>
      </c>
      <c r="AN84" s="39" t="s">
        <v>105</v>
      </c>
      <c r="AO84" s="39" t="s">
        <v>105</v>
      </c>
      <c r="AP84" s="39" t="s">
        <v>105</v>
      </c>
      <c r="AQ84" s="40" t="s">
        <v>105</v>
      </c>
      <c r="AR84" s="44" t="s">
        <v>105</v>
      </c>
      <c r="AS84" s="39" t="s">
        <v>105</v>
      </c>
      <c r="AT84" s="39" t="s">
        <v>105</v>
      </c>
      <c r="AU84" s="39" t="s">
        <v>105</v>
      </c>
      <c r="AV84" s="40" t="s">
        <v>105</v>
      </c>
      <c r="AW84" s="44" t="s">
        <v>105</v>
      </c>
      <c r="AX84" s="39" t="s">
        <v>105</v>
      </c>
      <c r="AY84" s="39" t="s">
        <v>105</v>
      </c>
      <c r="AZ84" s="39" t="s">
        <v>105</v>
      </c>
      <c r="BA84" s="40" t="s">
        <v>105</v>
      </c>
      <c r="BB84" s="44" t="s">
        <v>105</v>
      </c>
      <c r="BC84" s="39" t="s">
        <v>105</v>
      </c>
      <c r="BD84" s="39" t="s">
        <v>105</v>
      </c>
      <c r="BE84" s="39" t="s">
        <v>105</v>
      </c>
      <c r="BF84" s="40" t="s">
        <v>105</v>
      </c>
      <c r="BG84" s="44" t="s">
        <v>105</v>
      </c>
      <c r="BH84" s="39" t="s">
        <v>105</v>
      </c>
      <c r="BI84" s="39" t="s">
        <v>105</v>
      </c>
      <c r="BJ84" s="39" t="s">
        <v>105</v>
      </c>
      <c r="BK84" s="40" t="s">
        <v>105</v>
      </c>
      <c r="BL84" s="44" t="s">
        <v>105</v>
      </c>
      <c r="BM84" s="40" t="s">
        <v>105</v>
      </c>
      <c r="BN84" s="168">
        <f t="shared" si="29"/>
        <v>1.4112045454545463</v>
      </c>
      <c r="BO84" s="168">
        <f t="shared" si="24"/>
        <v>6.07</v>
      </c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19</v>
      </c>
      <c r="B85" s="6"/>
      <c r="C85" s="11" t="s">
        <v>10</v>
      </c>
      <c r="D85" s="35" t="s">
        <v>105</v>
      </c>
      <c r="E85" s="140">
        <v>0.122</v>
      </c>
      <c r="F85" s="104">
        <v>2.42</v>
      </c>
      <c r="G85" s="104">
        <v>1.55</v>
      </c>
      <c r="H85" s="63">
        <v>4.05</v>
      </c>
      <c r="I85" s="43">
        <v>0.63500000000000001</v>
      </c>
      <c r="J85" s="46">
        <v>1.65</v>
      </c>
      <c r="K85" s="140">
        <v>0.44900000000000001</v>
      </c>
      <c r="L85" s="46">
        <v>1.54</v>
      </c>
      <c r="M85" s="37">
        <v>0.20799999999999999</v>
      </c>
      <c r="N85" s="139">
        <v>0.749</v>
      </c>
      <c r="O85" s="46" t="s">
        <v>105</v>
      </c>
      <c r="P85" s="46">
        <v>1.71</v>
      </c>
      <c r="Q85" s="36">
        <v>0.88800000000000001</v>
      </c>
      <c r="R85" s="63">
        <v>1.69</v>
      </c>
      <c r="S85" s="65">
        <v>1.89</v>
      </c>
      <c r="T85" s="46">
        <v>2.2599999999999998</v>
      </c>
      <c r="U85" s="140">
        <v>0.63</v>
      </c>
      <c r="V85" s="46">
        <v>3.36</v>
      </c>
      <c r="W85" s="63">
        <v>1.62</v>
      </c>
      <c r="X85" s="43">
        <v>0.20300000000000001</v>
      </c>
      <c r="Y85" s="104">
        <v>1.41</v>
      </c>
      <c r="Z85" s="46" t="s">
        <v>105</v>
      </c>
      <c r="AA85" s="140">
        <v>0.999</v>
      </c>
      <c r="AB85" s="63">
        <v>1.57</v>
      </c>
      <c r="AC85" s="139">
        <v>0.78800000000000003</v>
      </c>
      <c r="AD85" s="36" t="s">
        <v>105</v>
      </c>
      <c r="AE85" s="36">
        <v>0.505</v>
      </c>
      <c r="AF85" s="104">
        <v>1.99</v>
      </c>
      <c r="AG85" s="105">
        <v>1.42</v>
      </c>
      <c r="AH85" s="43">
        <v>0.62</v>
      </c>
      <c r="AI85" s="36" t="s">
        <v>105</v>
      </c>
      <c r="AJ85" s="120">
        <v>2.6</v>
      </c>
      <c r="AK85" s="36">
        <v>0.17599999999999999</v>
      </c>
      <c r="AL85" s="105">
        <v>1.93</v>
      </c>
      <c r="AM85" s="43" t="s">
        <v>105</v>
      </c>
      <c r="AN85" s="36">
        <v>0.47799999999999998</v>
      </c>
      <c r="AO85" s="140">
        <v>0.20599999999999999</v>
      </c>
      <c r="AP85" s="36">
        <v>0.94699999999999995</v>
      </c>
      <c r="AQ85" s="63" t="s">
        <v>105</v>
      </c>
      <c r="AR85" s="43" t="s">
        <v>105</v>
      </c>
      <c r="AS85" s="36" t="s">
        <v>105</v>
      </c>
      <c r="AT85" s="46" t="s">
        <v>105</v>
      </c>
      <c r="AU85" s="140">
        <v>0.505</v>
      </c>
      <c r="AV85" s="134">
        <v>0.49199999999999999</v>
      </c>
      <c r="AW85" s="65" t="s">
        <v>105</v>
      </c>
      <c r="AX85" s="36" t="s">
        <v>105</v>
      </c>
      <c r="AY85" s="36" t="s">
        <v>105</v>
      </c>
      <c r="AZ85" s="36">
        <v>0.435</v>
      </c>
      <c r="BA85" s="63" t="s">
        <v>105</v>
      </c>
      <c r="BB85" s="65" t="s">
        <v>105</v>
      </c>
      <c r="BC85" s="140">
        <v>0.60299999999999998</v>
      </c>
      <c r="BD85" s="46" t="s">
        <v>105</v>
      </c>
      <c r="BE85" s="46" t="s">
        <v>105</v>
      </c>
      <c r="BF85" s="63">
        <v>2.85</v>
      </c>
      <c r="BG85" s="65" t="s">
        <v>105</v>
      </c>
      <c r="BH85" s="140">
        <v>0.4</v>
      </c>
      <c r="BI85" s="104">
        <v>1.06</v>
      </c>
      <c r="BJ85" s="36" t="s">
        <v>105</v>
      </c>
      <c r="BK85" s="63">
        <v>1.73</v>
      </c>
      <c r="BL85" s="65">
        <v>2.4300000000000002</v>
      </c>
      <c r="BM85" s="37">
        <v>0.65200000000000002</v>
      </c>
      <c r="BN85" s="166">
        <f t="shared" ref="BN85:BN87" si="30">IFERROR(AVERAGE(D85:BM87),0)</f>
        <v>1.4011034482758631</v>
      </c>
      <c r="BO85" s="166">
        <f t="shared" si="24"/>
        <v>5.18</v>
      </c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65" t="s">
        <v>11</v>
      </c>
      <c r="B86" s="7" t="s">
        <v>41</v>
      </c>
      <c r="C86" s="11" t="s">
        <v>8</v>
      </c>
      <c r="D86" s="41" t="s">
        <v>105</v>
      </c>
      <c r="E86" s="32" t="s">
        <v>105</v>
      </c>
      <c r="F86" s="123">
        <v>4.2699999999999996</v>
      </c>
      <c r="G86" s="22" t="s">
        <v>105</v>
      </c>
      <c r="H86" s="60">
        <v>4.3600000000000003</v>
      </c>
      <c r="I86" s="64">
        <v>1.48</v>
      </c>
      <c r="J86" s="22">
        <v>0.47599999999999998</v>
      </c>
      <c r="K86" s="32" t="s">
        <v>105</v>
      </c>
      <c r="L86" s="136">
        <v>0.873</v>
      </c>
      <c r="M86" s="42" t="s">
        <v>105</v>
      </c>
      <c r="N86" s="64">
        <v>2.95</v>
      </c>
      <c r="O86" s="32">
        <v>2.5299999999999998</v>
      </c>
      <c r="P86" s="22">
        <v>0.316</v>
      </c>
      <c r="Q86" s="32">
        <v>1.81</v>
      </c>
      <c r="R86" s="60">
        <v>2.12</v>
      </c>
      <c r="S86" s="129">
        <v>0.76700000000000002</v>
      </c>
      <c r="T86" s="22">
        <v>0.88200000000000001</v>
      </c>
      <c r="U86" s="136">
        <v>0.94699999999999995</v>
      </c>
      <c r="V86" s="136">
        <v>0.69</v>
      </c>
      <c r="W86" s="115">
        <v>2.1800000000000002</v>
      </c>
      <c r="X86" s="129">
        <v>0.879</v>
      </c>
      <c r="Y86" s="22">
        <v>0.91900000000000004</v>
      </c>
      <c r="Z86" s="22" t="s">
        <v>105</v>
      </c>
      <c r="AA86" s="123">
        <v>1.23</v>
      </c>
      <c r="AB86" s="147">
        <v>0.72299999999999998</v>
      </c>
      <c r="AC86" s="129">
        <v>0.55300000000000005</v>
      </c>
      <c r="AD86" s="32">
        <v>1.93</v>
      </c>
      <c r="AE86" s="123">
        <v>1.53</v>
      </c>
      <c r="AF86" s="22" t="s">
        <v>105</v>
      </c>
      <c r="AG86" s="42">
        <v>0.34</v>
      </c>
      <c r="AH86" s="129">
        <v>0.183</v>
      </c>
      <c r="AI86" s="22" t="s">
        <v>105</v>
      </c>
      <c r="AJ86" s="22" t="s">
        <v>105</v>
      </c>
      <c r="AK86" s="22">
        <v>0.48699999999999999</v>
      </c>
      <c r="AL86" s="115">
        <v>1.1399999999999999</v>
      </c>
      <c r="AM86" s="45" t="s">
        <v>105</v>
      </c>
      <c r="AN86" s="136">
        <v>0.36099999999999999</v>
      </c>
      <c r="AO86" s="136">
        <v>0.78200000000000003</v>
      </c>
      <c r="AP86" s="32" t="s">
        <v>105</v>
      </c>
      <c r="AQ86" s="147">
        <v>0.71199999999999997</v>
      </c>
      <c r="AR86" s="45" t="s">
        <v>105</v>
      </c>
      <c r="AS86" s="22">
        <v>0.64100000000000001</v>
      </c>
      <c r="AT86" s="136">
        <v>1.4E-2</v>
      </c>
      <c r="AU86" s="34">
        <v>1.8</v>
      </c>
      <c r="AV86" s="60" t="s">
        <v>105</v>
      </c>
      <c r="AW86" s="64">
        <v>2.15</v>
      </c>
      <c r="AX86" s="32" t="s">
        <v>105</v>
      </c>
      <c r="AY86" s="22" t="s">
        <v>105</v>
      </c>
      <c r="AZ86" s="32" t="s">
        <v>105</v>
      </c>
      <c r="BA86" s="60" t="s">
        <v>105</v>
      </c>
      <c r="BB86" s="64" t="s">
        <v>105</v>
      </c>
      <c r="BC86" s="32">
        <v>1.05</v>
      </c>
      <c r="BD86" s="130">
        <v>1.1000000000000001</v>
      </c>
      <c r="BE86" s="32">
        <v>3.52</v>
      </c>
      <c r="BF86" s="60">
        <v>2.84</v>
      </c>
      <c r="BG86" s="64" t="s">
        <v>105</v>
      </c>
      <c r="BH86" s="33">
        <v>1</v>
      </c>
      <c r="BI86" s="32">
        <v>1.26</v>
      </c>
      <c r="BJ86" s="22" t="s">
        <v>105</v>
      </c>
      <c r="BK86" s="60" t="s">
        <v>105</v>
      </c>
      <c r="BL86" s="45" t="s">
        <v>105</v>
      </c>
      <c r="BM86" s="42">
        <v>0.67100000000000004</v>
      </c>
      <c r="BN86" s="167">
        <f t="shared" si="30"/>
        <v>1.535783783783784</v>
      </c>
      <c r="BO86" s="167">
        <f t="shared" si="24"/>
        <v>5.54</v>
      </c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65"/>
      <c r="B87" s="8"/>
      <c r="C87" s="12" t="s">
        <v>14</v>
      </c>
      <c r="D87" s="38" t="s">
        <v>105</v>
      </c>
      <c r="E87" s="47">
        <v>2.0099999999999998</v>
      </c>
      <c r="F87" s="39">
        <v>0.29599999999999999</v>
      </c>
      <c r="G87" s="117">
        <v>3.31</v>
      </c>
      <c r="H87" s="59">
        <v>1.62</v>
      </c>
      <c r="I87" s="61" t="s">
        <v>105</v>
      </c>
      <c r="J87" s="68" t="s">
        <v>105</v>
      </c>
      <c r="K87" s="47" t="s">
        <v>105</v>
      </c>
      <c r="L87" s="39" t="s">
        <v>105</v>
      </c>
      <c r="M87" s="40" t="s">
        <v>105</v>
      </c>
      <c r="N87" s="61" t="s">
        <v>105</v>
      </c>
      <c r="O87" s="138">
        <v>0.56299999999999994</v>
      </c>
      <c r="P87" s="47" t="s">
        <v>105</v>
      </c>
      <c r="Q87" s="47" t="s">
        <v>105</v>
      </c>
      <c r="R87" s="143">
        <v>0.10100000000000001</v>
      </c>
      <c r="S87" s="61" t="s">
        <v>105</v>
      </c>
      <c r="T87" s="47">
        <v>1.1299999999999999</v>
      </c>
      <c r="U87" s="138">
        <v>0.41699999999999998</v>
      </c>
      <c r="V87" s="47">
        <v>1.46</v>
      </c>
      <c r="W87" s="40">
        <v>5.7000000000000002E-2</v>
      </c>
      <c r="X87" s="150">
        <v>0.90800000000000003</v>
      </c>
      <c r="Y87" s="117">
        <v>1.38</v>
      </c>
      <c r="Z87" s="47" t="s">
        <v>105</v>
      </c>
      <c r="AA87" s="47">
        <v>2.4300000000000002</v>
      </c>
      <c r="AB87" s="59" t="s">
        <v>105</v>
      </c>
      <c r="AC87" s="150">
        <v>0.13500000000000001</v>
      </c>
      <c r="AD87" s="47">
        <v>1.34</v>
      </c>
      <c r="AE87" s="138">
        <v>0.254</v>
      </c>
      <c r="AF87" s="39" t="s">
        <v>105</v>
      </c>
      <c r="AG87" s="40">
        <v>9.0999999999999998E-2</v>
      </c>
      <c r="AH87" s="150">
        <v>0.16</v>
      </c>
      <c r="AI87" s="47" t="s">
        <v>105</v>
      </c>
      <c r="AJ87" s="47">
        <v>2.12</v>
      </c>
      <c r="AK87" s="47" t="s">
        <v>105</v>
      </c>
      <c r="AL87" s="143">
        <v>0.97599999999999998</v>
      </c>
      <c r="AM87" s="44" t="s">
        <v>105</v>
      </c>
      <c r="AN87" s="39" t="s">
        <v>105</v>
      </c>
      <c r="AO87" s="68" t="s">
        <v>105</v>
      </c>
      <c r="AP87" s="138">
        <v>7.5999999999999998E-2</v>
      </c>
      <c r="AQ87" s="59" t="s">
        <v>105</v>
      </c>
      <c r="AR87" s="44" t="s">
        <v>105</v>
      </c>
      <c r="AS87" s="39" t="s">
        <v>105</v>
      </c>
      <c r="AT87" s="138">
        <v>0.46800000000000003</v>
      </c>
      <c r="AU87" s="47" t="s">
        <v>105</v>
      </c>
      <c r="AV87" s="59" t="s">
        <v>105</v>
      </c>
      <c r="AW87" s="61">
        <v>1.71</v>
      </c>
      <c r="AX87" s="47" t="s">
        <v>105</v>
      </c>
      <c r="AY87" s="47">
        <v>2.33</v>
      </c>
      <c r="AZ87" s="47">
        <v>3.21</v>
      </c>
      <c r="BA87" s="59">
        <v>3.19</v>
      </c>
      <c r="BB87" s="44" t="s">
        <v>105</v>
      </c>
      <c r="BC87" s="47">
        <v>2.67</v>
      </c>
      <c r="BD87" s="117">
        <v>3.12</v>
      </c>
      <c r="BE87" s="47">
        <v>5.18</v>
      </c>
      <c r="BF87" s="59">
        <v>3.56</v>
      </c>
      <c r="BG87" s="61" t="s">
        <v>105</v>
      </c>
      <c r="BH87" s="47">
        <v>1.55</v>
      </c>
      <c r="BI87" s="47">
        <v>3.18</v>
      </c>
      <c r="BJ87" s="39" t="s">
        <v>105</v>
      </c>
      <c r="BK87" s="59">
        <v>2.64</v>
      </c>
      <c r="BL87" s="44" t="s">
        <v>105</v>
      </c>
      <c r="BM87" s="40" t="s">
        <v>105</v>
      </c>
      <c r="BN87" s="168">
        <f t="shared" si="30"/>
        <v>1.6916944444444446</v>
      </c>
      <c r="BO87" s="168">
        <f t="shared" si="24"/>
        <v>5.54</v>
      </c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19</v>
      </c>
      <c r="B88" s="6"/>
      <c r="C88" s="11" t="s">
        <v>10</v>
      </c>
      <c r="D88" s="35" t="s">
        <v>105</v>
      </c>
      <c r="E88" s="104">
        <v>5.54</v>
      </c>
      <c r="F88" s="36" t="s">
        <v>105</v>
      </c>
      <c r="G88" s="36" t="s">
        <v>105</v>
      </c>
      <c r="H88" s="37" t="s">
        <v>105</v>
      </c>
      <c r="I88" s="43" t="s">
        <v>105</v>
      </c>
      <c r="J88" s="36" t="s">
        <v>105</v>
      </c>
      <c r="K88" s="36" t="s">
        <v>105</v>
      </c>
      <c r="L88" s="36" t="s">
        <v>105</v>
      </c>
      <c r="M88" s="37" t="s">
        <v>105</v>
      </c>
      <c r="N88" s="43" t="s">
        <v>105</v>
      </c>
      <c r="O88" s="36" t="s">
        <v>105</v>
      </c>
      <c r="P88" s="36" t="s">
        <v>105</v>
      </c>
      <c r="Q88" s="36" t="s">
        <v>105</v>
      </c>
      <c r="R88" s="37" t="s">
        <v>105</v>
      </c>
      <c r="S88" s="43" t="s">
        <v>105</v>
      </c>
      <c r="T88" s="36" t="s">
        <v>105</v>
      </c>
      <c r="U88" s="36" t="s">
        <v>105</v>
      </c>
      <c r="V88" s="36" t="s">
        <v>105</v>
      </c>
      <c r="W88" s="37" t="s">
        <v>105</v>
      </c>
      <c r="X88" s="43" t="s">
        <v>105</v>
      </c>
      <c r="Y88" s="36" t="s">
        <v>105</v>
      </c>
      <c r="Z88" s="36" t="s">
        <v>105</v>
      </c>
      <c r="AA88" s="36" t="s">
        <v>105</v>
      </c>
      <c r="AB88" s="37" t="s">
        <v>105</v>
      </c>
      <c r="AC88" s="43" t="s">
        <v>105</v>
      </c>
      <c r="AD88" s="36" t="s">
        <v>105</v>
      </c>
      <c r="AE88" s="36" t="s">
        <v>105</v>
      </c>
      <c r="AF88" s="36" t="s">
        <v>105</v>
      </c>
      <c r="AG88" s="37" t="s">
        <v>105</v>
      </c>
      <c r="AH88" s="43" t="s">
        <v>105</v>
      </c>
      <c r="AI88" s="36" t="s">
        <v>105</v>
      </c>
      <c r="AJ88" s="36" t="s">
        <v>105</v>
      </c>
      <c r="AK88" s="36" t="s">
        <v>105</v>
      </c>
      <c r="AL88" s="37" t="s">
        <v>105</v>
      </c>
      <c r="AM88" s="43" t="s">
        <v>105</v>
      </c>
      <c r="AN88" s="36" t="s">
        <v>105</v>
      </c>
      <c r="AO88" s="36" t="s">
        <v>105</v>
      </c>
      <c r="AP88" s="36" t="s">
        <v>105</v>
      </c>
      <c r="AQ88" s="37" t="s">
        <v>105</v>
      </c>
      <c r="AR88" s="43" t="s">
        <v>105</v>
      </c>
      <c r="AS88" s="36" t="s">
        <v>105</v>
      </c>
      <c r="AT88" s="36" t="s">
        <v>105</v>
      </c>
      <c r="AU88" s="36" t="s">
        <v>105</v>
      </c>
      <c r="AV88" s="37" t="s">
        <v>105</v>
      </c>
      <c r="AW88" s="43" t="s">
        <v>105</v>
      </c>
      <c r="AX88" s="36" t="s">
        <v>105</v>
      </c>
      <c r="AY88" s="36" t="s">
        <v>105</v>
      </c>
      <c r="AZ88" s="36" t="s">
        <v>105</v>
      </c>
      <c r="BA88" s="37" t="s">
        <v>105</v>
      </c>
      <c r="BB88" s="43" t="s">
        <v>105</v>
      </c>
      <c r="BC88" s="36" t="s">
        <v>105</v>
      </c>
      <c r="BD88" s="36" t="s">
        <v>105</v>
      </c>
      <c r="BE88" s="36" t="s">
        <v>105</v>
      </c>
      <c r="BF88" s="37" t="s">
        <v>105</v>
      </c>
      <c r="BG88" s="43" t="s">
        <v>105</v>
      </c>
      <c r="BH88" s="46" t="s">
        <v>105</v>
      </c>
      <c r="BI88" s="36" t="s">
        <v>105</v>
      </c>
      <c r="BJ88" s="36" t="s">
        <v>105</v>
      </c>
      <c r="BK88" s="37" t="s">
        <v>105</v>
      </c>
      <c r="BL88" s="43" t="s">
        <v>105</v>
      </c>
      <c r="BM88" s="63" t="s">
        <v>105</v>
      </c>
      <c r="BN88" s="166">
        <f t="shared" ref="BN88:BN90" si="31">IFERROR(AVERAGE(D88:BM90),0)</f>
        <v>9.3982857142857146</v>
      </c>
      <c r="BO88" s="166">
        <f t="shared" si="24"/>
        <v>52.8</v>
      </c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65" t="s">
        <v>11</v>
      </c>
      <c r="B89" s="7" t="s">
        <v>42</v>
      </c>
      <c r="C89" s="11" t="s">
        <v>8</v>
      </c>
      <c r="D89" s="41" t="s">
        <v>105</v>
      </c>
      <c r="E89" s="22" t="s">
        <v>105</v>
      </c>
      <c r="F89" s="22" t="s">
        <v>105</v>
      </c>
      <c r="G89" s="22" t="s">
        <v>105</v>
      </c>
      <c r="H89" s="42" t="s">
        <v>105</v>
      </c>
      <c r="I89" s="45" t="s">
        <v>105</v>
      </c>
      <c r="J89" s="22" t="s">
        <v>105</v>
      </c>
      <c r="K89" s="22" t="s">
        <v>105</v>
      </c>
      <c r="L89" s="22" t="s">
        <v>105</v>
      </c>
      <c r="M89" s="42" t="s">
        <v>105</v>
      </c>
      <c r="N89" s="45" t="s">
        <v>105</v>
      </c>
      <c r="O89" s="22" t="s">
        <v>105</v>
      </c>
      <c r="P89" s="22" t="s">
        <v>105</v>
      </c>
      <c r="Q89" s="22" t="s">
        <v>105</v>
      </c>
      <c r="R89" s="42" t="s">
        <v>105</v>
      </c>
      <c r="S89" s="45" t="s">
        <v>105</v>
      </c>
      <c r="T89" s="22" t="s">
        <v>105</v>
      </c>
      <c r="U89" s="22" t="s">
        <v>105</v>
      </c>
      <c r="V89" s="22" t="s">
        <v>105</v>
      </c>
      <c r="W89" s="42" t="s">
        <v>105</v>
      </c>
      <c r="X89" s="45" t="s">
        <v>105</v>
      </c>
      <c r="Y89" s="22" t="s">
        <v>105</v>
      </c>
      <c r="Z89" s="22" t="s">
        <v>105</v>
      </c>
      <c r="AA89" s="22" t="s">
        <v>105</v>
      </c>
      <c r="AB89" s="42" t="s">
        <v>105</v>
      </c>
      <c r="AC89" s="45" t="s">
        <v>105</v>
      </c>
      <c r="AD89" s="22" t="s">
        <v>105</v>
      </c>
      <c r="AE89" s="22" t="s">
        <v>105</v>
      </c>
      <c r="AF89" s="22" t="s">
        <v>105</v>
      </c>
      <c r="AG89" s="42" t="s">
        <v>105</v>
      </c>
      <c r="AH89" s="45" t="s">
        <v>105</v>
      </c>
      <c r="AI89" s="22" t="s">
        <v>105</v>
      </c>
      <c r="AJ89" s="22" t="s">
        <v>105</v>
      </c>
      <c r="AK89" s="22" t="s">
        <v>105</v>
      </c>
      <c r="AL89" s="42" t="s">
        <v>105</v>
      </c>
      <c r="AM89" s="45" t="s">
        <v>105</v>
      </c>
      <c r="AN89" s="22" t="s">
        <v>105</v>
      </c>
      <c r="AO89" s="22" t="s">
        <v>105</v>
      </c>
      <c r="AP89" s="22" t="s">
        <v>105</v>
      </c>
      <c r="AQ89" s="42" t="s">
        <v>105</v>
      </c>
      <c r="AR89" s="45" t="s">
        <v>105</v>
      </c>
      <c r="AS89" s="22" t="s">
        <v>105</v>
      </c>
      <c r="AT89" s="22" t="s">
        <v>105</v>
      </c>
      <c r="AU89" s="22" t="s">
        <v>105</v>
      </c>
      <c r="AV89" s="42" t="s">
        <v>105</v>
      </c>
      <c r="AW89" s="45" t="s">
        <v>105</v>
      </c>
      <c r="AX89" s="22" t="s">
        <v>105</v>
      </c>
      <c r="AY89" s="22" t="s">
        <v>105</v>
      </c>
      <c r="AZ89" s="22" t="s">
        <v>105</v>
      </c>
      <c r="BA89" s="42" t="s">
        <v>105</v>
      </c>
      <c r="BB89" s="45" t="s">
        <v>105</v>
      </c>
      <c r="BC89" s="22" t="s">
        <v>105</v>
      </c>
      <c r="BD89" s="22" t="s">
        <v>105</v>
      </c>
      <c r="BE89" s="22" t="s">
        <v>105</v>
      </c>
      <c r="BF89" s="42" t="s">
        <v>105</v>
      </c>
      <c r="BG89" s="45" t="s">
        <v>105</v>
      </c>
      <c r="BH89" s="32">
        <v>1.68</v>
      </c>
      <c r="BI89" s="136">
        <v>3.9E-2</v>
      </c>
      <c r="BJ89" s="22" t="s">
        <v>105</v>
      </c>
      <c r="BK89" s="42" t="s">
        <v>105</v>
      </c>
      <c r="BL89" s="45" t="s">
        <v>105</v>
      </c>
      <c r="BM89" s="42" t="s">
        <v>105</v>
      </c>
      <c r="BN89" s="167">
        <f t="shared" si="31"/>
        <v>2.3321521739130433</v>
      </c>
      <c r="BO89" s="167">
        <f t="shared" si="24"/>
        <v>52.8</v>
      </c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65"/>
      <c r="B90" s="8"/>
      <c r="C90" s="12" t="s">
        <v>14</v>
      </c>
      <c r="D90" s="156">
        <v>52.8</v>
      </c>
      <c r="E90" s="39" t="s">
        <v>105</v>
      </c>
      <c r="F90" s="39" t="s">
        <v>105</v>
      </c>
      <c r="G90" s="39" t="s">
        <v>105</v>
      </c>
      <c r="H90" s="40" t="s">
        <v>105</v>
      </c>
      <c r="I90" s="44" t="s">
        <v>105</v>
      </c>
      <c r="J90" s="39" t="s">
        <v>105</v>
      </c>
      <c r="K90" s="39" t="s">
        <v>105</v>
      </c>
      <c r="L90" s="39" t="s">
        <v>105</v>
      </c>
      <c r="M90" s="40" t="s">
        <v>105</v>
      </c>
      <c r="N90" s="150">
        <v>0.879</v>
      </c>
      <c r="O90" s="39" t="s">
        <v>105</v>
      </c>
      <c r="P90" s="39" t="s">
        <v>105</v>
      </c>
      <c r="Q90" s="39" t="s">
        <v>105</v>
      </c>
      <c r="R90" s="40" t="s">
        <v>105</v>
      </c>
      <c r="S90" s="44" t="s">
        <v>105</v>
      </c>
      <c r="T90" s="39" t="s">
        <v>105</v>
      </c>
      <c r="U90" s="39" t="s">
        <v>105</v>
      </c>
      <c r="V90" s="39" t="s">
        <v>105</v>
      </c>
      <c r="W90" s="40" t="s">
        <v>105</v>
      </c>
      <c r="X90" s="44" t="s">
        <v>105</v>
      </c>
      <c r="Y90" s="39" t="s">
        <v>105</v>
      </c>
      <c r="Z90" s="39" t="s">
        <v>105</v>
      </c>
      <c r="AA90" s="39" t="s">
        <v>105</v>
      </c>
      <c r="AB90" s="40" t="s">
        <v>105</v>
      </c>
      <c r="AC90" s="44" t="s">
        <v>105</v>
      </c>
      <c r="AD90" s="39" t="s">
        <v>105</v>
      </c>
      <c r="AE90" s="39" t="s">
        <v>105</v>
      </c>
      <c r="AF90" s="39" t="s">
        <v>105</v>
      </c>
      <c r="AG90" s="40" t="s">
        <v>105</v>
      </c>
      <c r="AH90" s="44" t="s">
        <v>105</v>
      </c>
      <c r="AI90" s="39" t="s">
        <v>105</v>
      </c>
      <c r="AJ90" s="39" t="s">
        <v>105</v>
      </c>
      <c r="AK90" s="39" t="s">
        <v>105</v>
      </c>
      <c r="AL90" s="40" t="s">
        <v>105</v>
      </c>
      <c r="AM90" s="44" t="s">
        <v>105</v>
      </c>
      <c r="AN90" s="39" t="s">
        <v>105</v>
      </c>
      <c r="AO90" s="39" t="s">
        <v>105</v>
      </c>
      <c r="AP90" s="39" t="s">
        <v>105</v>
      </c>
      <c r="AQ90" s="40" t="s">
        <v>105</v>
      </c>
      <c r="AR90" s="44" t="s">
        <v>105</v>
      </c>
      <c r="AS90" s="39" t="s">
        <v>105</v>
      </c>
      <c r="AT90" s="39" t="s">
        <v>105</v>
      </c>
      <c r="AU90" s="39" t="s">
        <v>105</v>
      </c>
      <c r="AV90" s="40" t="s">
        <v>105</v>
      </c>
      <c r="AW90" s="44" t="s">
        <v>105</v>
      </c>
      <c r="AX90" s="39" t="s">
        <v>105</v>
      </c>
      <c r="AY90" s="39" t="s">
        <v>105</v>
      </c>
      <c r="AZ90" s="39" t="s">
        <v>105</v>
      </c>
      <c r="BA90" s="40" t="s">
        <v>105</v>
      </c>
      <c r="BB90" s="44" t="s">
        <v>105</v>
      </c>
      <c r="BC90" s="39" t="s">
        <v>105</v>
      </c>
      <c r="BD90" s="39" t="s">
        <v>105</v>
      </c>
      <c r="BE90" s="39" t="s">
        <v>105</v>
      </c>
      <c r="BF90" s="40" t="s">
        <v>105</v>
      </c>
      <c r="BG90" s="80">
        <v>3.1</v>
      </c>
      <c r="BH90" s="47" t="s">
        <v>105</v>
      </c>
      <c r="BI90" s="39" t="s">
        <v>105</v>
      </c>
      <c r="BJ90" s="39" t="s">
        <v>105</v>
      </c>
      <c r="BK90" s="59">
        <v>1.75</v>
      </c>
      <c r="BL90" s="44" t="s">
        <v>105</v>
      </c>
      <c r="BM90" s="40" t="s">
        <v>105</v>
      </c>
      <c r="BN90" s="168">
        <f t="shared" si="31"/>
        <v>2.0669999999999993</v>
      </c>
      <c r="BO90" s="168">
        <f t="shared" si="24"/>
        <v>52.8</v>
      </c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43</v>
      </c>
      <c r="B91" s="6"/>
      <c r="C91" s="11" t="s">
        <v>10</v>
      </c>
      <c r="D91" s="35" t="s">
        <v>105</v>
      </c>
      <c r="E91" s="36" t="s">
        <v>105</v>
      </c>
      <c r="F91" s="46">
        <v>1.07</v>
      </c>
      <c r="G91" s="36" t="s">
        <v>105</v>
      </c>
      <c r="H91" s="63">
        <v>2.27</v>
      </c>
      <c r="I91" s="43">
        <v>0.35499999999999998</v>
      </c>
      <c r="J91" s="36" t="s">
        <v>105</v>
      </c>
      <c r="K91" s="36">
        <v>0.20499999999999999</v>
      </c>
      <c r="L91" s="36" t="s">
        <v>105</v>
      </c>
      <c r="M91" s="63">
        <v>1.52</v>
      </c>
      <c r="N91" s="65" t="s">
        <v>105</v>
      </c>
      <c r="O91" s="36" t="s">
        <v>105</v>
      </c>
      <c r="P91" s="36">
        <v>0.66800000000000004</v>
      </c>
      <c r="Q91" s="36">
        <v>0.84299999999999997</v>
      </c>
      <c r="R91" s="63">
        <v>2.74</v>
      </c>
      <c r="S91" s="43">
        <v>0.17</v>
      </c>
      <c r="T91" s="36" t="s">
        <v>105</v>
      </c>
      <c r="U91" s="140">
        <v>0.53200000000000003</v>
      </c>
      <c r="V91" s="36" t="s">
        <v>105</v>
      </c>
      <c r="W91" s="63">
        <v>2.5499999999999998</v>
      </c>
      <c r="X91" s="65">
        <v>3.95</v>
      </c>
      <c r="Y91" s="36">
        <v>0.128</v>
      </c>
      <c r="Z91" s="104">
        <v>2.48</v>
      </c>
      <c r="AA91" s="36" t="s">
        <v>105</v>
      </c>
      <c r="AB91" s="63">
        <v>1.37</v>
      </c>
      <c r="AC91" s="43" t="s">
        <v>105</v>
      </c>
      <c r="AD91" s="120">
        <v>1.4</v>
      </c>
      <c r="AE91" s="36">
        <v>0.45600000000000002</v>
      </c>
      <c r="AF91" s="140">
        <v>0.621</v>
      </c>
      <c r="AG91" s="63">
        <v>1.66</v>
      </c>
      <c r="AH91" s="139">
        <v>0.93400000000000005</v>
      </c>
      <c r="AI91" s="36" t="s">
        <v>105</v>
      </c>
      <c r="AJ91" s="140">
        <v>0.67800000000000005</v>
      </c>
      <c r="AK91" s="46">
        <v>1.05</v>
      </c>
      <c r="AL91" s="134">
        <v>0.55500000000000005</v>
      </c>
      <c r="AM91" s="65">
        <v>1.1100000000000001</v>
      </c>
      <c r="AN91" s="120">
        <v>2.1</v>
      </c>
      <c r="AO91" s="140">
        <v>0.94199999999999995</v>
      </c>
      <c r="AP91" s="140">
        <v>0.38900000000000001</v>
      </c>
      <c r="AQ91" s="63" t="s">
        <v>105</v>
      </c>
      <c r="AR91" s="43">
        <v>0.26900000000000002</v>
      </c>
      <c r="AS91" s="36">
        <v>0.61</v>
      </c>
      <c r="AT91" s="46" t="s">
        <v>105</v>
      </c>
      <c r="AU91" s="36" t="s">
        <v>105</v>
      </c>
      <c r="AV91" s="37" t="s">
        <v>105</v>
      </c>
      <c r="AW91" s="43" t="s">
        <v>105</v>
      </c>
      <c r="AX91" s="36" t="s">
        <v>105</v>
      </c>
      <c r="AY91" s="104">
        <v>1.52</v>
      </c>
      <c r="AZ91" s="140">
        <v>0.76100000000000001</v>
      </c>
      <c r="BA91" s="37">
        <v>0.97899999999999998</v>
      </c>
      <c r="BB91" s="43">
        <v>0.497</v>
      </c>
      <c r="BC91" s="104">
        <v>2.15</v>
      </c>
      <c r="BD91" s="140">
        <v>7.0999999999999994E-2</v>
      </c>
      <c r="BE91" s="104">
        <v>3.01</v>
      </c>
      <c r="BF91" s="105">
        <v>1.38</v>
      </c>
      <c r="BG91" s="112">
        <v>1.58</v>
      </c>
      <c r="BH91" s="36" t="s">
        <v>105</v>
      </c>
      <c r="BI91" s="36" t="s">
        <v>105</v>
      </c>
      <c r="BJ91" s="36" t="s">
        <v>105</v>
      </c>
      <c r="BK91" s="134">
        <v>0.60899999999999999</v>
      </c>
      <c r="BL91" s="43">
        <v>0.84899999999999998</v>
      </c>
      <c r="BM91" s="37" t="s">
        <v>105</v>
      </c>
      <c r="BN91" s="166">
        <f t="shared" ref="BN91:BN93" si="32">IFERROR(AVERAGE(D91:BM93),0)</f>
        <v>1.7917924528301885</v>
      </c>
      <c r="BO91" s="166">
        <f t="shared" si="24"/>
        <v>30.5</v>
      </c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65" t="s">
        <v>11</v>
      </c>
      <c r="B92" s="7" t="s">
        <v>44</v>
      </c>
      <c r="C92" s="11" t="s">
        <v>8</v>
      </c>
      <c r="D92" s="74" t="s">
        <v>105</v>
      </c>
      <c r="E92" s="22" t="s">
        <v>105</v>
      </c>
      <c r="F92" s="123">
        <v>1.71</v>
      </c>
      <c r="G92" s="22" t="s">
        <v>105</v>
      </c>
      <c r="H92" s="42" t="s">
        <v>105</v>
      </c>
      <c r="I92" s="45">
        <v>0.39</v>
      </c>
      <c r="J92" s="22" t="s">
        <v>105</v>
      </c>
      <c r="K92" s="123">
        <v>2.61</v>
      </c>
      <c r="L92" s="32">
        <v>2.65</v>
      </c>
      <c r="M92" s="60">
        <v>1.06</v>
      </c>
      <c r="N92" s="64" t="s">
        <v>105</v>
      </c>
      <c r="O92" s="22" t="s">
        <v>105</v>
      </c>
      <c r="P92" s="22" t="s">
        <v>105</v>
      </c>
      <c r="Q92" s="22">
        <v>0.67100000000000004</v>
      </c>
      <c r="R92" s="42">
        <v>0.93300000000000005</v>
      </c>
      <c r="S92" s="45">
        <v>0.434</v>
      </c>
      <c r="T92" s="22" t="s">
        <v>105</v>
      </c>
      <c r="U92" s="32">
        <v>2.48</v>
      </c>
      <c r="V92" s="22" t="s">
        <v>105</v>
      </c>
      <c r="W92" s="60" t="s">
        <v>105</v>
      </c>
      <c r="X92" s="111">
        <v>1.48</v>
      </c>
      <c r="Y92" s="22" t="s">
        <v>105</v>
      </c>
      <c r="Z92" s="32">
        <v>3.49</v>
      </c>
      <c r="AA92" s="123">
        <v>3.58</v>
      </c>
      <c r="AB92" s="115">
        <v>2.42</v>
      </c>
      <c r="AC92" s="111">
        <v>1.1100000000000001</v>
      </c>
      <c r="AD92" s="32" t="s">
        <v>105</v>
      </c>
      <c r="AE92" s="123">
        <v>2.1800000000000002</v>
      </c>
      <c r="AF92" s="33">
        <v>2</v>
      </c>
      <c r="AG92" s="42" t="s">
        <v>105</v>
      </c>
      <c r="AH92" s="129">
        <v>0.92600000000000005</v>
      </c>
      <c r="AI92" s="22">
        <v>0.109</v>
      </c>
      <c r="AJ92" s="32">
        <v>1.36</v>
      </c>
      <c r="AK92" s="22">
        <v>2.1000000000000001E-2</v>
      </c>
      <c r="AL92" s="42" t="s">
        <v>105</v>
      </c>
      <c r="AM92" s="45" t="s">
        <v>105</v>
      </c>
      <c r="AN92" s="22" t="s">
        <v>105</v>
      </c>
      <c r="AO92" s="32" t="s">
        <v>105</v>
      </c>
      <c r="AP92" s="136">
        <v>2.8000000000000001E-2</v>
      </c>
      <c r="AQ92" s="42" t="s">
        <v>105</v>
      </c>
      <c r="AR92" s="64">
        <v>1.91</v>
      </c>
      <c r="AS92" s="22" t="s">
        <v>105</v>
      </c>
      <c r="AT92" s="22" t="s">
        <v>105</v>
      </c>
      <c r="AU92" s="22" t="s">
        <v>105</v>
      </c>
      <c r="AV92" s="42" t="s">
        <v>105</v>
      </c>
      <c r="AW92" s="64" t="s">
        <v>105</v>
      </c>
      <c r="AX92" s="123">
        <v>1.64</v>
      </c>
      <c r="AY92" s="123">
        <v>1.1399999999999999</v>
      </c>
      <c r="AZ92" s="32" t="s">
        <v>105</v>
      </c>
      <c r="BA92" s="42">
        <v>0.30299999999999999</v>
      </c>
      <c r="BB92" s="129">
        <v>0.90300000000000002</v>
      </c>
      <c r="BC92" s="22">
        <v>0.129</v>
      </c>
      <c r="BD92" s="34">
        <v>2.4</v>
      </c>
      <c r="BE92" s="130">
        <v>1.5</v>
      </c>
      <c r="BF92" s="42" t="s">
        <v>105</v>
      </c>
      <c r="BG92" s="111">
        <v>1.33</v>
      </c>
      <c r="BH92" s="22" t="s">
        <v>105</v>
      </c>
      <c r="BI92" s="136">
        <v>0.34899999999999998</v>
      </c>
      <c r="BJ92" s="123">
        <v>3.48</v>
      </c>
      <c r="BK92" s="42" t="s">
        <v>105</v>
      </c>
      <c r="BL92" s="111">
        <v>2.31</v>
      </c>
      <c r="BM92" s="115">
        <v>6.63</v>
      </c>
      <c r="BN92" s="167">
        <f t="shared" si="32"/>
        <v>1.8742812499999995</v>
      </c>
      <c r="BO92" s="167">
        <f t="shared" si="24"/>
        <v>30.5</v>
      </c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65"/>
      <c r="B93" s="8"/>
      <c r="C93" s="12" t="s">
        <v>14</v>
      </c>
      <c r="D93" s="73" t="s">
        <v>105</v>
      </c>
      <c r="E93" s="39" t="s">
        <v>105</v>
      </c>
      <c r="F93" s="47">
        <v>1.25</v>
      </c>
      <c r="G93" s="157">
        <v>30.5</v>
      </c>
      <c r="H93" s="66" t="s">
        <v>105</v>
      </c>
      <c r="I93" s="137">
        <v>1.2</v>
      </c>
      <c r="J93" s="132">
        <v>1.5</v>
      </c>
      <c r="K93" s="47">
        <v>3.63</v>
      </c>
      <c r="L93" s="47">
        <v>1.21</v>
      </c>
      <c r="M93" s="40">
        <v>0.32100000000000001</v>
      </c>
      <c r="N93" s="44">
        <v>6.7000000000000004E-2</v>
      </c>
      <c r="O93" s="47" t="s">
        <v>105</v>
      </c>
      <c r="P93" s="39" t="s">
        <v>105</v>
      </c>
      <c r="Q93" s="39" t="s">
        <v>105</v>
      </c>
      <c r="R93" s="40">
        <v>0.11600000000000001</v>
      </c>
      <c r="S93" s="109">
        <v>3.13</v>
      </c>
      <c r="T93" s="39" t="s">
        <v>105</v>
      </c>
      <c r="U93" s="39" t="s">
        <v>105</v>
      </c>
      <c r="V93" s="39">
        <v>9.9000000000000005E-2</v>
      </c>
      <c r="W93" s="116">
        <v>1.25</v>
      </c>
      <c r="X93" s="44">
        <v>0.81</v>
      </c>
      <c r="Y93" s="39" t="s">
        <v>105</v>
      </c>
      <c r="Z93" s="39" t="s">
        <v>105</v>
      </c>
      <c r="AA93" s="39" t="s">
        <v>105</v>
      </c>
      <c r="AB93" s="40" t="s">
        <v>105</v>
      </c>
      <c r="AC93" s="44">
        <v>0.123</v>
      </c>
      <c r="AD93" s="39">
        <v>0.311</v>
      </c>
      <c r="AE93" s="39" t="s">
        <v>105</v>
      </c>
      <c r="AF93" s="117">
        <v>1.01</v>
      </c>
      <c r="AG93" s="40" t="s">
        <v>105</v>
      </c>
      <c r="AH93" s="61" t="s">
        <v>105</v>
      </c>
      <c r="AI93" s="39" t="s">
        <v>105</v>
      </c>
      <c r="AJ93" s="47" t="s">
        <v>105</v>
      </c>
      <c r="AK93" s="138">
        <v>0.77400000000000002</v>
      </c>
      <c r="AL93" s="116">
        <v>1.05</v>
      </c>
      <c r="AM93" s="44" t="s">
        <v>105</v>
      </c>
      <c r="AN93" s="39" t="s">
        <v>105</v>
      </c>
      <c r="AO93" s="39" t="s">
        <v>105</v>
      </c>
      <c r="AP93" s="39">
        <v>0.61299999999999999</v>
      </c>
      <c r="AQ93" s="40" t="s">
        <v>105</v>
      </c>
      <c r="AR93" s="109">
        <v>1.01</v>
      </c>
      <c r="AS93" s="39">
        <v>0.87</v>
      </c>
      <c r="AT93" s="39" t="s">
        <v>105</v>
      </c>
      <c r="AU93" s="39" t="s">
        <v>105</v>
      </c>
      <c r="AV93" s="40" t="s">
        <v>105</v>
      </c>
      <c r="AW93" s="44" t="s">
        <v>105</v>
      </c>
      <c r="AX93" s="39" t="s">
        <v>105</v>
      </c>
      <c r="AY93" s="39" t="s">
        <v>105</v>
      </c>
      <c r="AZ93" s="39">
        <v>0.88800000000000001</v>
      </c>
      <c r="BA93" s="116">
        <v>4.71</v>
      </c>
      <c r="BB93" s="44" t="s">
        <v>105</v>
      </c>
      <c r="BC93" s="117">
        <v>1.39</v>
      </c>
      <c r="BD93" s="39">
        <v>0.70499999999999996</v>
      </c>
      <c r="BE93" s="117">
        <v>1.45</v>
      </c>
      <c r="BF93" s="40">
        <v>0.78200000000000003</v>
      </c>
      <c r="BG93" s="137">
        <v>2.6</v>
      </c>
      <c r="BH93" s="39">
        <v>6.3E-2</v>
      </c>
      <c r="BI93" s="39">
        <v>0.85099999999999998</v>
      </c>
      <c r="BJ93" s="138">
        <v>0.95</v>
      </c>
      <c r="BK93" s="40" t="s">
        <v>105</v>
      </c>
      <c r="BL93" s="44" t="s">
        <v>105</v>
      </c>
      <c r="BM93" s="158">
        <v>22</v>
      </c>
      <c r="BN93" s="168">
        <f t="shared" si="32"/>
        <v>1.8654494382022464</v>
      </c>
      <c r="BO93" s="168">
        <f t="shared" si="24"/>
        <v>30.5</v>
      </c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43</v>
      </c>
      <c r="B94" s="6"/>
      <c r="C94" s="11" t="s">
        <v>10</v>
      </c>
      <c r="D94" s="35" t="s">
        <v>105</v>
      </c>
      <c r="E94" s="36" t="s">
        <v>105</v>
      </c>
      <c r="F94" s="46" t="s">
        <v>105</v>
      </c>
      <c r="G94" s="36" t="s">
        <v>105</v>
      </c>
      <c r="H94" s="63">
        <v>3.02</v>
      </c>
      <c r="I94" s="65" t="s">
        <v>105</v>
      </c>
      <c r="J94" s="36">
        <v>1.7999999999999999E-2</v>
      </c>
      <c r="K94" s="36" t="s">
        <v>105</v>
      </c>
      <c r="L94" s="36" t="s">
        <v>105</v>
      </c>
      <c r="M94" s="37">
        <v>0.34899999999999998</v>
      </c>
      <c r="N94" s="65" t="s">
        <v>105</v>
      </c>
      <c r="O94" s="67">
        <v>1.7</v>
      </c>
      <c r="P94" s="46">
        <v>3.83</v>
      </c>
      <c r="Q94" s="46" t="s">
        <v>105</v>
      </c>
      <c r="R94" s="134">
        <v>0.13</v>
      </c>
      <c r="S94" s="139">
        <v>0.21299999999999999</v>
      </c>
      <c r="T94" s="140">
        <v>0.437</v>
      </c>
      <c r="U94" s="46">
        <v>1.88</v>
      </c>
      <c r="V94" s="36" t="s">
        <v>105</v>
      </c>
      <c r="W94" s="63" t="s">
        <v>105</v>
      </c>
      <c r="X94" s="65" t="s">
        <v>105</v>
      </c>
      <c r="Y94" s="140">
        <v>0.219</v>
      </c>
      <c r="Z94" s="104">
        <v>1.27</v>
      </c>
      <c r="AA94" s="140">
        <v>0.96899999999999997</v>
      </c>
      <c r="AB94" s="37" t="s">
        <v>105</v>
      </c>
      <c r="AC94" s="43">
        <v>0.23300000000000001</v>
      </c>
      <c r="AD94" s="36" t="s">
        <v>105</v>
      </c>
      <c r="AE94" s="46" t="s">
        <v>105</v>
      </c>
      <c r="AF94" s="36" t="s">
        <v>105</v>
      </c>
      <c r="AG94" s="63">
        <v>3.25</v>
      </c>
      <c r="AH94" s="139">
        <v>5.7000000000000002E-2</v>
      </c>
      <c r="AI94" s="36">
        <v>0.66</v>
      </c>
      <c r="AJ94" s="104">
        <v>2.96</v>
      </c>
      <c r="AK94" s="46" t="s">
        <v>105</v>
      </c>
      <c r="AL94" s="37">
        <v>0.129</v>
      </c>
      <c r="AM94" s="65" t="s">
        <v>105</v>
      </c>
      <c r="AN94" s="46">
        <v>1.85</v>
      </c>
      <c r="AO94" s="36" t="s">
        <v>105</v>
      </c>
      <c r="AP94" s="46" t="s">
        <v>105</v>
      </c>
      <c r="AQ94" s="37" t="s">
        <v>105</v>
      </c>
      <c r="AR94" s="139">
        <v>0.41899999999999998</v>
      </c>
      <c r="AS94" s="36" t="s">
        <v>105</v>
      </c>
      <c r="AT94" s="46">
        <v>3.42</v>
      </c>
      <c r="AU94" s="46" t="s">
        <v>105</v>
      </c>
      <c r="AV94" s="37" t="s">
        <v>105</v>
      </c>
      <c r="AW94" s="65" t="s">
        <v>105</v>
      </c>
      <c r="AX94" s="46">
        <v>1.54</v>
      </c>
      <c r="AY94" s="36" t="s">
        <v>105</v>
      </c>
      <c r="AZ94" s="140">
        <v>0.63300000000000001</v>
      </c>
      <c r="BA94" s="37">
        <v>0.80100000000000005</v>
      </c>
      <c r="BB94" s="43" t="s">
        <v>105</v>
      </c>
      <c r="BC94" s="36">
        <v>0.60699999999999998</v>
      </c>
      <c r="BD94" s="46">
        <v>1.41</v>
      </c>
      <c r="BE94" s="140">
        <v>0.95499999999999996</v>
      </c>
      <c r="BF94" s="63" t="s">
        <v>105</v>
      </c>
      <c r="BG94" s="65" t="s">
        <v>105</v>
      </c>
      <c r="BH94" s="36">
        <v>0.503</v>
      </c>
      <c r="BI94" s="36" t="s">
        <v>105</v>
      </c>
      <c r="BJ94" s="67" t="s">
        <v>105</v>
      </c>
      <c r="BK94" s="63" t="s">
        <v>105</v>
      </c>
      <c r="BL94" s="65">
        <v>1.1599999999999999</v>
      </c>
      <c r="BM94" s="105">
        <v>2.41</v>
      </c>
      <c r="BN94" s="166">
        <f t="shared" ref="BN94:BN96" si="33">IFERROR(AVERAGE(D94:BM96),0)</f>
        <v>1.2829876543209873</v>
      </c>
      <c r="BO94" s="166">
        <f t="shared" si="24"/>
        <v>8.75</v>
      </c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65" t="s">
        <v>11</v>
      </c>
      <c r="B95" s="7" t="s">
        <v>45</v>
      </c>
      <c r="C95" s="11" t="s">
        <v>8</v>
      </c>
      <c r="D95" s="41">
        <v>7.6999999999999999E-2</v>
      </c>
      <c r="E95" s="22" t="s">
        <v>105</v>
      </c>
      <c r="F95" s="136">
        <v>0.55900000000000005</v>
      </c>
      <c r="G95" s="32" t="s">
        <v>105</v>
      </c>
      <c r="H95" s="42" t="s">
        <v>105</v>
      </c>
      <c r="I95" s="45">
        <v>0.17299999999999999</v>
      </c>
      <c r="J95" s="22" t="s">
        <v>105</v>
      </c>
      <c r="K95" s="22" t="s">
        <v>105</v>
      </c>
      <c r="L95" s="32" t="s">
        <v>105</v>
      </c>
      <c r="M95" s="42" t="s">
        <v>105</v>
      </c>
      <c r="N95" s="64" t="s">
        <v>105</v>
      </c>
      <c r="O95" s="136">
        <v>0.27500000000000002</v>
      </c>
      <c r="P95" s="22" t="s">
        <v>105</v>
      </c>
      <c r="Q95" s="32" t="s">
        <v>105</v>
      </c>
      <c r="R95" s="42" t="s">
        <v>105</v>
      </c>
      <c r="S95" s="64" t="s">
        <v>105</v>
      </c>
      <c r="T95" s="22" t="s">
        <v>105</v>
      </c>
      <c r="U95" s="136">
        <v>2.7E-2</v>
      </c>
      <c r="V95" s="22" t="s">
        <v>105</v>
      </c>
      <c r="W95" s="71" t="s">
        <v>105</v>
      </c>
      <c r="X95" s="64" t="s">
        <v>105</v>
      </c>
      <c r="Y95" s="22" t="s">
        <v>105</v>
      </c>
      <c r="Z95" s="32" t="s">
        <v>105</v>
      </c>
      <c r="AA95" s="22" t="s">
        <v>105</v>
      </c>
      <c r="AB95" s="42" t="s">
        <v>105</v>
      </c>
      <c r="AC95" s="111">
        <v>2.4900000000000002</v>
      </c>
      <c r="AD95" s="32" t="s">
        <v>105</v>
      </c>
      <c r="AE95" s="22" t="s">
        <v>105</v>
      </c>
      <c r="AF95" s="32" t="s">
        <v>105</v>
      </c>
      <c r="AG95" s="60">
        <v>4.3099999999999996</v>
      </c>
      <c r="AH95" s="64" t="s">
        <v>105</v>
      </c>
      <c r="AI95" s="32">
        <v>2.65</v>
      </c>
      <c r="AJ95" s="32" t="s">
        <v>105</v>
      </c>
      <c r="AK95" s="22" t="s">
        <v>105</v>
      </c>
      <c r="AL95" s="42">
        <v>0.94199999999999995</v>
      </c>
      <c r="AM95" s="64" t="s">
        <v>105</v>
      </c>
      <c r="AN95" s="32">
        <v>1.59</v>
      </c>
      <c r="AO95" s="136">
        <v>0.98899999999999999</v>
      </c>
      <c r="AP95" s="22">
        <v>0.64900000000000002</v>
      </c>
      <c r="AQ95" s="60" t="s">
        <v>105</v>
      </c>
      <c r="AR95" s="111">
        <v>1.1299999999999999</v>
      </c>
      <c r="AS95" s="32">
        <v>2.67</v>
      </c>
      <c r="AT95" s="32" t="s">
        <v>105</v>
      </c>
      <c r="AU95" s="22" t="s">
        <v>105</v>
      </c>
      <c r="AV95" s="42">
        <v>0.44800000000000001</v>
      </c>
      <c r="AW95" s="129">
        <v>0.88600000000000001</v>
      </c>
      <c r="AX95" s="22" t="s">
        <v>105</v>
      </c>
      <c r="AY95" s="32">
        <v>2.0299999999999998</v>
      </c>
      <c r="AZ95" s="22" t="s">
        <v>105</v>
      </c>
      <c r="BA95" s="42" t="s">
        <v>105</v>
      </c>
      <c r="BB95" s="45">
        <v>0.59499999999999997</v>
      </c>
      <c r="BC95" s="32">
        <v>1.04</v>
      </c>
      <c r="BD95" s="123">
        <v>2.39</v>
      </c>
      <c r="BE95" s="136">
        <v>0.19700000000000001</v>
      </c>
      <c r="BF95" s="60">
        <v>1.23</v>
      </c>
      <c r="BG95" s="45">
        <v>0.83199999999999996</v>
      </c>
      <c r="BH95" s="123">
        <v>8.75</v>
      </c>
      <c r="BI95" s="22" t="s">
        <v>105</v>
      </c>
      <c r="BJ95" s="32">
        <v>1.46</v>
      </c>
      <c r="BK95" s="60">
        <v>3.26</v>
      </c>
      <c r="BL95" s="45">
        <v>0.111</v>
      </c>
      <c r="BM95" s="42" t="s">
        <v>105</v>
      </c>
      <c r="BN95" s="167">
        <f t="shared" si="33"/>
        <v>2.5091730769230773</v>
      </c>
      <c r="BO95" s="167">
        <f t="shared" si="24"/>
        <v>13.3</v>
      </c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65"/>
      <c r="B96" s="8"/>
      <c r="C96" s="12" t="s">
        <v>14</v>
      </c>
      <c r="D96" s="38" t="s">
        <v>105</v>
      </c>
      <c r="E96" s="47" t="s">
        <v>105</v>
      </c>
      <c r="F96" s="39" t="s">
        <v>105</v>
      </c>
      <c r="G96" s="47" t="s">
        <v>105</v>
      </c>
      <c r="H96" s="40" t="s">
        <v>105</v>
      </c>
      <c r="I96" s="61" t="s">
        <v>105</v>
      </c>
      <c r="J96" s="39" t="s">
        <v>105</v>
      </c>
      <c r="K96" s="39" t="s">
        <v>105</v>
      </c>
      <c r="L96" s="132">
        <v>1.3</v>
      </c>
      <c r="M96" s="40" t="s">
        <v>105</v>
      </c>
      <c r="N96" s="150">
        <v>0.63100000000000001</v>
      </c>
      <c r="O96" s="39">
        <v>0.442</v>
      </c>
      <c r="P96" s="47" t="s">
        <v>105</v>
      </c>
      <c r="Q96" s="47" t="s">
        <v>105</v>
      </c>
      <c r="R96" s="40" t="s">
        <v>105</v>
      </c>
      <c r="S96" s="44" t="s">
        <v>105</v>
      </c>
      <c r="T96" s="39" t="s">
        <v>105</v>
      </c>
      <c r="U96" s="47">
        <v>1.83</v>
      </c>
      <c r="V96" s="138">
        <v>0.97699999999999998</v>
      </c>
      <c r="W96" s="59">
        <v>1.1599999999999999</v>
      </c>
      <c r="X96" s="44" t="s">
        <v>105</v>
      </c>
      <c r="Y96" s="138">
        <v>0.83</v>
      </c>
      <c r="Z96" s="39" t="s">
        <v>105</v>
      </c>
      <c r="AA96" s="39" t="s">
        <v>105</v>
      </c>
      <c r="AB96" s="59" t="s">
        <v>105</v>
      </c>
      <c r="AC96" s="61" t="s">
        <v>105</v>
      </c>
      <c r="AD96" s="39">
        <v>0.25800000000000001</v>
      </c>
      <c r="AE96" s="39" t="s">
        <v>105</v>
      </c>
      <c r="AF96" s="39" t="s">
        <v>105</v>
      </c>
      <c r="AG96" s="40">
        <v>0.94399999999999995</v>
      </c>
      <c r="AH96" s="44" t="s">
        <v>105</v>
      </c>
      <c r="AI96" s="47">
        <v>2.4700000000000002</v>
      </c>
      <c r="AJ96" s="39" t="s">
        <v>105</v>
      </c>
      <c r="AK96" s="39" t="s">
        <v>105</v>
      </c>
      <c r="AL96" s="40" t="s">
        <v>105</v>
      </c>
      <c r="AM96" s="150">
        <v>0.81100000000000005</v>
      </c>
      <c r="AN96" s="47" t="s">
        <v>105</v>
      </c>
      <c r="AO96" s="117">
        <v>1.39</v>
      </c>
      <c r="AP96" s="117">
        <v>1.21</v>
      </c>
      <c r="AQ96" s="40" t="s">
        <v>105</v>
      </c>
      <c r="AR96" s="44">
        <v>0.60099999999999998</v>
      </c>
      <c r="AS96" s="39" t="s">
        <v>105</v>
      </c>
      <c r="AT96" s="47" t="s">
        <v>105</v>
      </c>
      <c r="AU96" s="39" t="s">
        <v>105</v>
      </c>
      <c r="AV96" s="40" t="s">
        <v>105</v>
      </c>
      <c r="AW96" s="44" t="s">
        <v>105</v>
      </c>
      <c r="AX96" s="39">
        <v>0.113</v>
      </c>
      <c r="AY96" s="39">
        <v>0.376</v>
      </c>
      <c r="AZ96" s="117">
        <v>2.46</v>
      </c>
      <c r="BA96" s="116">
        <v>1.03</v>
      </c>
      <c r="BB96" s="44" t="s">
        <v>105</v>
      </c>
      <c r="BC96" s="138">
        <v>0.877</v>
      </c>
      <c r="BD96" s="39" t="s">
        <v>105</v>
      </c>
      <c r="BE96" s="39" t="s">
        <v>105</v>
      </c>
      <c r="BF96" s="59">
        <v>1.01</v>
      </c>
      <c r="BG96" s="44">
        <v>0.34200000000000003</v>
      </c>
      <c r="BH96" s="117">
        <v>2.75</v>
      </c>
      <c r="BI96" s="47">
        <v>1.02</v>
      </c>
      <c r="BJ96" s="39" t="s">
        <v>105</v>
      </c>
      <c r="BK96" s="143">
        <v>0.29799999999999999</v>
      </c>
      <c r="BL96" s="44" t="s">
        <v>105</v>
      </c>
      <c r="BM96" s="40" t="s">
        <v>105</v>
      </c>
      <c r="BN96" s="168">
        <f t="shared" si="33"/>
        <v>2.7850636363636365</v>
      </c>
      <c r="BO96" s="168">
        <f t="shared" si="24"/>
        <v>13.3</v>
      </c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43</v>
      </c>
      <c r="B97" s="6"/>
      <c r="C97" s="11" t="s">
        <v>10</v>
      </c>
      <c r="D97" s="62">
        <v>1.28</v>
      </c>
      <c r="E97" s="104">
        <v>3.48</v>
      </c>
      <c r="F97" s="104">
        <v>2.14</v>
      </c>
      <c r="G97" s="104">
        <v>4.5599999999999996</v>
      </c>
      <c r="H97" s="63">
        <v>7.92</v>
      </c>
      <c r="I97" s="112">
        <v>5.89</v>
      </c>
      <c r="J97" s="36" t="s">
        <v>105</v>
      </c>
      <c r="K97" s="46">
        <v>4.59</v>
      </c>
      <c r="L97" s="104">
        <v>6.31</v>
      </c>
      <c r="M97" s="105">
        <v>1.1200000000000001</v>
      </c>
      <c r="N97" s="65">
        <v>1.18</v>
      </c>
      <c r="O97" s="46">
        <v>3.72</v>
      </c>
      <c r="P97" s="36">
        <v>0.93600000000000005</v>
      </c>
      <c r="Q97" s="46">
        <v>6.72</v>
      </c>
      <c r="R97" s="63">
        <v>3.91</v>
      </c>
      <c r="S97" s="112">
        <v>1.66</v>
      </c>
      <c r="T97" s="46">
        <v>1.1399999999999999</v>
      </c>
      <c r="U97" s="67" t="s">
        <v>105</v>
      </c>
      <c r="V97" s="36">
        <v>0.498</v>
      </c>
      <c r="W97" s="63">
        <v>1.51</v>
      </c>
      <c r="X97" s="65">
        <v>5.66</v>
      </c>
      <c r="Y97" s="46">
        <v>1.02</v>
      </c>
      <c r="Z97" s="159">
        <v>13.3</v>
      </c>
      <c r="AA97" s="104">
        <v>6.64</v>
      </c>
      <c r="AB97" s="63">
        <v>4.5599999999999996</v>
      </c>
      <c r="AC97" s="65">
        <v>2.29</v>
      </c>
      <c r="AD97" s="46">
        <v>2.92</v>
      </c>
      <c r="AE97" s="104">
        <v>5.61</v>
      </c>
      <c r="AF97" s="46" t="s">
        <v>105</v>
      </c>
      <c r="AG97" s="63">
        <v>3.11</v>
      </c>
      <c r="AH97" s="65">
        <v>4.37</v>
      </c>
      <c r="AI97" s="104">
        <v>1.1499999999999999</v>
      </c>
      <c r="AJ97" s="46">
        <v>3.86</v>
      </c>
      <c r="AK97" s="36" t="s">
        <v>105</v>
      </c>
      <c r="AL97" s="37" t="s">
        <v>105</v>
      </c>
      <c r="AM97" s="65">
        <v>1.31</v>
      </c>
      <c r="AN97" s="46">
        <v>6.54</v>
      </c>
      <c r="AO97" s="46" t="s">
        <v>105</v>
      </c>
      <c r="AP97" s="46">
        <v>5.09</v>
      </c>
      <c r="AQ97" s="105">
        <v>4.72</v>
      </c>
      <c r="AR97" s="65">
        <v>1.35</v>
      </c>
      <c r="AS97" s="46">
        <v>1.94</v>
      </c>
      <c r="AT97" s="46">
        <v>1.99</v>
      </c>
      <c r="AU97" s="46" t="s">
        <v>105</v>
      </c>
      <c r="AV97" s="63">
        <v>3.63</v>
      </c>
      <c r="AW97" s="65">
        <v>2.52</v>
      </c>
      <c r="AX97" s="67">
        <v>3.3</v>
      </c>
      <c r="AY97" s="46">
        <v>1.0900000000000001</v>
      </c>
      <c r="AZ97" s="46">
        <v>1.91</v>
      </c>
      <c r="BA97" s="63">
        <v>4.08</v>
      </c>
      <c r="BB97" s="65" t="s">
        <v>105</v>
      </c>
      <c r="BC97" s="46">
        <v>4.99</v>
      </c>
      <c r="BD97" s="46">
        <v>3.89</v>
      </c>
      <c r="BE97" s="46">
        <v>3.43</v>
      </c>
      <c r="BF97" s="63">
        <v>1.89</v>
      </c>
      <c r="BG97" s="75">
        <v>2.5</v>
      </c>
      <c r="BH97" s="46">
        <v>2.25</v>
      </c>
      <c r="BI97" s="46">
        <v>1.24</v>
      </c>
      <c r="BJ97" s="46" t="s">
        <v>105</v>
      </c>
      <c r="BK97" s="69">
        <v>3.2</v>
      </c>
      <c r="BL97" s="65">
        <v>8.2799999999999994</v>
      </c>
      <c r="BM97" s="63">
        <v>9.8699999999999992</v>
      </c>
      <c r="BN97" s="166">
        <f t="shared" ref="BN97:BN99" si="34">IFERROR(AVERAGE(D97:BM99),0)</f>
        <v>3.1414015151515149</v>
      </c>
      <c r="BO97" s="166">
        <f t="shared" si="24"/>
        <v>13.3</v>
      </c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65" t="s">
        <v>11</v>
      </c>
      <c r="B98" s="7" t="s">
        <v>46</v>
      </c>
      <c r="C98" s="11" t="s">
        <v>8</v>
      </c>
      <c r="D98" s="74">
        <v>1.65</v>
      </c>
      <c r="E98" s="123">
        <v>2.61</v>
      </c>
      <c r="F98" s="34">
        <v>1.6</v>
      </c>
      <c r="G98" s="32">
        <v>1.61</v>
      </c>
      <c r="H98" s="60">
        <v>5.95</v>
      </c>
      <c r="I98" s="111">
        <v>8.19</v>
      </c>
      <c r="J98" s="22" t="s">
        <v>105</v>
      </c>
      <c r="K98" s="32" t="s">
        <v>105</v>
      </c>
      <c r="L98" s="32" t="s">
        <v>105</v>
      </c>
      <c r="M98" s="115">
        <v>3.11</v>
      </c>
      <c r="N98" s="64">
        <v>2.0499999999999998</v>
      </c>
      <c r="O98" s="123">
        <v>2.82</v>
      </c>
      <c r="P98" s="136">
        <v>0.41299999999999998</v>
      </c>
      <c r="Q98" s="32">
        <v>4.58</v>
      </c>
      <c r="R98" s="60">
        <v>1.66</v>
      </c>
      <c r="S98" s="64" t="s">
        <v>105</v>
      </c>
      <c r="T98" s="32" t="s">
        <v>105</v>
      </c>
      <c r="U98" s="32" t="s">
        <v>105</v>
      </c>
      <c r="V98" s="32" t="s">
        <v>105</v>
      </c>
      <c r="W98" s="60">
        <v>3.05</v>
      </c>
      <c r="X98" s="64" t="s">
        <v>105</v>
      </c>
      <c r="Y98" s="136">
        <v>0.78600000000000003</v>
      </c>
      <c r="Z98" s="32">
        <v>6.37</v>
      </c>
      <c r="AA98" s="34" t="s">
        <v>105</v>
      </c>
      <c r="AB98" s="60">
        <v>2.87</v>
      </c>
      <c r="AC98" s="129">
        <v>0.64200000000000002</v>
      </c>
      <c r="AD98" s="32" t="s">
        <v>105</v>
      </c>
      <c r="AE98" s="32" t="s">
        <v>105</v>
      </c>
      <c r="AF98" s="32" t="s">
        <v>105</v>
      </c>
      <c r="AG98" s="71" t="s">
        <v>105</v>
      </c>
      <c r="AH98" s="129">
        <v>0.96599999999999997</v>
      </c>
      <c r="AI98" s="22">
        <v>0.57099999999999995</v>
      </c>
      <c r="AJ98" s="32">
        <v>2.42</v>
      </c>
      <c r="AK98" s="34" t="s">
        <v>105</v>
      </c>
      <c r="AL98" s="42" t="s">
        <v>105</v>
      </c>
      <c r="AM98" s="64">
        <v>1.89</v>
      </c>
      <c r="AN98" s="32" t="s">
        <v>105</v>
      </c>
      <c r="AO98" s="32" t="s">
        <v>105</v>
      </c>
      <c r="AP98" s="32" t="s">
        <v>105</v>
      </c>
      <c r="AQ98" s="60">
        <v>4.45</v>
      </c>
      <c r="AR98" s="64" t="s">
        <v>105</v>
      </c>
      <c r="AS98" s="32">
        <v>1.45</v>
      </c>
      <c r="AT98" s="32" t="s">
        <v>105</v>
      </c>
      <c r="AU98" s="32">
        <v>2.15</v>
      </c>
      <c r="AV98" s="60" t="s">
        <v>105</v>
      </c>
      <c r="AW98" s="64" t="s">
        <v>105</v>
      </c>
      <c r="AX98" s="32" t="s">
        <v>105</v>
      </c>
      <c r="AY98" s="32" t="s">
        <v>105</v>
      </c>
      <c r="AZ98" s="136">
        <v>0.49099999999999999</v>
      </c>
      <c r="BA98" s="42" t="s">
        <v>105</v>
      </c>
      <c r="BB98" s="72" t="s">
        <v>105</v>
      </c>
      <c r="BC98" s="32">
        <v>4.16</v>
      </c>
      <c r="BD98" s="32" t="s">
        <v>105</v>
      </c>
      <c r="BE98" s="32">
        <v>1.33</v>
      </c>
      <c r="BF98" s="60">
        <v>2.64</v>
      </c>
      <c r="BG98" s="129">
        <v>0.99099999999999999</v>
      </c>
      <c r="BH98" s="32" t="s">
        <v>105</v>
      </c>
      <c r="BI98" s="136">
        <v>0.84299999999999997</v>
      </c>
      <c r="BJ98" s="32" t="s">
        <v>105</v>
      </c>
      <c r="BK98" s="60">
        <v>5.15</v>
      </c>
      <c r="BL98" s="72">
        <v>4.4000000000000004</v>
      </c>
      <c r="BM98" s="71">
        <v>3.3</v>
      </c>
      <c r="BN98" s="167">
        <f t="shared" si="34"/>
        <v>2.754305785123969</v>
      </c>
      <c r="BO98" s="167">
        <f t="shared" si="24"/>
        <v>8.23</v>
      </c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65"/>
      <c r="B99" s="8"/>
      <c r="C99" s="12" t="s">
        <v>14</v>
      </c>
      <c r="D99" s="160">
        <v>0.874</v>
      </c>
      <c r="E99" s="117">
        <v>2.85</v>
      </c>
      <c r="F99" s="39" t="s">
        <v>105</v>
      </c>
      <c r="G99" s="47">
        <v>2.2799999999999998</v>
      </c>
      <c r="H99" s="59">
        <v>4.17</v>
      </c>
      <c r="I99" s="61" t="s">
        <v>105</v>
      </c>
      <c r="J99" s="39">
        <v>0.98099999999999998</v>
      </c>
      <c r="K99" s="39">
        <v>0.42899999999999999</v>
      </c>
      <c r="L99" s="47">
        <v>5.36</v>
      </c>
      <c r="M99" s="116">
        <v>6.13</v>
      </c>
      <c r="N99" s="109">
        <v>2.58</v>
      </c>
      <c r="O99" s="39">
        <v>2.7E-2</v>
      </c>
      <c r="P99" s="117">
        <v>4.71</v>
      </c>
      <c r="Q99" s="47">
        <v>4.75</v>
      </c>
      <c r="R99" s="143">
        <v>0.29499999999999998</v>
      </c>
      <c r="S99" s="61" t="s">
        <v>105</v>
      </c>
      <c r="T99" s="47" t="s">
        <v>105</v>
      </c>
      <c r="U99" s="39">
        <v>0.45500000000000002</v>
      </c>
      <c r="V99" s="47" t="s">
        <v>105</v>
      </c>
      <c r="W99" s="59">
        <v>3.08</v>
      </c>
      <c r="X99" s="61" t="s">
        <v>105</v>
      </c>
      <c r="Y99" s="47">
        <v>4.62</v>
      </c>
      <c r="Z99" s="47">
        <v>5.83</v>
      </c>
      <c r="AA99" s="47">
        <v>2.2400000000000002</v>
      </c>
      <c r="AB99" s="59">
        <v>1.77</v>
      </c>
      <c r="AC99" s="61">
        <v>1.49</v>
      </c>
      <c r="AD99" s="68">
        <v>4.4000000000000004</v>
      </c>
      <c r="AE99" s="117">
        <v>3.31</v>
      </c>
      <c r="AF99" s="138">
        <v>0.86299999999999999</v>
      </c>
      <c r="AG99" s="59">
        <v>2.67</v>
      </c>
      <c r="AH99" s="109">
        <v>1.1499999999999999</v>
      </c>
      <c r="AI99" s="138">
        <v>0.49299999999999999</v>
      </c>
      <c r="AJ99" s="47">
        <v>3.56</v>
      </c>
      <c r="AK99" s="39">
        <v>0.21199999999999999</v>
      </c>
      <c r="AL99" s="59">
        <v>2.02</v>
      </c>
      <c r="AM99" s="61">
        <v>4.25</v>
      </c>
      <c r="AN99" s="68">
        <v>2.2999999999999998</v>
      </c>
      <c r="AO99" s="39" t="s">
        <v>105</v>
      </c>
      <c r="AP99" s="47">
        <v>2.85</v>
      </c>
      <c r="AQ99" s="59">
        <v>6.81</v>
      </c>
      <c r="AR99" s="109">
        <v>2.25</v>
      </c>
      <c r="AS99" s="47">
        <v>2.1800000000000002</v>
      </c>
      <c r="AT99" s="47">
        <v>2.94</v>
      </c>
      <c r="AU99" s="47">
        <v>5.27</v>
      </c>
      <c r="AV99" s="59" t="s">
        <v>105</v>
      </c>
      <c r="AW99" s="61">
        <v>3.16</v>
      </c>
      <c r="AX99" s="117">
        <v>2.19</v>
      </c>
      <c r="AY99" s="47" t="s">
        <v>105</v>
      </c>
      <c r="AZ99" s="47">
        <v>2.2400000000000002</v>
      </c>
      <c r="BA99" s="40" t="s">
        <v>105</v>
      </c>
      <c r="BB99" s="61" t="s">
        <v>105</v>
      </c>
      <c r="BC99" s="39" t="s">
        <v>105</v>
      </c>
      <c r="BD99" s="47" t="s">
        <v>105</v>
      </c>
      <c r="BE99" s="47">
        <v>7.38</v>
      </c>
      <c r="BF99" s="143">
        <v>0.61799999999999999</v>
      </c>
      <c r="BG99" s="150">
        <v>0.57099999999999995</v>
      </c>
      <c r="BH99" s="47" t="s">
        <v>105</v>
      </c>
      <c r="BI99" s="47" t="s">
        <v>105</v>
      </c>
      <c r="BJ99" s="39" t="s">
        <v>105</v>
      </c>
      <c r="BK99" s="59">
        <v>6.56</v>
      </c>
      <c r="BL99" s="61">
        <v>5.77</v>
      </c>
      <c r="BM99" s="66">
        <v>2.5</v>
      </c>
      <c r="BN99" s="168">
        <f t="shared" si="34"/>
        <v>2.7605338983050842</v>
      </c>
      <c r="BO99" s="168">
        <f t="shared" si="24"/>
        <v>8.23</v>
      </c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43</v>
      </c>
      <c r="B100" s="6"/>
      <c r="C100" s="11" t="s">
        <v>10</v>
      </c>
      <c r="D100" s="35">
        <v>0.16300000000000001</v>
      </c>
      <c r="E100" s="46">
        <v>5.73</v>
      </c>
      <c r="F100" s="46">
        <v>8.23</v>
      </c>
      <c r="G100" s="36">
        <v>0.89300000000000002</v>
      </c>
      <c r="H100" s="63">
        <v>4.4400000000000004</v>
      </c>
      <c r="I100" s="128">
        <v>3.3</v>
      </c>
      <c r="J100" s="140">
        <v>0.60599999999999998</v>
      </c>
      <c r="K100" s="46">
        <v>4.08</v>
      </c>
      <c r="L100" s="46">
        <v>8.1199999999999992</v>
      </c>
      <c r="M100" s="63" t="s">
        <v>105</v>
      </c>
      <c r="N100" s="65">
        <v>4.71</v>
      </c>
      <c r="O100" s="46">
        <v>1.71</v>
      </c>
      <c r="P100" s="140">
        <v>0.77200000000000002</v>
      </c>
      <c r="Q100" s="140">
        <v>0.751</v>
      </c>
      <c r="R100" s="37">
        <v>0.20699999999999999</v>
      </c>
      <c r="S100" s="139">
        <v>0.58299999999999996</v>
      </c>
      <c r="T100" s="140">
        <v>0.52400000000000002</v>
      </c>
      <c r="U100" s="120">
        <v>1.1000000000000001</v>
      </c>
      <c r="V100" s="67">
        <v>3.6</v>
      </c>
      <c r="W100" s="63">
        <v>5.31</v>
      </c>
      <c r="X100" s="43" t="s">
        <v>105</v>
      </c>
      <c r="Y100" s="67">
        <v>2.7</v>
      </c>
      <c r="Z100" s="46">
        <v>4.3600000000000003</v>
      </c>
      <c r="AA100" s="46">
        <v>2.04</v>
      </c>
      <c r="AB100" s="105">
        <v>2.2400000000000002</v>
      </c>
      <c r="AC100" s="79" t="s">
        <v>105</v>
      </c>
      <c r="AD100" s="46">
        <v>2.54</v>
      </c>
      <c r="AE100" s="46" t="s">
        <v>105</v>
      </c>
      <c r="AF100" s="36" t="s">
        <v>105</v>
      </c>
      <c r="AG100" s="37">
        <v>0.35299999999999998</v>
      </c>
      <c r="AH100" s="43" t="s">
        <v>105</v>
      </c>
      <c r="AI100" s="36" t="s">
        <v>105</v>
      </c>
      <c r="AJ100" s="36" t="s">
        <v>105</v>
      </c>
      <c r="AK100" s="36" t="s">
        <v>105</v>
      </c>
      <c r="AL100" s="105">
        <v>3.26</v>
      </c>
      <c r="AM100" s="43">
        <v>0.67700000000000005</v>
      </c>
      <c r="AN100" s="36">
        <v>0.30499999999999999</v>
      </c>
      <c r="AO100" s="104">
        <v>1.69</v>
      </c>
      <c r="AP100" s="36" t="s">
        <v>105</v>
      </c>
      <c r="AQ100" s="63">
        <v>1.29</v>
      </c>
      <c r="AR100" s="43" t="s">
        <v>105</v>
      </c>
      <c r="AS100" s="36" t="s">
        <v>105</v>
      </c>
      <c r="AT100" s="36" t="s">
        <v>105</v>
      </c>
      <c r="AU100" s="140">
        <v>0.53500000000000003</v>
      </c>
      <c r="AV100" s="37" t="s">
        <v>105</v>
      </c>
      <c r="AW100" s="139">
        <v>0.51600000000000001</v>
      </c>
      <c r="AX100" s="46">
        <v>4.29</v>
      </c>
      <c r="AY100" s="104">
        <v>3.36</v>
      </c>
      <c r="AZ100" s="140">
        <v>0.245</v>
      </c>
      <c r="BA100" s="63">
        <v>3.72</v>
      </c>
      <c r="BB100" s="65" t="s">
        <v>105</v>
      </c>
      <c r="BC100" s="46">
        <v>5.03</v>
      </c>
      <c r="BD100" s="104">
        <v>2.21</v>
      </c>
      <c r="BE100" s="104">
        <v>6.81</v>
      </c>
      <c r="BF100" s="37" t="s">
        <v>105</v>
      </c>
      <c r="BG100" s="43" t="s">
        <v>105</v>
      </c>
      <c r="BH100" s="36" t="s">
        <v>105</v>
      </c>
      <c r="BI100" s="36" t="s">
        <v>105</v>
      </c>
      <c r="BJ100" s="36" t="s">
        <v>105</v>
      </c>
      <c r="BK100" s="105">
        <v>3.55</v>
      </c>
      <c r="BL100" s="65">
        <v>2.76</v>
      </c>
      <c r="BM100" s="105">
        <v>3.36</v>
      </c>
      <c r="BN100" s="166">
        <f t="shared" ref="BN100:BN102" si="35">IFERROR(AVERAGE(D100:BM102),0)</f>
        <v>2.7138660714285718</v>
      </c>
      <c r="BO100" s="166">
        <f t="shared" ref="BO100:BO131" si="36">MAX(D100:BM102)</f>
        <v>8.23</v>
      </c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65" t="s">
        <v>11</v>
      </c>
      <c r="B101" s="7" t="s">
        <v>47</v>
      </c>
      <c r="C101" s="11" t="s">
        <v>8</v>
      </c>
      <c r="D101" s="74">
        <v>1.74</v>
      </c>
      <c r="E101" s="123">
        <v>6.42</v>
      </c>
      <c r="F101" s="32">
        <v>2.68</v>
      </c>
      <c r="G101" s="32" t="s">
        <v>105</v>
      </c>
      <c r="H101" s="60">
        <v>2.66</v>
      </c>
      <c r="I101" s="64" t="s">
        <v>105</v>
      </c>
      <c r="J101" s="32">
        <v>2.95</v>
      </c>
      <c r="K101" s="32">
        <v>3.11</v>
      </c>
      <c r="L101" s="32">
        <v>4.84</v>
      </c>
      <c r="M101" s="60">
        <v>2.85</v>
      </c>
      <c r="N101" s="64">
        <v>5.92</v>
      </c>
      <c r="O101" s="22" t="s">
        <v>105</v>
      </c>
      <c r="P101" s="136">
        <v>0.95899999999999996</v>
      </c>
      <c r="Q101" s="32">
        <v>1.84</v>
      </c>
      <c r="R101" s="147">
        <v>0.95499999999999996</v>
      </c>
      <c r="S101" s="45" t="s">
        <v>105</v>
      </c>
      <c r="T101" s="22" t="s">
        <v>105</v>
      </c>
      <c r="U101" s="22">
        <v>0.33200000000000002</v>
      </c>
      <c r="V101" s="32" t="s">
        <v>105</v>
      </c>
      <c r="W101" s="60" t="s">
        <v>105</v>
      </c>
      <c r="X101" s="45" t="s">
        <v>105</v>
      </c>
      <c r="Y101" s="32">
        <v>1.95</v>
      </c>
      <c r="Z101" s="32" t="s">
        <v>105</v>
      </c>
      <c r="AA101" s="22" t="s">
        <v>105</v>
      </c>
      <c r="AB101" s="42" t="s">
        <v>105</v>
      </c>
      <c r="AC101" s="129">
        <v>0.57799999999999996</v>
      </c>
      <c r="AD101" s="32" t="s">
        <v>105</v>
      </c>
      <c r="AE101" s="22" t="s">
        <v>105</v>
      </c>
      <c r="AF101" s="22" t="s">
        <v>105</v>
      </c>
      <c r="AG101" s="42" t="s">
        <v>105</v>
      </c>
      <c r="AH101" s="45" t="s">
        <v>105</v>
      </c>
      <c r="AI101" s="32" t="s">
        <v>105</v>
      </c>
      <c r="AJ101" s="22" t="s">
        <v>105</v>
      </c>
      <c r="AK101" s="22" t="s">
        <v>105</v>
      </c>
      <c r="AL101" s="42" t="s">
        <v>105</v>
      </c>
      <c r="AM101" s="64" t="s">
        <v>105</v>
      </c>
      <c r="AN101" s="32">
        <v>1.34</v>
      </c>
      <c r="AO101" s="32" t="s">
        <v>105</v>
      </c>
      <c r="AP101" s="32" t="s">
        <v>105</v>
      </c>
      <c r="AQ101" s="60">
        <v>1.02</v>
      </c>
      <c r="AR101" s="45" t="s">
        <v>105</v>
      </c>
      <c r="AS101" s="34" t="s">
        <v>105</v>
      </c>
      <c r="AT101" s="34">
        <v>5.9</v>
      </c>
      <c r="AU101" s="32">
        <v>3.76</v>
      </c>
      <c r="AV101" s="42" t="s">
        <v>105</v>
      </c>
      <c r="AW101" s="64">
        <v>1.81</v>
      </c>
      <c r="AX101" s="32">
        <v>1.96</v>
      </c>
      <c r="AY101" s="32">
        <v>1.76</v>
      </c>
      <c r="AZ101" s="32">
        <v>1.37</v>
      </c>
      <c r="BA101" s="147">
        <v>0.151</v>
      </c>
      <c r="BB101" s="64">
        <v>2.93</v>
      </c>
      <c r="BC101" s="32" t="s">
        <v>105</v>
      </c>
      <c r="BD101" s="22" t="s">
        <v>105</v>
      </c>
      <c r="BE101" s="32">
        <v>5.61</v>
      </c>
      <c r="BF101" s="42" t="s">
        <v>105</v>
      </c>
      <c r="BG101" s="45" t="s">
        <v>105</v>
      </c>
      <c r="BH101" s="22" t="s">
        <v>105</v>
      </c>
      <c r="BI101" s="123">
        <v>5.47</v>
      </c>
      <c r="BJ101" s="130">
        <v>2.1</v>
      </c>
      <c r="BK101" s="115">
        <v>1.48</v>
      </c>
      <c r="BL101" s="45" t="s">
        <v>105</v>
      </c>
      <c r="BM101" s="115">
        <v>3.19</v>
      </c>
      <c r="BN101" s="167">
        <f t="shared" si="35"/>
        <v>2.5082386363636369</v>
      </c>
      <c r="BO101" s="167">
        <f t="shared" si="36"/>
        <v>7.76</v>
      </c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65"/>
      <c r="B102" s="8"/>
      <c r="C102" s="12" t="s">
        <v>14</v>
      </c>
      <c r="D102" s="73" t="s">
        <v>105</v>
      </c>
      <c r="E102" s="47">
        <v>1.96</v>
      </c>
      <c r="F102" s="117">
        <v>1.67</v>
      </c>
      <c r="G102" s="117">
        <v>2.4500000000000002</v>
      </c>
      <c r="H102" s="116">
        <v>2.33</v>
      </c>
      <c r="I102" s="109">
        <v>4.45</v>
      </c>
      <c r="J102" s="47">
        <v>1.85</v>
      </c>
      <c r="K102" s="117">
        <v>1.47</v>
      </c>
      <c r="L102" s="39" t="s">
        <v>105</v>
      </c>
      <c r="M102" s="143">
        <v>0.28199999999999997</v>
      </c>
      <c r="N102" s="44">
        <v>0.19400000000000001</v>
      </c>
      <c r="O102" s="117">
        <v>3.33</v>
      </c>
      <c r="P102" s="47">
        <v>1.96</v>
      </c>
      <c r="Q102" s="39" t="s">
        <v>105</v>
      </c>
      <c r="R102" s="59" t="s">
        <v>105</v>
      </c>
      <c r="S102" s="44" t="s">
        <v>105</v>
      </c>
      <c r="T102" s="47">
        <v>1.59</v>
      </c>
      <c r="U102" s="39" t="s">
        <v>105</v>
      </c>
      <c r="V102" s="39" t="s">
        <v>105</v>
      </c>
      <c r="W102" s="116">
        <v>3.68</v>
      </c>
      <c r="X102" s="109">
        <v>2.75</v>
      </c>
      <c r="Y102" s="117">
        <v>2.87</v>
      </c>
      <c r="Z102" s="47" t="s">
        <v>105</v>
      </c>
      <c r="AA102" s="39" t="s">
        <v>105</v>
      </c>
      <c r="AB102" s="59" t="s">
        <v>105</v>
      </c>
      <c r="AC102" s="61">
        <v>1.95</v>
      </c>
      <c r="AD102" s="138">
        <v>0.31900000000000001</v>
      </c>
      <c r="AE102" s="39" t="s">
        <v>105</v>
      </c>
      <c r="AF102" s="39" t="s">
        <v>105</v>
      </c>
      <c r="AG102" s="66" t="s">
        <v>105</v>
      </c>
      <c r="AH102" s="44" t="s">
        <v>105</v>
      </c>
      <c r="AI102" s="68" t="s">
        <v>105</v>
      </c>
      <c r="AJ102" s="39" t="s">
        <v>105</v>
      </c>
      <c r="AK102" s="39">
        <v>0.33100000000000002</v>
      </c>
      <c r="AL102" s="40" t="s">
        <v>105</v>
      </c>
      <c r="AM102" s="61">
        <v>3.82</v>
      </c>
      <c r="AN102" s="47">
        <v>2.85</v>
      </c>
      <c r="AO102" s="47" t="s">
        <v>105</v>
      </c>
      <c r="AP102" s="132">
        <v>5.7</v>
      </c>
      <c r="AQ102" s="116">
        <v>2.93</v>
      </c>
      <c r="AR102" s="109">
        <v>5.53</v>
      </c>
      <c r="AS102" s="47">
        <v>2.23</v>
      </c>
      <c r="AT102" s="47">
        <v>5.27</v>
      </c>
      <c r="AU102" s="117">
        <v>4.25</v>
      </c>
      <c r="AV102" s="116">
        <v>1.07</v>
      </c>
      <c r="AW102" s="61">
        <v>3.12</v>
      </c>
      <c r="AX102" s="47">
        <v>1.27</v>
      </c>
      <c r="AY102" s="47">
        <v>2.2799999999999998</v>
      </c>
      <c r="AZ102" s="47">
        <v>1.45</v>
      </c>
      <c r="BA102" s="59">
        <v>4.24</v>
      </c>
      <c r="BB102" s="61" t="s">
        <v>105</v>
      </c>
      <c r="BC102" s="39" t="s">
        <v>105</v>
      </c>
      <c r="BD102" s="117">
        <v>1.43</v>
      </c>
      <c r="BE102" s="47">
        <v>7.18</v>
      </c>
      <c r="BF102" s="40" t="s">
        <v>105</v>
      </c>
      <c r="BG102" s="137">
        <v>1.2</v>
      </c>
      <c r="BH102" s="117">
        <v>7.76</v>
      </c>
      <c r="BI102" s="117">
        <v>3.11</v>
      </c>
      <c r="BJ102" s="47">
        <v>2.42</v>
      </c>
      <c r="BK102" s="40" t="s">
        <v>105</v>
      </c>
      <c r="BL102" s="109">
        <v>6.61</v>
      </c>
      <c r="BM102" s="40">
        <v>0.49199999999999999</v>
      </c>
      <c r="BN102" s="168">
        <f t="shared" si="35"/>
        <v>2.361952941176471</v>
      </c>
      <c r="BO102" s="168">
        <f t="shared" si="36"/>
        <v>7.76</v>
      </c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43</v>
      </c>
      <c r="B103" s="6" t="s">
        <v>9</v>
      </c>
      <c r="C103" s="11" t="s">
        <v>10</v>
      </c>
      <c r="D103" s="35" t="s">
        <v>105</v>
      </c>
      <c r="E103" s="36" t="s">
        <v>105</v>
      </c>
      <c r="F103" s="36">
        <v>0.58899999999999997</v>
      </c>
      <c r="G103" s="36">
        <v>0.879</v>
      </c>
      <c r="H103" s="37" t="s">
        <v>105</v>
      </c>
      <c r="I103" s="43" t="s">
        <v>105</v>
      </c>
      <c r="J103" s="36" t="s">
        <v>105</v>
      </c>
      <c r="K103" s="36" t="s">
        <v>105</v>
      </c>
      <c r="L103" s="36" t="s">
        <v>105</v>
      </c>
      <c r="M103" s="105">
        <v>4.1500000000000004</v>
      </c>
      <c r="N103" s="43" t="s">
        <v>105</v>
      </c>
      <c r="O103" s="140">
        <v>0.85899999999999999</v>
      </c>
      <c r="P103" s="104">
        <v>3.15</v>
      </c>
      <c r="Q103" s="36" t="s">
        <v>105</v>
      </c>
      <c r="R103" s="37" t="s">
        <v>105</v>
      </c>
      <c r="S103" s="112">
        <v>2.12</v>
      </c>
      <c r="T103" s="36" t="s">
        <v>105</v>
      </c>
      <c r="U103" s="104">
        <v>2.14</v>
      </c>
      <c r="V103" s="36" t="s">
        <v>105</v>
      </c>
      <c r="W103" s="37" t="s">
        <v>105</v>
      </c>
      <c r="X103" s="43" t="s">
        <v>105</v>
      </c>
      <c r="Y103" s="104">
        <v>2.25</v>
      </c>
      <c r="Z103" s="36" t="s">
        <v>105</v>
      </c>
      <c r="AA103" s="36" t="s">
        <v>105</v>
      </c>
      <c r="AB103" s="105">
        <v>1.08</v>
      </c>
      <c r="AC103" s="43" t="s">
        <v>105</v>
      </c>
      <c r="AD103" s="36" t="s">
        <v>105</v>
      </c>
      <c r="AE103" s="120">
        <v>1.1000000000000001</v>
      </c>
      <c r="AF103" s="36">
        <v>0.78800000000000003</v>
      </c>
      <c r="AG103" s="37" t="s">
        <v>105</v>
      </c>
      <c r="AH103" s="43" t="s">
        <v>105</v>
      </c>
      <c r="AI103" s="104">
        <v>2.27</v>
      </c>
      <c r="AJ103" s="36" t="s">
        <v>105</v>
      </c>
      <c r="AK103" s="36" t="s">
        <v>105</v>
      </c>
      <c r="AL103" s="105">
        <v>2.37</v>
      </c>
      <c r="AM103" s="43" t="s">
        <v>105</v>
      </c>
      <c r="AN103" s="36" t="s">
        <v>105</v>
      </c>
      <c r="AO103" s="36" t="s">
        <v>105</v>
      </c>
      <c r="AP103" s="36" t="s">
        <v>105</v>
      </c>
      <c r="AQ103" s="37" t="s">
        <v>105</v>
      </c>
      <c r="AR103" s="65" t="s">
        <v>105</v>
      </c>
      <c r="AS103" s="104">
        <v>1.34</v>
      </c>
      <c r="AT103" s="36" t="s">
        <v>105</v>
      </c>
      <c r="AU103" s="36" t="s">
        <v>105</v>
      </c>
      <c r="AV103" s="134">
        <v>9.6000000000000002E-2</v>
      </c>
      <c r="AW103" s="43" t="s">
        <v>105</v>
      </c>
      <c r="AX103" s="36" t="s">
        <v>105</v>
      </c>
      <c r="AY103" s="36" t="s">
        <v>105</v>
      </c>
      <c r="AZ103" s="36" t="s">
        <v>105</v>
      </c>
      <c r="BA103" s="37" t="s">
        <v>105</v>
      </c>
      <c r="BB103" s="43" t="s">
        <v>105</v>
      </c>
      <c r="BC103" s="36" t="s">
        <v>105</v>
      </c>
      <c r="BD103" s="110">
        <v>2</v>
      </c>
      <c r="BE103" s="104">
        <v>1.76</v>
      </c>
      <c r="BF103" s="37" t="s">
        <v>105</v>
      </c>
      <c r="BG103" s="43" t="s">
        <v>105</v>
      </c>
      <c r="BH103" s="36" t="s">
        <v>105</v>
      </c>
      <c r="BI103" s="36" t="s">
        <v>105</v>
      </c>
      <c r="BJ103" s="36" t="s">
        <v>105</v>
      </c>
      <c r="BK103" s="37">
        <v>0.501</v>
      </c>
      <c r="BL103" s="43" t="s">
        <v>105</v>
      </c>
      <c r="BM103" s="37" t="s">
        <v>105</v>
      </c>
      <c r="BN103" s="166">
        <f t="shared" ref="BN103:BN105" si="37">IFERROR(AVERAGE(D103:BM105),0)</f>
        <v>2.1061739130434787</v>
      </c>
      <c r="BO103" s="166">
        <f t="shared" si="36"/>
        <v>6.36</v>
      </c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65" t="s">
        <v>11</v>
      </c>
      <c r="B104" s="7" t="s">
        <v>12</v>
      </c>
      <c r="C104" s="11" t="s">
        <v>8</v>
      </c>
      <c r="D104" s="41" t="s">
        <v>105</v>
      </c>
      <c r="E104" s="22" t="s">
        <v>105</v>
      </c>
      <c r="F104" s="22" t="s">
        <v>105</v>
      </c>
      <c r="G104" s="22">
        <v>0.11799999999999999</v>
      </c>
      <c r="H104" s="42" t="s">
        <v>105</v>
      </c>
      <c r="I104" s="45" t="s">
        <v>105</v>
      </c>
      <c r="J104" s="22" t="s">
        <v>105</v>
      </c>
      <c r="K104" s="22" t="s">
        <v>105</v>
      </c>
      <c r="L104" s="123">
        <v>4.4800000000000004</v>
      </c>
      <c r="M104" s="115">
        <v>2.77</v>
      </c>
      <c r="N104" s="45" t="s">
        <v>105</v>
      </c>
      <c r="O104" s="32">
        <v>3.37</v>
      </c>
      <c r="P104" s="22" t="s">
        <v>105</v>
      </c>
      <c r="Q104" s="22" t="s">
        <v>105</v>
      </c>
      <c r="R104" s="42">
        <v>0.94399999999999995</v>
      </c>
      <c r="S104" s="111">
        <v>1.51</v>
      </c>
      <c r="T104" s="22" t="s">
        <v>105</v>
      </c>
      <c r="U104" s="123">
        <v>2.11</v>
      </c>
      <c r="V104" s="123">
        <v>6.14</v>
      </c>
      <c r="W104" s="42" t="s">
        <v>105</v>
      </c>
      <c r="X104" s="129">
        <v>0.04</v>
      </c>
      <c r="Y104" s="123">
        <v>1.92</v>
      </c>
      <c r="Z104" s="22" t="s">
        <v>105</v>
      </c>
      <c r="AA104" s="123">
        <v>1.69</v>
      </c>
      <c r="AB104" s="115">
        <v>3.36</v>
      </c>
      <c r="AC104" s="45" t="s">
        <v>105</v>
      </c>
      <c r="AD104" s="22" t="s">
        <v>105</v>
      </c>
      <c r="AE104" s="123">
        <v>2.36</v>
      </c>
      <c r="AF104" s="123">
        <v>1.24</v>
      </c>
      <c r="AG104" s="42" t="s">
        <v>105</v>
      </c>
      <c r="AH104" s="45" t="s">
        <v>105</v>
      </c>
      <c r="AI104" s="130">
        <v>2.1</v>
      </c>
      <c r="AJ104" s="22" t="s">
        <v>105</v>
      </c>
      <c r="AK104" s="34">
        <v>3.7</v>
      </c>
      <c r="AL104" s="115">
        <v>4.54</v>
      </c>
      <c r="AM104" s="45" t="s">
        <v>105</v>
      </c>
      <c r="AN104" s="22" t="s">
        <v>105</v>
      </c>
      <c r="AO104" s="22" t="s">
        <v>105</v>
      </c>
      <c r="AP104" s="22">
        <v>0.28100000000000003</v>
      </c>
      <c r="AQ104" s="42" t="s">
        <v>105</v>
      </c>
      <c r="AR104" s="45" t="s">
        <v>105</v>
      </c>
      <c r="AS104" s="123">
        <v>2.73</v>
      </c>
      <c r="AT104" s="22" t="s">
        <v>105</v>
      </c>
      <c r="AU104" s="22">
        <v>0.128</v>
      </c>
      <c r="AV104" s="42">
        <v>0.39300000000000002</v>
      </c>
      <c r="AW104" s="45" t="s">
        <v>105</v>
      </c>
      <c r="AX104" s="123">
        <v>2.69</v>
      </c>
      <c r="AY104" s="123">
        <v>3.01</v>
      </c>
      <c r="AZ104" s="22" t="s">
        <v>105</v>
      </c>
      <c r="BA104" s="42" t="s">
        <v>105</v>
      </c>
      <c r="BB104" s="111">
        <v>1.58</v>
      </c>
      <c r="BC104" s="22" t="s">
        <v>105</v>
      </c>
      <c r="BD104" s="123">
        <v>3.69</v>
      </c>
      <c r="BE104" s="32">
        <v>2.46</v>
      </c>
      <c r="BF104" s="42" t="s">
        <v>105</v>
      </c>
      <c r="BG104" s="45" t="s">
        <v>105</v>
      </c>
      <c r="BH104" s="22" t="s">
        <v>105</v>
      </c>
      <c r="BI104" s="22" t="s">
        <v>105</v>
      </c>
      <c r="BJ104" s="22">
        <v>0.32200000000000001</v>
      </c>
      <c r="BK104" s="42" t="s">
        <v>105</v>
      </c>
      <c r="BL104" s="45" t="s">
        <v>105</v>
      </c>
      <c r="BM104" s="42" t="s">
        <v>105</v>
      </c>
      <c r="BN104" s="167">
        <f t="shared" si="37"/>
        <v>2.2162962962962962</v>
      </c>
      <c r="BO104" s="167">
        <f t="shared" si="36"/>
        <v>6.36</v>
      </c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65"/>
      <c r="B105" s="8" t="s">
        <v>48</v>
      </c>
      <c r="C105" s="12" t="s">
        <v>14</v>
      </c>
      <c r="D105" s="38" t="s">
        <v>105</v>
      </c>
      <c r="E105" s="39" t="s">
        <v>105</v>
      </c>
      <c r="F105" s="47">
        <v>2.4700000000000002</v>
      </c>
      <c r="G105" s="39" t="s">
        <v>105</v>
      </c>
      <c r="H105" s="40" t="s">
        <v>105</v>
      </c>
      <c r="I105" s="44">
        <v>0.91500000000000004</v>
      </c>
      <c r="J105" s="132">
        <v>2.2999999999999998</v>
      </c>
      <c r="K105" s="39" t="s">
        <v>105</v>
      </c>
      <c r="L105" s="68">
        <v>2.2999999999999998</v>
      </c>
      <c r="M105" s="40" t="s">
        <v>105</v>
      </c>
      <c r="N105" s="44" t="s">
        <v>105</v>
      </c>
      <c r="O105" s="39" t="s">
        <v>105</v>
      </c>
      <c r="P105" s="39" t="s">
        <v>105</v>
      </c>
      <c r="Q105" s="39" t="s">
        <v>105</v>
      </c>
      <c r="R105" s="116">
        <v>1.35</v>
      </c>
      <c r="S105" s="109">
        <v>1.49</v>
      </c>
      <c r="T105" s="39" t="s">
        <v>105</v>
      </c>
      <c r="U105" s="117">
        <v>3.14</v>
      </c>
      <c r="V105" s="39" t="s">
        <v>105</v>
      </c>
      <c r="W105" s="40" t="s">
        <v>105</v>
      </c>
      <c r="X105" s="150">
        <v>0.432</v>
      </c>
      <c r="Y105" s="47">
        <v>3.81</v>
      </c>
      <c r="Z105" s="39" t="s">
        <v>105</v>
      </c>
      <c r="AA105" s="117">
        <v>1.77</v>
      </c>
      <c r="AB105" s="116">
        <v>2.79</v>
      </c>
      <c r="AC105" s="44" t="s">
        <v>105</v>
      </c>
      <c r="AD105" s="39" t="s">
        <v>105</v>
      </c>
      <c r="AE105" s="117">
        <v>3.77</v>
      </c>
      <c r="AF105" s="47">
        <v>6.36</v>
      </c>
      <c r="AG105" s="40" t="s">
        <v>105</v>
      </c>
      <c r="AH105" s="109">
        <v>2.19</v>
      </c>
      <c r="AI105" s="117">
        <v>2.08</v>
      </c>
      <c r="AJ105" s="39" t="s">
        <v>105</v>
      </c>
      <c r="AK105" s="47">
        <v>3.41</v>
      </c>
      <c r="AL105" s="116">
        <v>2.92</v>
      </c>
      <c r="AM105" s="44" t="s">
        <v>105</v>
      </c>
      <c r="AN105" s="39" t="s">
        <v>105</v>
      </c>
      <c r="AO105" s="47" t="s">
        <v>105</v>
      </c>
      <c r="AP105" s="39" t="s">
        <v>105</v>
      </c>
      <c r="AQ105" s="40" t="s">
        <v>105</v>
      </c>
      <c r="AR105" s="150">
        <v>7.2999999999999995E-2</v>
      </c>
      <c r="AS105" s="117">
        <v>2.84</v>
      </c>
      <c r="AT105" s="39" t="s">
        <v>105</v>
      </c>
      <c r="AU105" s="47">
        <v>1.51</v>
      </c>
      <c r="AV105" s="40" t="s">
        <v>105</v>
      </c>
      <c r="AW105" s="44" t="s">
        <v>105</v>
      </c>
      <c r="AX105" s="39" t="s">
        <v>105</v>
      </c>
      <c r="AY105" s="47">
        <v>2.94</v>
      </c>
      <c r="AZ105" s="39" t="s">
        <v>105</v>
      </c>
      <c r="BA105" s="59" t="s">
        <v>105</v>
      </c>
      <c r="BB105" s="44" t="s">
        <v>105</v>
      </c>
      <c r="BC105" s="39" t="s">
        <v>105</v>
      </c>
      <c r="BD105" s="117">
        <v>2.38</v>
      </c>
      <c r="BE105" s="117">
        <v>2.61</v>
      </c>
      <c r="BF105" s="40" t="s">
        <v>105</v>
      </c>
      <c r="BG105" s="44" t="s">
        <v>105</v>
      </c>
      <c r="BH105" s="39" t="s">
        <v>105</v>
      </c>
      <c r="BI105" s="39" t="s">
        <v>105</v>
      </c>
      <c r="BJ105" s="39" t="s">
        <v>105</v>
      </c>
      <c r="BK105" s="40">
        <v>0.35799999999999998</v>
      </c>
      <c r="BL105" s="44" t="s">
        <v>105</v>
      </c>
      <c r="BM105" s="40" t="s">
        <v>105</v>
      </c>
      <c r="BN105" s="168">
        <f t="shared" si="37"/>
        <v>2.4296511627906971</v>
      </c>
      <c r="BO105" s="168">
        <f t="shared" si="36"/>
        <v>6.36</v>
      </c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43</v>
      </c>
      <c r="B106" s="6" t="s">
        <v>15</v>
      </c>
      <c r="C106" s="11" t="s">
        <v>10</v>
      </c>
      <c r="D106" s="35" t="s">
        <v>105</v>
      </c>
      <c r="E106" s="36" t="s">
        <v>105</v>
      </c>
      <c r="F106" s="46">
        <v>4.18</v>
      </c>
      <c r="G106" s="36" t="s">
        <v>105</v>
      </c>
      <c r="H106" s="37" t="s">
        <v>105</v>
      </c>
      <c r="I106" s="112">
        <v>3.89</v>
      </c>
      <c r="J106" s="36">
        <v>0.65</v>
      </c>
      <c r="K106" s="36" t="s">
        <v>105</v>
      </c>
      <c r="L106" s="46">
        <v>2.2799999999999998</v>
      </c>
      <c r="M106" s="105">
        <v>5.97</v>
      </c>
      <c r="N106" s="43" t="s">
        <v>105</v>
      </c>
      <c r="O106" s="46">
        <v>2.83</v>
      </c>
      <c r="P106" s="104">
        <v>1.73</v>
      </c>
      <c r="Q106" s="36" t="s">
        <v>105</v>
      </c>
      <c r="R106" s="105">
        <v>1.65</v>
      </c>
      <c r="S106" s="112">
        <v>1.99</v>
      </c>
      <c r="T106" s="36" t="s">
        <v>105</v>
      </c>
      <c r="U106" s="104">
        <v>1.05</v>
      </c>
      <c r="V106" s="46">
        <v>1.76</v>
      </c>
      <c r="W106" s="37" t="s">
        <v>105</v>
      </c>
      <c r="X106" s="112">
        <v>1.35</v>
      </c>
      <c r="Y106" s="36">
        <v>0.78600000000000003</v>
      </c>
      <c r="Z106" s="36" t="s">
        <v>105</v>
      </c>
      <c r="AA106" s="46">
        <v>2.65</v>
      </c>
      <c r="AB106" s="63">
        <v>3.69</v>
      </c>
      <c r="AC106" s="43" t="s">
        <v>105</v>
      </c>
      <c r="AD106" s="36" t="s">
        <v>105</v>
      </c>
      <c r="AE106" s="36" t="s">
        <v>105</v>
      </c>
      <c r="AF106" s="110">
        <v>2</v>
      </c>
      <c r="AG106" s="37" t="s">
        <v>105</v>
      </c>
      <c r="AH106" s="43">
        <v>0.45</v>
      </c>
      <c r="AI106" s="36">
        <v>9.6000000000000002E-2</v>
      </c>
      <c r="AJ106" s="36" t="s">
        <v>105</v>
      </c>
      <c r="AK106" s="46">
        <v>1.42</v>
      </c>
      <c r="AL106" s="105">
        <v>2.1800000000000002</v>
      </c>
      <c r="AM106" s="43" t="s">
        <v>105</v>
      </c>
      <c r="AN106" s="36" t="s">
        <v>105</v>
      </c>
      <c r="AO106" s="36" t="s">
        <v>105</v>
      </c>
      <c r="AP106" s="104">
        <v>1.73</v>
      </c>
      <c r="AQ106" s="37" t="s">
        <v>105</v>
      </c>
      <c r="AR106" s="43">
        <v>0.95299999999999996</v>
      </c>
      <c r="AS106" s="36" t="s">
        <v>105</v>
      </c>
      <c r="AT106" s="36" t="s">
        <v>105</v>
      </c>
      <c r="AU106" s="46">
        <v>2.96</v>
      </c>
      <c r="AV106" s="63" t="s">
        <v>105</v>
      </c>
      <c r="AW106" s="43" t="s">
        <v>105</v>
      </c>
      <c r="AX106" s="46">
        <v>2.5299999999999998</v>
      </c>
      <c r="AY106" s="104">
        <v>1.55</v>
      </c>
      <c r="AZ106" s="36" t="s">
        <v>105</v>
      </c>
      <c r="BA106" s="37">
        <v>0.308</v>
      </c>
      <c r="BB106" s="65">
        <v>3.58</v>
      </c>
      <c r="BC106" s="36" t="s">
        <v>105</v>
      </c>
      <c r="BD106" s="36" t="s">
        <v>105</v>
      </c>
      <c r="BE106" s="104">
        <v>4.4400000000000004</v>
      </c>
      <c r="BF106" s="37" t="s">
        <v>105</v>
      </c>
      <c r="BG106" s="43">
        <v>0.34300000000000003</v>
      </c>
      <c r="BH106" s="36" t="s">
        <v>105</v>
      </c>
      <c r="BI106" s="36" t="s">
        <v>105</v>
      </c>
      <c r="BJ106" s="36" t="s">
        <v>105</v>
      </c>
      <c r="BK106" s="105">
        <v>2.64</v>
      </c>
      <c r="BL106" s="43" t="s">
        <v>105</v>
      </c>
      <c r="BM106" s="37" t="s">
        <v>105</v>
      </c>
      <c r="BN106" s="166">
        <f t="shared" ref="BN106:BN108" si="38">IFERROR(AVERAGE(D106:BM108),0)</f>
        <v>2.5284574468085097</v>
      </c>
      <c r="BO106" s="166">
        <f t="shared" si="36"/>
        <v>5.97</v>
      </c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65" t="s">
        <v>11</v>
      </c>
      <c r="B107" s="7" t="s">
        <v>12</v>
      </c>
      <c r="C107" s="11" t="s">
        <v>8</v>
      </c>
      <c r="D107" s="41" t="s">
        <v>105</v>
      </c>
      <c r="E107" s="22" t="s">
        <v>105</v>
      </c>
      <c r="F107" s="123">
        <v>4.78</v>
      </c>
      <c r="G107" s="123">
        <v>1.27</v>
      </c>
      <c r="H107" s="42" t="s">
        <v>105</v>
      </c>
      <c r="I107" s="124">
        <v>4.3</v>
      </c>
      <c r="J107" s="123">
        <v>3.23</v>
      </c>
      <c r="K107" s="22" t="s">
        <v>105</v>
      </c>
      <c r="L107" s="22" t="s">
        <v>105</v>
      </c>
      <c r="M107" s="60">
        <v>2.85</v>
      </c>
      <c r="N107" s="45" t="s">
        <v>105</v>
      </c>
      <c r="O107" s="123">
        <v>4.55</v>
      </c>
      <c r="P107" s="136">
        <v>0.111</v>
      </c>
      <c r="Q107" s="22" t="s">
        <v>105</v>
      </c>
      <c r="R107" s="42" t="s">
        <v>105</v>
      </c>
      <c r="S107" s="111">
        <v>2.35</v>
      </c>
      <c r="T107" s="22" t="s">
        <v>105</v>
      </c>
      <c r="U107" s="32">
        <v>3.22</v>
      </c>
      <c r="V107" s="32">
        <v>1.27</v>
      </c>
      <c r="W107" s="42" t="s">
        <v>105</v>
      </c>
      <c r="X107" s="111">
        <v>3.15</v>
      </c>
      <c r="Y107" s="130">
        <v>3.9</v>
      </c>
      <c r="Z107" s="22" t="s">
        <v>105</v>
      </c>
      <c r="AA107" s="32">
        <v>5.17</v>
      </c>
      <c r="AB107" s="60">
        <v>3.51</v>
      </c>
      <c r="AC107" s="45" t="s">
        <v>105</v>
      </c>
      <c r="AD107" s="22" t="s">
        <v>105</v>
      </c>
      <c r="AE107" s="32">
        <v>3.69</v>
      </c>
      <c r="AF107" s="123">
        <v>1.71</v>
      </c>
      <c r="AG107" s="42" t="s">
        <v>105</v>
      </c>
      <c r="AH107" s="64">
        <v>1.36</v>
      </c>
      <c r="AI107" s="22">
        <v>0.375</v>
      </c>
      <c r="AJ107" s="22" t="s">
        <v>105</v>
      </c>
      <c r="AK107" s="123">
        <v>3.16</v>
      </c>
      <c r="AL107" s="115">
        <v>1.17</v>
      </c>
      <c r="AM107" s="45" t="s">
        <v>105</v>
      </c>
      <c r="AN107" s="22" t="s">
        <v>105</v>
      </c>
      <c r="AO107" s="22" t="s">
        <v>105</v>
      </c>
      <c r="AP107" s="22">
        <v>0.6</v>
      </c>
      <c r="AQ107" s="42" t="s">
        <v>105</v>
      </c>
      <c r="AR107" s="111">
        <v>1.17</v>
      </c>
      <c r="AS107" s="123">
        <v>1.85</v>
      </c>
      <c r="AT107" s="22" t="s">
        <v>105</v>
      </c>
      <c r="AU107" s="32">
        <v>1.1399999999999999</v>
      </c>
      <c r="AV107" s="42" t="s">
        <v>105</v>
      </c>
      <c r="AW107" s="45" t="s">
        <v>105</v>
      </c>
      <c r="AX107" s="32">
        <v>4.13</v>
      </c>
      <c r="AY107" s="32">
        <v>4.43</v>
      </c>
      <c r="AZ107" s="22" t="s">
        <v>105</v>
      </c>
      <c r="BA107" s="71">
        <v>5.0999999999999996</v>
      </c>
      <c r="BB107" s="64">
        <v>2.78</v>
      </c>
      <c r="BC107" s="22" t="s">
        <v>105</v>
      </c>
      <c r="BD107" s="123">
        <v>1.0900000000000001</v>
      </c>
      <c r="BE107" s="32">
        <v>4.38</v>
      </c>
      <c r="BF107" s="42" t="s">
        <v>105</v>
      </c>
      <c r="BG107" s="64">
        <v>4.29</v>
      </c>
      <c r="BH107" s="22" t="s">
        <v>105</v>
      </c>
      <c r="BI107" s="22" t="s">
        <v>105</v>
      </c>
      <c r="BJ107" s="22" t="s">
        <v>105</v>
      </c>
      <c r="BK107" s="60">
        <v>3.02</v>
      </c>
      <c r="BL107" s="45" t="s">
        <v>105</v>
      </c>
      <c r="BM107" s="42" t="s">
        <v>105</v>
      </c>
      <c r="BN107" s="167">
        <f t="shared" si="38"/>
        <v>2.7911874999999995</v>
      </c>
      <c r="BO107" s="167">
        <f t="shared" si="36"/>
        <v>6.95</v>
      </c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65"/>
      <c r="B108" s="8" t="s">
        <v>48</v>
      </c>
      <c r="C108" s="12" t="s">
        <v>14</v>
      </c>
      <c r="D108" s="38" t="s">
        <v>105</v>
      </c>
      <c r="E108" s="39" t="s">
        <v>105</v>
      </c>
      <c r="F108" s="117">
        <v>1.72</v>
      </c>
      <c r="G108" s="117">
        <v>4.08</v>
      </c>
      <c r="H108" s="40" t="s">
        <v>105</v>
      </c>
      <c r="I108" s="109">
        <v>1.19</v>
      </c>
      <c r="J108" s="117">
        <v>1.02</v>
      </c>
      <c r="K108" s="39" t="s">
        <v>105</v>
      </c>
      <c r="L108" s="47">
        <v>1.98</v>
      </c>
      <c r="M108" s="59">
        <v>4.5599999999999996</v>
      </c>
      <c r="N108" s="44" t="s">
        <v>105</v>
      </c>
      <c r="O108" s="117">
        <v>2.73</v>
      </c>
      <c r="P108" s="47">
        <v>3.17</v>
      </c>
      <c r="Q108" s="39" t="s">
        <v>105</v>
      </c>
      <c r="R108" s="59">
        <v>2.1800000000000002</v>
      </c>
      <c r="S108" s="61">
        <v>2.21</v>
      </c>
      <c r="T108" s="39" t="s">
        <v>105</v>
      </c>
      <c r="U108" s="117">
        <v>1.47</v>
      </c>
      <c r="V108" s="138">
        <v>0.64700000000000002</v>
      </c>
      <c r="W108" s="40" t="s">
        <v>105</v>
      </c>
      <c r="X108" s="150">
        <v>0.79100000000000004</v>
      </c>
      <c r="Y108" s="117">
        <v>1.72</v>
      </c>
      <c r="Z108" s="39" t="s">
        <v>105</v>
      </c>
      <c r="AA108" s="47">
        <v>4.53</v>
      </c>
      <c r="AB108" s="59">
        <v>4.72</v>
      </c>
      <c r="AC108" s="44" t="s">
        <v>105</v>
      </c>
      <c r="AD108" s="39" t="s">
        <v>105</v>
      </c>
      <c r="AE108" s="47">
        <v>3.82</v>
      </c>
      <c r="AF108" s="39" t="s">
        <v>105</v>
      </c>
      <c r="AG108" s="40" t="s">
        <v>105</v>
      </c>
      <c r="AH108" s="61">
        <v>2.38</v>
      </c>
      <c r="AI108" s="117">
        <v>4.28</v>
      </c>
      <c r="AJ108" s="39" t="s">
        <v>105</v>
      </c>
      <c r="AK108" s="47">
        <v>5.49</v>
      </c>
      <c r="AL108" s="116">
        <v>2.4700000000000002</v>
      </c>
      <c r="AM108" s="44" t="s">
        <v>105</v>
      </c>
      <c r="AN108" s="39" t="s">
        <v>105</v>
      </c>
      <c r="AO108" s="47" t="s">
        <v>105</v>
      </c>
      <c r="AP108" s="117">
        <v>2.0099999999999998</v>
      </c>
      <c r="AQ108" s="40" t="s">
        <v>105</v>
      </c>
      <c r="AR108" s="109">
        <v>2.12</v>
      </c>
      <c r="AS108" s="47">
        <v>2.77</v>
      </c>
      <c r="AT108" s="39" t="s">
        <v>105</v>
      </c>
      <c r="AU108" s="47" t="s">
        <v>105</v>
      </c>
      <c r="AV108" s="40">
        <v>0.47199999999999998</v>
      </c>
      <c r="AW108" s="44" t="s">
        <v>105</v>
      </c>
      <c r="AX108" s="117">
        <v>1.43</v>
      </c>
      <c r="AY108" s="47">
        <v>4.62</v>
      </c>
      <c r="AZ108" s="39" t="s">
        <v>105</v>
      </c>
      <c r="BA108" s="59">
        <v>3.88</v>
      </c>
      <c r="BB108" s="44" t="s">
        <v>105</v>
      </c>
      <c r="BC108" s="39" t="s">
        <v>105</v>
      </c>
      <c r="BD108" s="39" t="s">
        <v>105</v>
      </c>
      <c r="BE108" s="117">
        <v>2.0099999999999998</v>
      </c>
      <c r="BF108" s="40" t="s">
        <v>105</v>
      </c>
      <c r="BG108" s="61">
        <v>5.45</v>
      </c>
      <c r="BH108" s="39">
        <v>0.81299999999999994</v>
      </c>
      <c r="BI108" s="39" t="s">
        <v>105</v>
      </c>
      <c r="BJ108" s="39" t="s">
        <v>105</v>
      </c>
      <c r="BK108" s="66">
        <v>2.2000000000000002</v>
      </c>
      <c r="BL108" s="44" t="s">
        <v>105</v>
      </c>
      <c r="BM108" s="40" t="s">
        <v>105</v>
      </c>
      <c r="BN108" s="168">
        <f t="shared" si="38"/>
        <v>2.9337244897959183</v>
      </c>
      <c r="BO108" s="168">
        <f t="shared" si="36"/>
        <v>6.95</v>
      </c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43</v>
      </c>
      <c r="B109" s="6" t="s">
        <v>17</v>
      </c>
      <c r="C109" s="11" t="s">
        <v>10</v>
      </c>
      <c r="D109" s="35" t="s">
        <v>105</v>
      </c>
      <c r="E109" s="36" t="s">
        <v>105</v>
      </c>
      <c r="F109" s="46">
        <v>6.67</v>
      </c>
      <c r="G109" s="120">
        <v>1.5</v>
      </c>
      <c r="H109" s="37" t="s">
        <v>105</v>
      </c>
      <c r="I109" s="112">
        <v>3.17</v>
      </c>
      <c r="J109" s="104">
        <v>6.09</v>
      </c>
      <c r="K109" s="36" t="s">
        <v>105</v>
      </c>
      <c r="L109" s="104">
        <v>1.92</v>
      </c>
      <c r="M109" s="63">
        <v>2.4500000000000002</v>
      </c>
      <c r="N109" s="43" t="s">
        <v>105</v>
      </c>
      <c r="O109" s="120">
        <v>3.9</v>
      </c>
      <c r="P109" s="104">
        <v>1.63</v>
      </c>
      <c r="Q109" s="36" t="s">
        <v>105</v>
      </c>
      <c r="R109" s="105">
        <v>1.27</v>
      </c>
      <c r="S109" s="75">
        <v>1.4</v>
      </c>
      <c r="T109" s="36" t="s">
        <v>105</v>
      </c>
      <c r="U109" s="104">
        <v>6.95</v>
      </c>
      <c r="V109" s="36" t="s">
        <v>105</v>
      </c>
      <c r="W109" s="37" t="s">
        <v>105</v>
      </c>
      <c r="X109" s="75">
        <v>5.3</v>
      </c>
      <c r="Y109" s="120">
        <v>2.6</v>
      </c>
      <c r="Z109" s="36" t="s">
        <v>105</v>
      </c>
      <c r="AA109" s="46">
        <v>6.15</v>
      </c>
      <c r="AB109" s="105">
        <v>5.53</v>
      </c>
      <c r="AC109" s="43" t="s">
        <v>105</v>
      </c>
      <c r="AD109" s="36" t="s">
        <v>105</v>
      </c>
      <c r="AE109" s="104">
        <v>4.17</v>
      </c>
      <c r="AF109" s="36" t="s">
        <v>105</v>
      </c>
      <c r="AG109" s="37" t="s">
        <v>105</v>
      </c>
      <c r="AH109" s="43">
        <v>0.375</v>
      </c>
      <c r="AI109" s="104">
        <v>3.14</v>
      </c>
      <c r="AJ109" s="36" t="s">
        <v>105</v>
      </c>
      <c r="AK109" s="36">
        <v>0.122</v>
      </c>
      <c r="AL109" s="105">
        <v>2.67</v>
      </c>
      <c r="AM109" s="43" t="s">
        <v>105</v>
      </c>
      <c r="AN109" s="36" t="s">
        <v>105</v>
      </c>
      <c r="AO109" s="36" t="s">
        <v>105</v>
      </c>
      <c r="AP109" s="36">
        <v>3.5999999999999997E-2</v>
      </c>
      <c r="AQ109" s="37" t="s">
        <v>105</v>
      </c>
      <c r="AR109" s="65">
        <v>2.4700000000000002</v>
      </c>
      <c r="AS109" s="36">
        <v>0.68600000000000005</v>
      </c>
      <c r="AT109" s="36" t="s">
        <v>105</v>
      </c>
      <c r="AU109" s="36">
        <v>0.65400000000000003</v>
      </c>
      <c r="AV109" s="121">
        <v>1.7</v>
      </c>
      <c r="AW109" s="43" t="s">
        <v>105</v>
      </c>
      <c r="AX109" s="46">
        <v>1.62</v>
      </c>
      <c r="AY109" s="104">
        <v>2.12</v>
      </c>
      <c r="AZ109" s="36" t="s">
        <v>105</v>
      </c>
      <c r="BA109" s="37">
        <v>0.622</v>
      </c>
      <c r="BB109" s="43" t="s">
        <v>105</v>
      </c>
      <c r="BC109" s="36" t="s">
        <v>105</v>
      </c>
      <c r="BD109" s="46">
        <v>6.07</v>
      </c>
      <c r="BE109" s="70">
        <v>4</v>
      </c>
      <c r="BF109" s="37" t="s">
        <v>105</v>
      </c>
      <c r="BG109" s="112">
        <v>4.6399999999999997</v>
      </c>
      <c r="BH109" s="36" t="s">
        <v>105</v>
      </c>
      <c r="BI109" s="36" t="s">
        <v>105</v>
      </c>
      <c r="BJ109" s="46">
        <v>2.29</v>
      </c>
      <c r="BK109" s="37" t="s">
        <v>105</v>
      </c>
      <c r="BL109" s="43" t="s">
        <v>105</v>
      </c>
      <c r="BM109" s="37" t="s">
        <v>105</v>
      </c>
      <c r="BN109" s="166">
        <f t="shared" ref="BN109:BN111" si="39">IFERROR(AVERAGE(D109:BM111),0)</f>
        <v>3.01851</v>
      </c>
      <c r="BO109" s="166">
        <f t="shared" si="36"/>
        <v>7.15</v>
      </c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65" t="s">
        <v>11</v>
      </c>
      <c r="B110" s="7" t="s">
        <v>12</v>
      </c>
      <c r="C110" s="11" t="s">
        <v>8</v>
      </c>
      <c r="D110" s="41" t="s">
        <v>105</v>
      </c>
      <c r="E110" s="22" t="s">
        <v>105</v>
      </c>
      <c r="F110" s="123">
        <v>4.6399999999999997</v>
      </c>
      <c r="G110" s="123">
        <v>1.72</v>
      </c>
      <c r="H110" s="42" t="s">
        <v>105</v>
      </c>
      <c r="I110" s="111">
        <v>1.1299999999999999</v>
      </c>
      <c r="J110" s="32">
        <v>6.52</v>
      </c>
      <c r="K110" s="22" t="s">
        <v>105</v>
      </c>
      <c r="L110" s="123">
        <v>1.44</v>
      </c>
      <c r="M110" s="60">
        <v>2.31</v>
      </c>
      <c r="N110" s="45" t="s">
        <v>105</v>
      </c>
      <c r="O110" s="123">
        <v>2.71</v>
      </c>
      <c r="P110" s="32">
        <v>1.72</v>
      </c>
      <c r="Q110" s="22" t="s">
        <v>105</v>
      </c>
      <c r="R110" s="60">
        <v>3.61</v>
      </c>
      <c r="S110" s="64">
        <v>4.42</v>
      </c>
      <c r="T110" s="22" t="s">
        <v>105</v>
      </c>
      <c r="U110" s="32">
        <v>3.61</v>
      </c>
      <c r="V110" s="32">
        <v>4.47</v>
      </c>
      <c r="W110" s="42" t="s">
        <v>105</v>
      </c>
      <c r="X110" s="64">
        <v>3.43</v>
      </c>
      <c r="Y110" s="32">
        <v>4.7699999999999996</v>
      </c>
      <c r="Z110" s="22" t="s">
        <v>105</v>
      </c>
      <c r="AA110" s="32">
        <v>3.96</v>
      </c>
      <c r="AB110" s="115">
        <v>2.16</v>
      </c>
      <c r="AC110" s="45" t="s">
        <v>105</v>
      </c>
      <c r="AD110" s="22" t="s">
        <v>105</v>
      </c>
      <c r="AE110" s="123">
        <v>5.32</v>
      </c>
      <c r="AF110" s="32">
        <v>2.29</v>
      </c>
      <c r="AG110" s="42" t="s">
        <v>105</v>
      </c>
      <c r="AH110" s="111">
        <v>1.42</v>
      </c>
      <c r="AI110" s="123">
        <v>1.18</v>
      </c>
      <c r="AJ110" s="22" t="s">
        <v>105</v>
      </c>
      <c r="AK110" s="32">
        <v>3.24</v>
      </c>
      <c r="AL110" s="60">
        <v>3.17</v>
      </c>
      <c r="AM110" s="45" t="s">
        <v>105</v>
      </c>
      <c r="AN110" s="22" t="s">
        <v>105</v>
      </c>
      <c r="AO110" s="22" t="s">
        <v>105</v>
      </c>
      <c r="AP110" s="22" t="s">
        <v>105</v>
      </c>
      <c r="AQ110" s="42" t="s">
        <v>105</v>
      </c>
      <c r="AR110" s="64">
        <v>6.34</v>
      </c>
      <c r="AS110" s="123">
        <v>3.07</v>
      </c>
      <c r="AT110" s="22" t="s">
        <v>105</v>
      </c>
      <c r="AU110" s="32">
        <v>3.03</v>
      </c>
      <c r="AV110" s="115">
        <v>2.46</v>
      </c>
      <c r="AW110" s="45" t="s">
        <v>105</v>
      </c>
      <c r="AX110" s="32">
        <v>5.48</v>
      </c>
      <c r="AY110" s="123">
        <v>1.55</v>
      </c>
      <c r="AZ110" s="22" t="s">
        <v>105</v>
      </c>
      <c r="BA110" s="115">
        <v>6.44</v>
      </c>
      <c r="BB110" s="129">
        <v>0.247</v>
      </c>
      <c r="BC110" s="22" t="s">
        <v>105</v>
      </c>
      <c r="BD110" s="32">
        <v>4.5199999999999996</v>
      </c>
      <c r="BE110" s="32">
        <v>1.85</v>
      </c>
      <c r="BF110" s="42" t="s">
        <v>105</v>
      </c>
      <c r="BG110" s="111">
        <v>3.43</v>
      </c>
      <c r="BH110" s="22" t="s">
        <v>105</v>
      </c>
      <c r="BI110" s="22" t="s">
        <v>105</v>
      </c>
      <c r="BJ110" s="33">
        <v>1</v>
      </c>
      <c r="BK110" s="60" t="s">
        <v>105</v>
      </c>
      <c r="BL110" s="45" t="s">
        <v>105</v>
      </c>
      <c r="BM110" s="42" t="s">
        <v>105</v>
      </c>
      <c r="BN110" s="167">
        <f t="shared" si="39"/>
        <v>3.4303949579831916</v>
      </c>
      <c r="BO110" s="167">
        <f t="shared" si="36"/>
        <v>10.9</v>
      </c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65"/>
      <c r="B111" s="8" t="s">
        <v>48</v>
      </c>
      <c r="C111" s="12" t="s">
        <v>14</v>
      </c>
      <c r="D111" s="38" t="s">
        <v>105</v>
      </c>
      <c r="E111" s="39" t="s">
        <v>105</v>
      </c>
      <c r="F111" s="117">
        <v>2.35</v>
      </c>
      <c r="G111" s="117">
        <v>1.55</v>
      </c>
      <c r="H111" s="40" t="s">
        <v>105</v>
      </c>
      <c r="I111" s="109">
        <v>2.34</v>
      </c>
      <c r="J111" s="47">
        <v>5.12</v>
      </c>
      <c r="K111" s="39" t="s">
        <v>105</v>
      </c>
      <c r="L111" s="117">
        <v>2.89</v>
      </c>
      <c r="M111" s="59">
        <v>1.39</v>
      </c>
      <c r="N111" s="44" t="s">
        <v>105</v>
      </c>
      <c r="O111" s="117">
        <v>4.68</v>
      </c>
      <c r="P111" s="47">
        <v>4.09</v>
      </c>
      <c r="Q111" s="39" t="s">
        <v>105</v>
      </c>
      <c r="R111" s="59">
        <v>2.63</v>
      </c>
      <c r="S111" s="61">
        <v>3.23</v>
      </c>
      <c r="T111" s="39" t="s">
        <v>105</v>
      </c>
      <c r="U111" s="117">
        <v>3.07</v>
      </c>
      <c r="V111" s="47">
        <v>2.2599999999999998</v>
      </c>
      <c r="W111" s="40" t="s">
        <v>105</v>
      </c>
      <c r="X111" s="61">
        <v>3.37</v>
      </c>
      <c r="Y111" s="47">
        <v>2.65</v>
      </c>
      <c r="Z111" s="39" t="s">
        <v>105</v>
      </c>
      <c r="AA111" s="68">
        <v>2.1</v>
      </c>
      <c r="AB111" s="59">
        <v>7.15</v>
      </c>
      <c r="AC111" s="44" t="s">
        <v>105</v>
      </c>
      <c r="AD111" s="39" t="s">
        <v>105</v>
      </c>
      <c r="AE111" s="117">
        <v>2.68</v>
      </c>
      <c r="AF111" s="138">
        <v>0.41399999999999998</v>
      </c>
      <c r="AG111" s="40" t="s">
        <v>105</v>
      </c>
      <c r="AH111" s="109">
        <v>1.57</v>
      </c>
      <c r="AI111" s="47">
        <v>3.26</v>
      </c>
      <c r="AJ111" s="39" t="s">
        <v>105</v>
      </c>
      <c r="AK111" s="47">
        <v>3.11</v>
      </c>
      <c r="AL111" s="40">
        <v>0.54400000000000004</v>
      </c>
      <c r="AM111" s="44" t="s">
        <v>105</v>
      </c>
      <c r="AN111" s="39" t="s">
        <v>105</v>
      </c>
      <c r="AO111" s="47">
        <v>2.25</v>
      </c>
      <c r="AP111" s="39">
        <v>0.38100000000000001</v>
      </c>
      <c r="AQ111" s="40" t="s">
        <v>105</v>
      </c>
      <c r="AR111" s="61" t="s">
        <v>105</v>
      </c>
      <c r="AS111" s="47">
        <v>3.47</v>
      </c>
      <c r="AT111" s="39" t="s">
        <v>105</v>
      </c>
      <c r="AU111" s="68">
        <v>2.1</v>
      </c>
      <c r="AV111" s="59">
        <v>3.74</v>
      </c>
      <c r="AW111" s="44" t="s">
        <v>105</v>
      </c>
      <c r="AX111" s="47">
        <v>3.16</v>
      </c>
      <c r="AY111" s="47">
        <v>3.34</v>
      </c>
      <c r="AZ111" s="39" t="s">
        <v>105</v>
      </c>
      <c r="BA111" s="116">
        <v>5.03</v>
      </c>
      <c r="BB111" s="109">
        <v>1.34</v>
      </c>
      <c r="BC111" s="39" t="s">
        <v>105</v>
      </c>
      <c r="BD111" s="47">
        <v>6.67</v>
      </c>
      <c r="BE111" s="47" t="s">
        <v>105</v>
      </c>
      <c r="BF111" s="40" t="s">
        <v>105</v>
      </c>
      <c r="BG111" s="109">
        <v>1.56</v>
      </c>
      <c r="BH111" s="39" t="s">
        <v>105</v>
      </c>
      <c r="BI111" s="39" t="s">
        <v>105</v>
      </c>
      <c r="BJ111" s="47">
        <v>3.79</v>
      </c>
      <c r="BK111" s="40" t="s">
        <v>105</v>
      </c>
      <c r="BL111" s="44" t="s">
        <v>105</v>
      </c>
      <c r="BM111" s="40" t="s">
        <v>105</v>
      </c>
      <c r="BN111" s="168">
        <f t="shared" si="39"/>
        <v>3.827808823529411</v>
      </c>
      <c r="BO111" s="168">
        <f t="shared" si="36"/>
        <v>11.1</v>
      </c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43</v>
      </c>
      <c r="B112" s="6"/>
      <c r="C112" s="11" t="s">
        <v>10</v>
      </c>
      <c r="D112" s="35" t="s">
        <v>105</v>
      </c>
      <c r="E112" s="104">
        <v>3.01</v>
      </c>
      <c r="F112" s="36" t="s">
        <v>105</v>
      </c>
      <c r="G112" s="104">
        <v>2.86</v>
      </c>
      <c r="H112" s="105">
        <v>3.22</v>
      </c>
      <c r="I112" s="43" t="s">
        <v>105</v>
      </c>
      <c r="J112" s="104">
        <v>6.29</v>
      </c>
      <c r="K112" s="104">
        <v>1.46</v>
      </c>
      <c r="L112" s="120">
        <v>5.5</v>
      </c>
      <c r="M112" s="105">
        <v>5.76</v>
      </c>
      <c r="N112" s="139">
        <v>0.86199999999999999</v>
      </c>
      <c r="O112" s="104">
        <v>6.98</v>
      </c>
      <c r="P112" s="104">
        <v>2.42</v>
      </c>
      <c r="Q112" s="104">
        <v>2.34</v>
      </c>
      <c r="R112" s="105">
        <v>4.13</v>
      </c>
      <c r="S112" s="112">
        <v>5.75</v>
      </c>
      <c r="T112" s="120">
        <v>1.6</v>
      </c>
      <c r="U112" s="46">
        <v>1.0900000000000001</v>
      </c>
      <c r="V112" s="46">
        <v>1.23</v>
      </c>
      <c r="W112" s="105">
        <v>2.16</v>
      </c>
      <c r="X112" s="43">
        <v>0.98699999999999999</v>
      </c>
      <c r="Y112" s="36">
        <v>0.25800000000000001</v>
      </c>
      <c r="Z112" s="104">
        <v>2.46</v>
      </c>
      <c r="AA112" s="114">
        <v>10.4</v>
      </c>
      <c r="AB112" s="161">
        <v>10.7</v>
      </c>
      <c r="AC112" s="135">
        <v>10.9</v>
      </c>
      <c r="AD112" s="104">
        <v>3.27</v>
      </c>
      <c r="AE112" s="104">
        <v>4.7699999999999996</v>
      </c>
      <c r="AF112" s="36" t="s">
        <v>105</v>
      </c>
      <c r="AG112" s="105">
        <v>5.33</v>
      </c>
      <c r="AH112" s="43">
        <v>0.80600000000000005</v>
      </c>
      <c r="AI112" s="46">
        <v>5.38</v>
      </c>
      <c r="AJ112" s="104">
        <v>4.78</v>
      </c>
      <c r="AK112" s="120">
        <v>2.2999999999999998</v>
      </c>
      <c r="AL112" s="105">
        <v>3.98</v>
      </c>
      <c r="AM112" s="112">
        <v>1.35</v>
      </c>
      <c r="AN112" s="104">
        <v>1.84</v>
      </c>
      <c r="AO112" s="36" t="s">
        <v>105</v>
      </c>
      <c r="AP112" s="36">
        <v>7.8E-2</v>
      </c>
      <c r="AQ112" s="105">
        <v>1.44</v>
      </c>
      <c r="AR112" s="112">
        <v>1.64</v>
      </c>
      <c r="AS112" s="104">
        <v>8.86</v>
      </c>
      <c r="AT112" s="120">
        <v>3.2</v>
      </c>
      <c r="AU112" s="104">
        <v>4.49</v>
      </c>
      <c r="AV112" s="121">
        <v>3.8</v>
      </c>
      <c r="AW112" s="112">
        <v>5.41</v>
      </c>
      <c r="AX112" s="104">
        <v>1.17</v>
      </c>
      <c r="AY112" s="104">
        <v>4.7699999999999996</v>
      </c>
      <c r="AZ112" s="104">
        <v>7.93</v>
      </c>
      <c r="BA112" s="105">
        <v>1.83</v>
      </c>
      <c r="BB112" s="112">
        <v>3.16</v>
      </c>
      <c r="BC112" s="104">
        <v>8.59</v>
      </c>
      <c r="BD112" s="46">
        <v>7.87</v>
      </c>
      <c r="BE112" s="46">
        <v>1.82</v>
      </c>
      <c r="BF112" s="37" t="s">
        <v>105</v>
      </c>
      <c r="BG112" s="43" t="s">
        <v>105</v>
      </c>
      <c r="BH112" s="36" t="s">
        <v>105</v>
      </c>
      <c r="BI112" s="104">
        <v>5.41</v>
      </c>
      <c r="BJ112" s="36" t="s">
        <v>105</v>
      </c>
      <c r="BK112" s="37" t="s">
        <v>105</v>
      </c>
      <c r="BL112" s="43" t="s">
        <v>105</v>
      </c>
      <c r="BM112" s="105">
        <v>2.64</v>
      </c>
      <c r="BN112" s="166">
        <f t="shared" ref="BN112:BN114" si="40">IFERROR(AVERAGE(D112:BM114),0)</f>
        <v>3.9914836601307213</v>
      </c>
      <c r="BO112" s="166">
        <f t="shared" si="36"/>
        <v>11.1</v>
      </c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65" t="s">
        <v>11</v>
      </c>
      <c r="B113" s="7" t="s">
        <v>49</v>
      </c>
      <c r="C113" s="11" t="s">
        <v>8</v>
      </c>
      <c r="D113" s="41" t="s">
        <v>105</v>
      </c>
      <c r="E113" s="22">
        <v>0.46800000000000003</v>
      </c>
      <c r="F113" s="22" t="s">
        <v>105</v>
      </c>
      <c r="G113" s="22" t="s">
        <v>105</v>
      </c>
      <c r="H113" s="115">
        <v>1.83</v>
      </c>
      <c r="I113" s="111">
        <v>2.2400000000000002</v>
      </c>
      <c r="J113" s="123">
        <v>6.43</v>
      </c>
      <c r="K113" s="123">
        <v>4.08</v>
      </c>
      <c r="L113" s="123">
        <v>5.19</v>
      </c>
      <c r="M113" s="60">
        <v>6.52</v>
      </c>
      <c r="N113" s="64" t="s">
        <v>105</v>
      </c>
      <c r="O113" s="123">
        <v>6.19</v>
      </c>
      <c r="P113" s="22">
        <v>0.32400000000000001</v>
      </c>
      <c r="Q113" s="22" t="s">
        <v>105</v>
      </c>
      <c r="R113" s="125">
        <v>4.2</v>
      </c>
      <c r="S113" s="111">
        <v>5.99</v>
      </c>
      <c r="T113" s="32">
        <v>4.84</v>
      </c>
      <c r="U113" s="32">
        <v>9.44</v>
      </c>
      <c r="V113" s="34">
        <v>7.1</v>
      </c>
      <c r="W113" s="125">
        <v>1.9</v>
      </c>
      <c r="X113" s="129">
        <v>0.26300000000000001</v>
      </c>
      <c r="Y113" s="130">
        <v>1.9</v>
      </c>
      <c r="Z113" s="22" t="s">
        <v>105</v>
      </c>
      <c r="AA113" s="107">
        <v>11.1</v>
      </c>
      <c r="AB113" s="115">
        <v>6.03</v>
      </c>
      <c r="AC113" s="111">
        <v>5.0199999999999996</v>
      </c>
      <c r="AD113" s="123">
        <v>8.43</v>
      </c>
      <c r="AE113" s="107">
        <v>10.5</v>
      </c>
      <c r="AF113" s="22" t="s">
        <v>105</v>
      </c>
      <c r="AG113" s="115">
        <v>3.43</v>
      </c>
      <c r="AH113" s="111">
        <v>4.92</v>
      </c>
      <c r="AI113" s="123">
        <v>5.44</v>
      </c>
      <c r="AJ113" s="123">
        <v>3.65</v>
      </c>
      <c r="AK113" s="123">
        <v>7.07</v>
      </c>
      <c r="AL113" s="42">
        <v>0.42499999999999999</v>
      </c>
      <c r="AM113" s="111">
        <v>1.52</v>
      </c>
      <c r="AN113" s="123">
        <v>1.91</v>
      </c>
      <c r="AO113" s="22" t="s">
        <v>105</v>
      </c>
      <c r="AP113" s="123">
        <v>3.25</v>
      </c>
      <c r="AQ113" s="125">
        <v>6.5</v>
      </c>
      <c r="AR113" s="111">
        <v>2.98</v>
      </c>
      <c r="AS113" s="123">
        <v>1.32</v>
      </c>
      <c r="AT113" s="123">
        <v>2.5499999999999998</v>
      </c>
      <c r="AU113" s="123">
        <v>4.33</v>
      </c>
      <c r="AV113" s="115">
        <v>3.11</v>
      </c>
      <c r="AW113" s="111">
        <v>6.42</v>
      </c>
      <c r="AX113" s="123">
        <v>5.22</v>
      </c>
      <c r="AY113" s="123">
        <v>4.75</v>
      </c>
      <c r="AZ113" s="123">
        <v>5.74</v>
      </c>
      <c r="BA113" s="115">
        <v>2.1800000000000002</v>
      </c>
      <c r="BB113" s="111">
        <v>6.04</v>
      </c>
      <c r="BC113" s="32">
        <v>4.1900000000000004</v>
      </c>
      <c r="BD113" s="123">
        <v>7.34</v>
      </c>
      <c r="BE113" s="123">
        <v>4.12</v>
      </c>
      <c r="BF113" s="42">
        <v>0.80100000000000005</v>
      </c>
      <c r="BG113" s="45" t="s">
        <v>105</v>
      </c>
      <c r="BH113" s="123">
        <v>3.13</v>
      </c>
      <c r="BI113" s="123">
        <v>5.23</v>
      </c>
      <c r="BJ113" s="22" t="s">
        <v>105</v>
      </c>
      <c r="BK113" s="42" t="s">
        <v>105</v>
      </c>
      <c r="BL113" s="45">
        <v>0.29099999999999998</v>
      </c>
      <c r="BM113" s="115">
        <v>3.18</v>
      </c>
      <c r="BN113" s="167">
        <f t="shared" si="40"/>
        <v>14.411073170731708</v>
      </c>
      <c r="BO113" s="167">
        <f t="shared" si="36"/>
        <v>62</v>
      </c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65"/>
      <c r="B114" s="8"/>
      <c r="C114" s="12" t="s">
        <v>14</v>
      </c>
      <c r="D114" s="38" t="s">
        <v>105</v>
      </c>
      <c r="E114" s="117">
        <v>1.32</v>
      </c>
      <c r="F114" s="39" t="s">
        <v>105</v>
      </c>
      <c r="G114" s="39">
        <v>0.79200000000000004</v>
      </c>
      <c r="H114" s="116">
        <v>1.75</v>
      </c>
      <c r="I114" s="44" t="s">
        <v>105</v>
      </c>
      <c r="J114" s="47">
        <v>3.61</v>
      </c>
      <c r="K114" s="47">
        <v>3.35</v>
      </c>
      <c r="L114" s="47">
        <v>4.84</v>
      </c>
      <c r="M114" s="59">
        <v>5.27</v>
      </c>
      <c r="N114" s="44">
        <v>0.437</v>
      </c>
      <c r="O114" s="117">
        <v>3.11</v>
      </c>
      <c r="P114" s="117">
        <v>2.0699999999999998</v>
      </c>
      <c r="Q114" s="117">
        <v>3.22</v>
      </c>
      <c r="R114" s="116">
        <v>3.55</v>
      </c>
      <c r="S114" s="109">
        <v>2.76</v>
      </c>
      <c r="T114" s="39">
        <v>0.192</v>
      </c>
      <c r="U114" s="117">
        <v>5.98</v>
      </c>
      <c r="V114" s="117">
        <v>4.6500000000000004</v>
      </c>
      <c r="W114" s="116">
        <v>3.68</v>
      </c>
      <c r="X114" s="109">
        <v>3.88</v>
      </c>
      <c r="Y114" s="117">
        <v>1.29</v>
      </c>
      <c r="Z114" s="39">
        <v>0.58799999999999997</v>
      </c>
      <c r="AA114" s="162">
        <v>10.199999999999999</v>
      </c>
      <c r="AB114" s="116">
        <v>7.12</v>
      </c>
      <c r="AC114" s="109">
        <v>6.17</v>
      </c>
      <c r="AD114" s="117">
        <v>5.27</v>
      </c>
      <c r="AE114" s="117">
        <v>3.83</v>
      </c>
      <c r="AF114" s="39" t="s">
        <v>105</v>
      </c>
      <c r="AG114" s="126">
        <v>1.3</v>
      </c>
      <c r="AH114" s="44" t="s">
        <v>105</v>
      </c>
      <c r="AI114" s="117">
        <v>2.91</v>
      </c>
      <c r="AJ114" s="117">
        <v>6.08</v>
      </c>
      <c r="AK114" s="39" t="s">
        <v>105</v>
      </c>
      <c r="AL114" s="40">
        <v>0.44700000000000001</v>
      </c>
      <c r="AM114" s="109">
        <v>3.99</v>
      </c>
      <c r="AN114" s="47">
        <v>7.73</v>
      </c>
      <c r="AO114" s="117">
        <v>5.51</v>
      </c>
      <c r="AP114" s="39">
        <v>0.622</v>
      </c>
      <c r="AQ114" s="126">
        <v>6.4</v>
      </c>
      <c r="AR114" s="109">
        <v>9.25</v>
      </c>
      <c r="AS114" s="39">
        <v>0.54600000000000004</v>
      </c>
      <c r="AT114" s="117">
        <v>4.33</v>
      </c>
      <c r="AU114" s="117">
        <v>2.21</v>
      </c>
      <c r="AV114" s="126">
        <v>5.4</v>
      </c>
      <c r="AW114" s="137">
        <v>6.7</v>
      </c>
      <c r="AX114" s="132">
        <v>2.2000000000000002</v>
      </c>
      <c r="AY114" s="117">
        <v>4.7300000000000004</v>
      </c>
      <c r="AZ114" s="117">
        <v>2.27</v>
      </c>
      <c r="BA114" s="116">
        <v>3.93</v>
      </c>
      <c r="BB114" s="137">
        <v>1.6</v>
      </c>
      <c r="BC114" s="47">
        <v>7.47</v>
      </c>
      <c r="BD114" s="39" t="s">
        <v>105</v>
      </c>
      <c r="BE114" s="47">
        <v>5.27</v>
      </c>
      <c r="BF114" s="116">
        <v>1.53</v>
      </c>
      <c r="BG114" s="109">
        <v>2.0699999999999998</v>
      </c>
      <c r="BH114" s="77" t="s">
        <v>105</v>
      </c>
      <c r="BI114" s="117">
        <v>4.76</v>
      </c>
      <c r="BJ114" s="39" t="s">
        <v>105</v>
      </c>
      <c r="BK114" s="40" t="s">
        <v>105</v>
      </c>
      <c r="BL114" s="109">
        <v>1.21</v>
      </c>
      <c r="BM114" s="40" t="s">
        <v>105</v>
      </c>
      <c r="BN114" s="168">
        <f t="shared" si="40"/>
        <v>18.959238938053101</v>
      </c>
      <c r="BO114" s="168">
        <f t="shared" si="36"/>
        <v>62</v>
      </c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customHeight="1" x14ac:dyDescent="0.2">
      <c r="A115" s="163" t="s">
        <v>4</v>
      </c>
      <c r="B115" s="164"/>
      <c r="C115" s="18" t="s">
        <v>5</v>
      </c>
      <c r="D115" s="89">
        <v>1</v>
      </c>
      <c r="E115" s="90">
        <v>2</v>
      </c>
      <c r="F115" s="90">
        <v>3</v>
      </c>
      <c r="G115" s="90">
        <v>4</v>
      </c>
      <c r="H115" s="90">
        <v>5</v>
      </c>
      <c r="I115" s="90">
        <v>6</v>
      </c>
      <c r="J115" s="90">
        <v>7</v>
      </c>
      <c r="K115" s="90">
        <v>8</v>
      </c>
      <c r="L115" s="90">
        <v>9</v>
      </c>
      <c r="M115" s="90">
        <v>10</v>
      </c>
      <c r="N115" s="90">
        <v>11</v>
      </c>
      <c r="O115" s="90">
        <v>12</v>
      </c>
      <c r="P115" s="90">
        <v>13</v>
      </c>
      <c r="Q115" s="90">
        <v>14</v>
      </c>
      <c r="R115" s="90">
        <v>15</v>
      </c>
      <c r="S115" s="90">
        <v>16</v>
      </c>
      <c r="T115" s="90">
        <v>17</v>
      </c>
      <c r="U115" s="90">
        <v>18</v>
      </c>
      <c r="V115" s="90">
        <v>19</v>
      </c>
      <c r="W115" s="90">
        <v>20</v>
      </c>
      <c r="X115" s="90">
        <v>21</v>
      </c>
      <c r="Y115" s="90">
        <v>22</v>
      </c>
      <c r="Z115" s="90">
        <v>23</v>
      </c>
      <c r="AA115" s="90">
        <v>24</v>
      </c>
      <c r="AB115" s="90">
        <v>25</v>
      </c>
      <c r="AC115" s="90">
        <v>26</v>
      </c>
      <c r="AD115" s="90">
        <v>27</v>
      </c>
      <c r="AE115" s="90">
        <v>28</v>
      </c>
      <c r="AF115" s="90">
        <v>29</v>
      </c>
      <c r="AG115" s="90">
        <v>30</v>
      </c>
      <c r="AH115" s="90">
        <v>31</v>
      </c>
      <c r="AI115" s="90">
        <v>32</v>
      </c>
      <c r="AJ115" s="90">
        <v>33</v>
      </c>
      <c r="AK115" s="90">
        <v>34</v>
      </c>
      <c r="AL115" s="90">
        <v>35</v>
      </c>
      <c r="AM115" s="90">
        <v>36</v>
      </c>
      <c r="AN115" s="90">
        <v>37</v>
      </c>
      <c r="AO115" s="90">
        <v>38</v>
      </c>
      <c r="AP115" s="90">
        <v>39</v>
      </c>
      <c r="AQ115" s="90">
        <v>40</v>
      </c>
      <c r="AR115" s="90">
        <v>41</v>
      </c>
      <c r="AS115" s="90">
        <v>42</v>
      </c>
      <c r="AT115" s="90">
        <v>43</v>
      </c>
      <c r="AU115" s="90">
        <v>44</v>
      </c>
      <c r="AV115" s="90">
        <v>45</v>
      </c>
      <c r="AW115" s="90">
        <v>46</v>
      </c>
      <c r="AX115" s="90">
        <v>47</v>
      </c>
      <c r="AY115" s="90">
        <v>48</v>
      </c>
      <c r="AZ115" s="90">
        <v>49</v>
      </c>
      <c r="BA115" s="90">
        <v>50</v>
      </c>
      <c r="BB115" s="90">
        <v>51</v>
      </c>
      <c r="BC115" s="90">
        <v>52</v>
      </c>
      <c r="BD115" s="90">
        <v>53</v>
      </c>
      <c r="BE115" s="90">
        <v>54</v>
      </c>
      <c r="BF115" s="90">
        <v>55</v>
      </c>
      <c r="BG115" s="90">
        <v>56</v>
      </c>
      <c r="BH115" s="90">
        <v>57</v>
      </c>
      <c r="BI115" s="90">
        <v>58</v>
      </c>
      <c r="BJ115" s="90">
        <v>59</v>
      </c>
      <c r="BK115" s="90">
        <v>60</v>
      </c>
      <c r="BL115" s="90">
        <v>61</v>
      </c>
      <c r="BM115" s="91">
        <v>62</v>
      </c>
      <c r="BN115" s="29" t="s">
        <v>6</v>
      </c>
      <c r="BO115" s="30" t="s">
        <v>104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3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13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13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6" customHeight="1" x14ac:dyDescent="0.2">
      <c r="A129" s="1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24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6" customHeight="1" x14ac:dyDescent="0.2">
      <c r="A130" s="9"/>
      <c r="B130" s="277" t="s">
        <v>106</v>
      </c>
      <c r="C130" s="278"/>
      <c r="D130" s="278"/>
      <c r="E130" s="278"/>
      <c r="F130" s="278"/>
      <c r="G130" s="278"/>
      <c r="H130" s="278"/>
      <c r="I130" s="278"/>
      <c r="J130" s="278"/>
      <c r="K130" s="278"/>
      <c r="L130" s="279"/>
      <c r="M130" s="304" t="s">
        <v>107</v>
      </c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6"/>
      <c r="AG130" s="214" t="s">
        <v>108</v>
      </c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6"/>
      <c r="AW130" s="192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  <c r="BI130" s="193"/>
      <c r="BJ130" s="193"/>
      <c r="BK130" s="193"/>
      <c r="BL130" s="193"/>
      <c r="BM130" s="193"/>
      <c r="BN130" s="193"/>
      <c r="BO130" s="193"/>
      <c r="BP130" s="193"/>
      <c r="BQ130" s="193"/>
      <c r="BR130" s="184" t="s">
        <v>84</v>
      </c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5"/>
      <c r="CL130" s="255" t="str">
        <f>Thickness!CL130</f>
        <v xml:space="preserve">INTERNATIONAL PAPER </v>
      </c>
      <c r="CM130" s="256"/>
      <c r="CN130" s="256"/>
      <c r="CO130" s="256"/>
      <c r="CP130" s="256"/>
      <c r="CQ130" s="256"/>
      <c r="CR130" s="256"/>
      <c r="CS130" s="256"/>
      <c r="CT130" s="256"/>
      <c r="CU130" s="256"/>
      <c r="CV130" s="256"/>
      <c r="CW130" s="256"/>
      <c r="CX130" s="256"/>
      <c r="CY130" s="256"/>
      <c r="CZ130" s="256"/>
      <c r="DA130" s="256"/>
      <c r="DB130" s="256"/>
      <c r="DC130" s="256"/>
      <c r="DD130" s="256"/>
      <c r="DE130" s="256"/>
      <c r="DF130" s="256"/>
      <c r="DG130" s="256"/>
      <c r="DH130" s="256"/>
      <c r="DI130" s="256"/>
      <c r="DJ130" s="256"/>
      <c r="DK130" s="256"/>
      <c r="DL130" s="256"/>
      <c r="DM130" s="256"/>
      <c r="DN130" s="256"/>
      <c r="DO130" s="256"/>
      <c r="DP130" s="256"/>
      <c r="DQ130" s="256"/>
      <c r="DR130" s="256"/>
      <c r="DS130" s="256"/>
      <c r="DT130" s="256"/>
      <c r="DU130" s="256"/>
      <c r="DV130" s="256"/>
      <c r="DW130" s="256"/>
      <c r="DX130" s="256"/>
      <c r="DY130" s="256"/>
      <c r="DZ130" s="257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6" customHeight="1" x14ac:dyDescent="0.2">
      <c r="A131" s="217" t="s">
        <v>54</v>
      </c>
      <c r="B131" s="280" t="s">
        <v>109</v>
      </c>
      <c r="C131" s="281"/>
      <c r="D131" s="281"/>
      <c r="E131" s="281"/>
      <c r="F131" s="281"/>
      <c r="G131" s="281"/>
      <c r="H131" s="281"/>
      <c r="I131" s="281"/>
      <c r="J131" s="281"/>
      <c r="K131" s="281"/>
      <c r="L131" s="282"/>
      <c r="M131" s="307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  <c r="AB131" s="308"/>
      <c r="AC131" s="308"/>
      <c r="AD131" s="308"/>
      <c r="AE131" s="308"/>
      <c r="AF131" s="309"/>
      <c r="AG131" s="298" t="s">
        <v>110</v>
      </c>
      <c r="AH131" s="299"/>
      <c r="AI131" s="299"/>
      <c r="AJ131" s="299"/>
      <c r="AK131" s="299"/>
      <c r="AL131" s="299"/>
      <c r="AM131" s="299"/>
      <c r="AN131" s="299"/>
      <c r="AO131" s="299"/>
      <c r="AP131" s="299"/>
      <c r="AQ131" s="299"/>
      <c r="AR131" s="299"/>
      <c r="AS131" s="299"/>
      <c r="AT131" s="299"/>
      <c r="AU131" s="299"/>
      <c r="AV131" s="300"/>
      <c r="AW131" s="194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7"/>
      <c r="CL131" s="249" t="str">
        <f>Thickness!CL131</f>
        <v>RIVERDALE MILL</v>
      </c>
      <c r="CM131" s="250"/>
      <c r="CN131" s="250"/>
      <c r="CO131" s="250"/>
      <c r="CP131" s="250"/>
      <c r="CQ131" s="250"/>
      <c r="CR131" s="250"/>
      <c r="CS131" s="250"/>
      <c r="CT131" s="250"/>
      <c r="CU131" s="250"/>
      <c r="CV131" s="250"/>
      <c r="CW131" s="250"/>
      <c r="CX131" s="250"/>
      <c r="CY131" s="250"/>
      <c r="CZ131" s="250"/>
      <c r="DA131" s="250"/>
      <c r="DB131" s="250"/>
      <c r="DC131" s="250"/>
      <c r="DD131" s="250"/>
      <c r="DE131" s="250"/>
      <c r="DF131" s="250"/>
      <c r="DG131" s="250"/>
      <c r="DH131" s="250"/>
      <c r="DI131" s="250"/>
      <c r="DJ131" s="250"/>
      <c r="DK131" s="250"/>
      <c r="DL131" s="250"/>
      <c r="DM131" s="250"/>
      <c r="DN131" s="250"/>
      <c r="DO131" s="250"/>
      <c r="DP131" s="250"/>
      <c r="DQ131" s="250"/>
      <c r="DR131" s="250"/>
      <c r="DS131" s="250"/>
      <c r="DT131" s="250"/>
      <c r="DU131" s="250"/>
      <c r="DV131" s="250"/>
      <c r="DW131" s="250"/>
      <c r="DX131" s="250"/>
      <c r="DY131" s="250"/>
      <c r="DZ131" s="251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ht="36" customHeight="1" x14ac:dyDescent="0.2">
      <c r="A132" s="217"/>
      <c r="B132" s="283" t="s">
        <v>111</v>
      </c>
      <c r="C132" s="284"/>
      <c r="D132" s="284"/>
      <c r="E132" s="284"/>
      <c r="F132" s="284"/>
      <c r="G132" s="284"/>
      <c r="H132" s="284"/>
      <c r="I132" s="284"/>
      <c r="J132" s="284"/>
      <c r="K132" s="284"/>
      <c r="L132" s="285"/>
      <c r="M132" s="292" t="s">
        <v>112</v>
      </c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  <c r="AB132" s="293"/>
      <c r="AC132" s="293"/>
      <c r="AD132" s="293"/>
      <c r="AE132" s="293"/>
      <c r="AF132" s="294"/>
      <c r="AG132" s="301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3"/>
      <c r="AW132" s="194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7"/>
      <c r="CL132" s="252" t="s">
        <v>113</v>
      </c>
      <c r="CM132" s="253"/>
      <c r="CN132" s="253"/>
      <c r="CO132" s="253"/>
      <c r="CP132" s="253"/>
      <c r="CQ132" s="253"/>
      <c r="CR132" s="253"/>
      <c r="CS132" s="253"/>
      <c r="CT132" s="253"/>
      <c r="CU132" s="253"/>
      <c r="CV132" s="253"/>
      <c r="CW132" s="253"/>
      <c r="CX132" s="253"/>
      <c r="CY132" s="253"/>
      <c r="CZ132" s="253"/>
      <c r="DA132" s="253"/>
      <c r="DB132" s="253"/>
      <c r="DC132" s="253"/>
      <c r="DD132" s="253"/>
      <c r="DE132" s="253"/>
      <c r="DF132" s="253"/>
      <c r="DG132" s="253"/>
      <c r="DH132" s="253"/>
      <c r="DI132" s="253"/>
      <c r="DJ132" s="253"/>
      <c r="DK132" s="253"/>
      <c r="DL132" s="253"/>
      <c r="DM132" s="253"/>
      <c r="DN132" s="253"/>
      <c r="DO132" s="253"/>
      <c r="DP132" s="253"/>
      <c r="DQ132" s="253"/>
      <c r="DR132" s="253"/>
      <c r="DS132" s="253"/>
      <c r="DT132" s="253"/>
      <c r="DU132" s="253"/>
      <c r="DV132" s="253"/>
      <c r="DW132" s="253"/>
      <c r="DX132" s="253"/>
      <c r="DY132" s="253"/>
      <c r="DZ132" s="254"/>
    </row>
    <row r="133" spans="1:182" ht="36" customHeight="1" x14ac:dyDescent="0.2">
      <c r="A133" s="217"/>
      <c r="B133" s="286" t="s">
        <v>114</v>
      </c>
      <c r="C133" s="287"/>
      <c r="D133" s="287"/>
      <c r="E133" s="287"/>
      <c r="F133" s="287"/>
      <c r="G133" s="287"/>
      <c r="H133" s="287"/>
      <c r="I133" s="287"/>
      <c r="J133" s="287"/>
      <c r="K133" s="287"/>
      <c r="L133" s="288"/>
      <c r="M133" s="295" t="s">
        <v>115</v>
      </c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7"/>
      <c r="AG133" s="271">
        <v>2.476</v>
      </c>
      <c r="AH133" s="272"/>
      <c r="AI133" s="272"/>
      <c r="AJ133" s="272"/>
      <c r="AK133" s="272"/>
      <c r="AL133" s="272"/>
      <c r="AM133" s="272"/>
      <c r="AN133" s="272"/>
      <c r="AO133" s="272"/>
      <c r="AP133" s="272"/>
      <c r="AQ133" s="272"/>
      <c r="AR133" s="272"/>
      <c r="AS133" s="272"/>
      <c r="AT133" s="272"/>
      <c r="AU133" s="272"/>
      <c r="AV133" s="273"/>
      <c r="AW133" s="196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9"/>
      <c r="CL133" s="252" t="str">
        <f>Thickness!CL133</f>
        <v>NO. 1 RECOVERY BOILER</v>
      </c>
      <c r="CM133" s="253"/>
      <c r="CN133" s="253"/>
      <c r="CO133" s="253"/>
      <c r="CP133" s="253"/>
      <c r="CQ133" s="253"/>
      <c r="CR133" s="253"/>
      <c r="CS133" s="253"/>
      <c r="CT133" s="253"/>
      <c r="CU133" s="253"/>
      <c r="CV133" s="253"/>
      <c r="CW133" s="253"/>
      <c r="CX133" s="253"/>
      <c r="CY133" s="253"/>
      <c r="CZ133" s="253"/>
      <c r="DA133" s="253"/>
      <c r="DB133" s="253"/>
      <c r="DC133" s="253"/>
      <c r="DD133" s="253"/>
      <c r="DE133" s="253"/>
      <c r="DF133" s="253"/>
      <c r="DG133" s="253"/>
      <c r="DH133" s="253"/>
      <c r="DI133" s="253"/>
      <c r="DJ133" s="253"/>
      <c r="DK133" s="253"/>
      <c r="DL133" s="253"/>
      <c r="DM133" s="253"/>
      <c r="DN133" s="253"/>
      <c r="DO133" s="253"/>
      <c r="DP133" s="253"/>
      <c r="DQ133" s="253"/>
      <c r="DR133" s="253"/>
      <c r="DS133" s="253"/>
      <c r="DT133" s="253"/>
      <c r="DU133" s="253"/>
      <c r="DV133" s="253"/>
      <c r="DW133" s="253"/>
      <c r="DX133" s="253"/>
      <c r="DY133" s="253"/>
      <c r="DZ133" s="254"/>
    </row>
    <row r="134" spans="1:182" ht="36" customHeight="1" x14ac:dyDescent="0.2">
      <c r="A134" s="217"/>
      <c r="B134" s="289" t="s">
        <v>116</v>
      </c>
      <c r="C134" s="290"/>
      <c r="D134" s="290"/>
      <c r="E134" s="290"/>
      <c r="F134" s="290"/>
      <c r="G134" s="290"/>
      <c r="H134" s="290"/>
      <c r="I134" s="290"/>
      <c r="J134" s="290"/>
      <c r="K134" s="290"/>
      <c r="L134" s="291"/>
      <c r="M134" s="312" t="s">
        <v>105</v>
      </c>
      <c r="N134" s="313"/>
      <c r="O134" s="313"/>
      <c r="P134" s="313"/>
      <c r="Q134" s="314"/>
      <c r="R134" s="258" t="s">
        <v>117</v>
      </c>
      <c r="S134" s="258"/>
      <c r="T134" s="258"/>
      <c r="U134" s="258"/>
      <c r="V134" s="258"/>
      <c r="W134" s="258"/>
      <c r="X134" s="258"/>
      <c r="Y134" s="258"/>
      <c r="Z134" s="258"/>
      <c r="AA134" s="258"/>
      <c r="AB134" s="258"/>
      <c r="AC134" s="258"/>
      <c r="AD134" s="258"/>
      <c r="AE134" s="258"/>
      <c r="AF134" s="259"/>
      <c r="AG134" s="274"/>
      <c r="AH134" s="275"/>
      <c r="AI134" s="275"/>
      <c r="AJ134" s="275"/>
      <c r="AK134" s="275"/>
      <c r="AL134" s="275"/>
      <c r="AM134" s="275"/>
      <c r="AN134" s="275"/>
      <c r="AO134" s="275"/>
      <c r="AP134" s="275"/>
      <c r="AQ134" s="275"/>
      <c r="AR134" s="275"/>
      <c r="AS134" s="275"/>
      <c r="AT134" s="275"/>
      <c r="AU134" s="275"/>
      <c r="AV134" s="276"/>
      <c r="AW134" s="190" t="str">
        <f>Thickness!AW134</f>
        <v>Job #  H449364  P.O. #  0018342455 W.O. #  N/A   Date:  5/05/2025</v>
      </c>
      <c r="AX134" s="310"/>
      <c r="AY134" s="310"/>
      <c r="AZ134" s="310"/>
      <c r="BA134" s="310"/>
      <c r="BB134" s="310"/>
      <c r="BC134" s="310"/>
      <c r="BD134" s="310"/>
      <c r="BE134" s="310"/>
      <c r="BF134" s="310"/>
      <c r="BG134" s="310"/>
      <c r="BH134" s="310"/>
      <c r="BI134" s="310"/>
      <c r="BJ134" s="310"/>
      <c r="BK134" s="310"/>
      <c r="BL134" s="310"/>
      <c r="BM134" s="310"/>
      <c r="BN134" s="310"/>
      <c r="BO134" s="310"/>
      <c r="BP134" s="310"/>
      <c r="BQ134" s="310"/>
      <c r="BR134" s="310"/>
      <c r="BS134" s="310"/>
      <c r="BT134" s="310"/>
      <c r="BU134" s="310"/>
      <c r="BV134" s="310"/>
      <c r="BW134" s="310"/>
      <c r="BX134" s="310"/>
      <c r="BY134" s="310"/>
      <c r="BZ134" s="310"/>
      <c r="CA134" s="310"/>
      <c r="CB134" s="310"/>
      <c r="CC134" s="310"/>
      <c r="CD134" s="310"/>
      <c r="CE134" s="310"/>
      <c r="CF134" s="310"/>
      <c r="CG134" s="310"/>
      <c r="CH134" s="310"/>
      <c r="CI134" s="310"/>
      <c r="CJ134" s="310"/>
      <c r="CK134" s="311"/>
      <c r="CL134" s="261" t="str">
        <f>Thickness!CL134</f>
        <v>04 REAR WALL W/ PORTS</v>
      </c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3"/>
    </row>
    <row r="135" spans="1:182" ht="36" customHeight="1" x14ac:dyDescent="0.35">
      <c r="B135" s="16" t="s">
        <v>118</v>
      </c>
    </row>
    <row r="136" spans="1:182" ht="36" customHeight="1" x14ac:dyDescent="0.2"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260"/>
      <c r="AI136" s="260"/>
      <c r="AJ136" s="260"/>
      <c r="AK136" s="260"/>
      <c r="AL136" s="260"/>
      <c r="AM136" s="260"/>
      <c r="AN136" s="260"/>
      <c r="AO136" s="260"/>
      <c r="AP136" s="260"/>
      <c r="AQ136" s="260"/>
      <c r="AR136" s="260"/>
      <c r="AS136" s="260"/>
      <c r="AT136" s="260"/>
      <c r="AU136" s="260"/>
      <c r="AV136" s="260"/>
    </row>
    <row r="137" spans="1:182" ht="36" customHeight="1" x14ac:dyDescent="0.2"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82" x14ac:dyDescent="0.2"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BJ138" s="3"/>
      <c r="BK138" s="3"/>
      <c r="BL138" s="3"/>
      <c r="BM138" s="3"/>
      <c r="BN138" s="3"/>
      <c r="BO138" s="3"/>
      <c r="BP138" s="3"/>
      <c r="BQ138" s="3"/>
      <c r="BR138" s="184" t="s">
        <v>84</v>
      </c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5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82" x14ac:dyDescent="0.2">
      <c r="BJ139" s="3"/>
      <c r="BK139" s="3"/>
      <c r="BL139" s="3"/>
      <c r="BM139" s="3"/>
      <c r="BN139" s="3"/>
      <c r="BO139" s="3"/>
      <c r="BP139" s="3"/>
      <c r="BQ139" s="3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7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82" x14ac:dyDescent="0.2"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7"/>
    </row>
    <row r="141" spans="1:182" x14ac:dyDescent="0.2"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9"/>
    </row>
    <row r="143" spans="1:182" x14ac:dyDescent="0.2">
      <c r="BR143" s="184" t="s">
        <v>101</v>
      </c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5"/>
    </row>
    <row r="144" spans="1:182" x14ac:dyDescent="0.2"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7"/>
    </row>
    <row r="145" spans="70:89" x14ac:dyDescent="0.2"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7"/>
    </row>
    <row r="146" spans="70:89" x14ac:dyDescent="0.2"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  <c r="CD146" s="188"/>
      <c r="CE146" s="188"/>
      <c r="CF146" s="188"/>
      <c r="CG146" s="188"/>
      <c r="CH146" s="188"/>
      <c r="CI146" s="188"/>
      <c r="CJ146" s="188"/>
      <c r="CK146" s="189"/>
    </row>
    <row r="148" spans="70:89" x14ac:dyDescent="0.2">
      <c r="BR148" s="184" t="s">
        <v>102</v>
      </c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5"/>
    </row>
    <row r="149" spans="70:89" x14ac:dyDescent="0.2"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7"/>
    </row>
    <row r="150" spans="70:89" x14ac:dyDescent="0.2"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7"/>
    </row>
    <row r="151" spans="70:89" x14ac:dyDescent="0.2"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  <c r="CD151" s="188"/>
      <c r="CE151" s="188"/>
      <c r="CF151" s="188"/>
      <c r="CG151" s="188"/>
      <c r="CH151" s="188"/>
      <c r="CI151" s="188"/>
      <c r="CJ151" s="188"/>
      <c r="CK151" s="189"/>
    </row>
  </sheetData>
  <mergeCells count="144">
    <mergeCell ref="BR143:CK146"/>
    <mergeCell ref="BR148:CK151"/>
    <mergeCell ref="AG133:AV134"/>
    <mergeCell ref="B130:L130"/>
    <mergeCell ref="B131:L131"/>
    <mergeCell ref="B132:L132"/>
    <mergeCell ref="B133:L133"/>
    <mergeCell ref="B134:L134"/>
    <mergeCell ref="AG130:AV130"/>
    <mergeCell ref="AW130:BQ133"/>
    <mergeCell ref="M132:AF132"/>
    <mergeCell ref="M133:AF133"/>
    <mergeCell ref="AG131:AV132"/>
    <mergeCell ref="BR130:CK133"/>
    <mergeCell ref="M130:AF131"/>
    <mergeCell ref="AW134:CK134"/>
    <mergeCell ref="A3:B3"/>
    <mergeCell ref="A1:B2"/>
    <mergeCell ref="C1:DP1"/>
    <mergeCell ref="DQ1:DZ1"/>
    <mergeCell ref="C2:DP2"/>
    <mergeCell ref="DQ2:DZ2"/>
    <mergeCell ref="M136:AV136"/>
    <mergeCell ref="CL134:DZ134"/>
    <mergeCell ref="A26:A27"/>
    <mergeCell ref="BN22:BN24"/>
    <mergeCell ref="BO22:BO24"/>
    <mergeCell ref="A29:A30"/>
    <mergeCell ref="BN25:BN27"/>
    <mergeCell ref="BO25:BO27"/>
    <mergeCell ref="A44:A45"/>
    <mergeCell ref="BN40:BN42"/>
    <mergeCell ref="BO40:BO42"/>
    <mergeCell ref="A47:A48"/>
    <mergeCell ref="BN43:BN45"/>
    <mergeCell ref="BO43:BO45"/>
    <mergeCell ref="A38:A39"/>
    <mergeCell ref="BN34:BN36"/>
    <mergeCell ref="BN4:BN6"/>
    <mergeCell ref="BO4:BO6"/>
    <mergeCell ref="A11:A12"/>
    <mergeCell ref="BN7:BN9"/>
    <mergeCell ref="BO7:BO9"/>
    <mergeCell ref="A35:A36"/>
    <mergeCell ref="BN31:BN33"/>
    <mergeCell ref="BO31:BO33"/>
    <mergeCell ref="R134:AF134"/>
    <mergeCell ref="A8:A9"/>
    <mergeCell ref="BO34:BO36"/>
    <mergeCell ref="A131:A134"/>
    <mergeCell ref="M134:Q134"/>
    <mergeCell ref="A115:B115"/>
    <mergeCell ref="BN13:BN15"/>
    <mergeCell ref="BO13:BO15"/>
    <mergeCell ref="A32:A33"/>
    <mergeCell ref="BN28:BN30"/>
    <mergeCell ref="BO28:BO30"/>
    <mergeCell ref="BR138:CK141"/>
    <mergeCell ref="CL131:DZ131"/>
    <mergeCell ref="A5:A6"/>
    <mergeCell ref="CL132:DZ132"/>
    <mergeCell ref="CL133:DZ133"/>
    <mergeCell ref="CL130:DZ130"/>
    <mergeCell ref="A20:A21"/>
    <mergeCell ref="BN16:BN18"/>
    <mergeCell ref="BO16:BO18"/>
    <mergeCell ref="A23:A24"/>
    <mergeCell ref="BN19:BN21"/>
    <mergeCell ref="BO19:BO21"/>
    <mergeCell ref="A14:A15"/>
    <mergeCell ref="BN10:BN12"/>
    <mergeCell ref="BO10:BO12"/>
    <mergeCell ref="A17:A18"/>
    <mergeCell ref="A41:A42"/>
    <mergeCell ref="BN37:BN39"/>
    <mergeCell ref="BO37:BO39"/>
    <mergeCell ref="A56:A57"/>
    <mergeCell ref="BN52:BN54"/>
    <mergeCell ref="BO52:BO54"/>
    <mergeCell ref="BN55:BN57"/>
    <mergeCell ref="BO55:BO57"/>
    <mergeCell ref="A50:A51"/>
    <mergeCell ref="BN46:BN48"/>
    <mergeCell ref="BO46:BO48"/>
    <mergeCell ref="A53:A54"/>
    <mergeCell ref="BN49:BN51"/>
    <mergeCell ref="BO49:BO51"/>
    <mergeCell ref="A62:A63"/>
    <mergeCell ref="BN58:BN60"/>
    <mergeCell ref="BO58:BO60"/>
    <mergeCell ref="A65:A66"/>
    <mergeCell ref="BN61:BN63"/>
    <mergeCell ref="BO61:BO63"/>
    <mergeCell ref="A59:A60"/>
    <mergeCell ref="A68:A69"/>
    <mergeCell ref="BN64:BN66"/>
    <mergeCell ref="BO64:BO66"/>
    <mergeCell ref="A71:A72"/>
    <mergeCell ref="BN67:BN69"/>
    <mergeCell ref="BO67:BO69"/>
    <mergeCell ref="A74:A75"/>
    <mergeCell ref="BN70:BN72"/>
    <mergeCell ref="BO70:BO72"/>
    <mergeCell ref="A77:A78"/>
    <mergeCell ref="BN73:BN75"/>
    <mergeCell ref="BO73:BO75"/>
    <mergeCell ref="A80:A81"/>
    <mergeCell ref="BN76:BN78"/>
    <mergeCell ref="BO76:BO78"/>
    <mergeCell ref="A83:A84"/>
    <mergeCell ref="BN79:BN81"/>
    <mergeCell ref="BO79:BO81"/>
    <mergeCell ref="A86:A87"/>
    <mergeCell ref="BN82:BN84"/>
    <mergeCell ref="BO82:BO84"/>
    <mergeCell ref="A89:A90"/>
    <mergeCell ref="BN85:BN87"/>
    <mergeCell ref="BO85:BO87"/>
    <mergeCell ref="A92:A93"/>
    <mergeCell ref="BN88:BN90"/>
    <mergeCell ref="BO88:BO90"/>
    <mergeCell ref="A95:A96"/>
    <mergeCell ref="BN91:BN93"/>
    <mergeCell ref="BO91:BO93"/>
    <mergeCell ref="A98:A99"/>
    <mergeCell ref="BN94:BN96"/>
    <mergeCell ref="BO94:BO96"/>
    <mergeCell ref="A101:A102"/>
    <mergeCell ref="BN97:BN99"/>
    <mergeCell ref="BO97:BO99"/>
    <mergeCell ref="A104:A105"/>
    <mergeCell ref="BN100:BN102"/>
    <mergeCell ref="BO100:BO102"/>
    <mergeCell ref="A107:A108"/>
    <mergeCell ref="BN103:BN105"/>
    <mergeCell ref="BO103:BO105"/>
    <mergeCell ref="A110:A111"/>
    <mergeCell ref="BN106:BN108"/>
    <mergeCell ref="BO106:BO108"/>
    <mergeCell ref="A113:A114"/>
    <mergeCell ref="BN109:BN111"/>
    <mergeCell ref="BO109:BO111"/>
    <mergeCell ref="BN112:BN114"/>
    <mergeCell ref="BO112:BO114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51"/>
  <sheetViews>
    <sheetView zoomScale="50" zoomScaleNormal="50" workbookViewId="0">
      <selection activeCell="CA120" sqref="CA120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15">
        <f>Thickness!A1</f>
        <v>2025</v>
      </c>
      <c r="B1" s="316"/>
      <c r="C1" s="268" t="str">
        <f>IF(ISBLANK(Thickness!C1),"",(Thickness!C1))</f>
        <v xml:space="preserve">RF - REFRACTORY; RT - RECESSED TUBE; </v>
      </c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/>
      <c r="CO1" s="269"/>
      <c r="CP1" s="269"/>
      <c r="CQ1" s="269"/>
      <c r="CR1" s="269"/>
      <c r="CS1" s="269"/>
      <c r="CT1" s="269"/>
      <c r="CU1" s="269"/>
      <c r="CV1" s="26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70"/>
      <c r="DQ1" s="169" t="s">
        <v>1</v>
      </c>
      <c r="DR1" s="170"/>
      <c r="DS1" s="170"/>
      <c r="DT1" s="170"/>
      <c r="DU1" s="170"/>
      <c r="DV1" s="170"/>
      <c r="DW1" s="170"/>
      <c r="DX1" s="170"/>
      <c r="DY1" s="170"/>
      <c r="DZ1" s="171"/>
    </row>
    <row r="2" spans="1:182" s="5" customFormat="1" ht="36" customHeight="1" x14ac:dyDescent="0.2">
      <c r="A2" s="317"/>
      <c r="B2" s="318"/>
      <c r="C2" s="205" t="s">
        <v>119</v>
      </c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7"/>
      <c r="DQ2" s="169" t="s">
        <v>3</v>
      </c>
      <c r="DR2" s="170"/>
      <c r="DS2" s="170"/>
      <c r="DT2" s="170"/>
      <c r="DU2" s="170"/>
      <c r="DV2" s="170"/>
      <c r="DW2" s="170"/>
      <c r="DX2" s="170"/>
      <c r="DY2" s="170"/>
      <c r="DZ2" s="171"/>
      <c r="EA2" s="4"/>
    </row>
    <row r="3" spans="1:182" s="5" customFormat="1" ht="36" customHeight="1" x14ac:dyDescent="0.2">
      <c r="A3" s="163" t="s">
        <v>4</v>
      </c>
      <c r="B3" s="164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8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48" t="s">
        <v>11</v>
      </c>
      <c r="E4" s="49" t="s">
        <v>11</v>
      </c>
      <c r="F4" s="49" t="s">
        <v>11</v>
      </c>
      <c r="G4" s="49" t="s">
        <v>11</v>
      </c>
      <c r="H4" s="50" t="s">
        <v>11</v>
      </c>
      <c r="I4" s="92">
        <v>0.17899999999999999</v>
      </c>
      <c r="J4" s="93">
        <v>0.187</v>
      </c>
      <c r="K4" s="49">
        <v>0.188</v>
      </c>
      <c r="L4" s="36">
        <v>0.16400000000000001</v>
      </c>
      <c r="M4" s="37">
        <v>0.11600000000000001</v>
      </c>
      <c r="N4" s="92">
        <v>0.17499999999999999</v>
      </c>
      <c r="O4" s="49" t="s">
        <v>11</v>
      </c>
      <c r="P4" s="49" t="s">
        <v>11</v>
      </c>
      <c r="Q4" s="49" t="s">
        <v>11</v>
      </c>
      <c r="R4" s="50" t="s">
        <v>11</v>
      </c>
      <c r="S4" s="56" t="s">
        <v>11</v>
      </c>
      <c r="T4" s="49" t="s">
        <v>11</v>
      </c>
      <c r="U4" s="49" t="s">
        <v>11</v>
      </c>
      <c r="V4" s="49" t="s">
        <v>11</v>
      </c>
      <c r="W4" s="50" t="s">
        <v>11</v>
      </c>
      <c r="X4" s="56" t="s">
        <v>11</v>
      </c>
      <c r="Y4" s="49" t="s">
        <v>11</v>
      </c>
      <c r="Z4" s="49" t="s">
        <v>11</v>
      </c>
      <c r="AA4" s="49" t="s">
        <v>11</v>
      </c>
      <c r="AB4" s="50" t="s">
        <v>11</v>
      </c>
      <c r="AC4" s="56" t="s">
        <v>11</v>
      </c>
      <c r="AD4" s="49" t="s">
        <v>11</v>
      </c>
      <c r="AE4" s="49" t="s">
        <v>11</v>
      </c>
      <c r="AF4" s="49">
        <v>0.185</v>
      </c>
      <c r="AG4" s="50">
        <v>0.20399999999999999</v>
      </c>
      <c r="AH4" s="56">
        <v>0.182</v>
      </c>
      <c r="AI4" s="93">
        <v>0.17699999999999999</v>
      </c>
      <c r="AJ4" s="36">
        <v>0.11799999999999999</v>
      </c>
      <c r="AK4" s="36">
        <v>0.17299999999999999</v>
      </c>
      <c r="AL4" s="50" t="s">
        <v>11</v>
      </c>
      <c r="AM4" s="56" t="s">
        <v>11</v>
      </c>
      <c r="AN4" s="49" t="s">
        <v>11</v>
      </c>
      <c r="AO4" s="49" t="s">
        <v>11</v>
      </c>
      <c r="AP4" s="49" t="s">
        <v>11</v>
      </c>
      <c r="AQ4" s="50" t="s">
        <v>11</v>
      </c>
      <c r="AR4" s="56" t="s">
        <v>11</v>
      </c>
      <c r="AS4" s="49" t="s">
        <v>11</v>
      </c>
      <c r="AT4" s="49" t="s">
        <v>11</v>
      </c>
      <c r="AU4" s="49" t="s">
        <v>11</v>
      </c>
      <c r="AV4" s="50" t="s">
        <v>11</v>
      </c>
      <c r="AW4" s="56" t="s">
        <v>11</v>
      </c>
      <c r="AX4" s="49" t="s">
        <v>11</v>
      </c>
      <c r="AY4" s="49" t="s">
        <v>11</v>
      </c>
      <c r="AZ4" s="49" t="s">
        <v>11</v>
      </c>
      <c r="BA4" s="50" t="s">
        <v>11</v>
      </c>
      <c r="BB4" s="43">
        <v>0.16800000000000001</v>
      </c>
      <c r="BC4" s="49">
        <v>0.17699999999999999</v>
      </c>
      <c r="BD4" s="49">
        <v>0.17599999999999999</v>
      </c>
      <c r="BE4" s="36">
        <v>0.16</v>
      </c>
      <c r="BF4" s="37">
        <v>0.13300000000000001</v>
      </c>
      <c r="BG4" s="92" t="s">
        <v>11</v>
      </c>
      <c r="BH4" s="49" t="s">
        <v>11</v>
      </c>
      <c r="BI4" s="49" t="s">
        <v>11</v>
      </c>
      <c r="BJ4" s="49" t="s">
        <v>11</v>
      </c>
      <c r="BK4" s="50" t="s">
        <v>11</v>
      </c>
      <c r="BL4" s="56" t="s">
        <v>11</v>
      </c>
      <c r="BM4" s="50" t="s">
        <v>11</v>
      </c>
      <c r="BN4" s="166">
        <f t="shared" ref="BN4:BN6" si="0">IFERROR(AVERAGE(D4:BM6),0)</f>
        <v>0.16715094339622644</v>
      </c>
      <c r="BO4" s="166">
        <f t="shared" ref="BO4:BO6" si="1">MIN(D4:BM6)</f>
        <v>9.1999999999999998E-2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65">
        <v>9.9000000000000005E-2</v>
      </c>
      <c r="B5" s="7" t="s">
        <v>12</v>
      </c>
      <c r="C5" s="11" t="s">
        <v>8</v>
      </c>
      <c r="D5" s="54" t="s">
        <v>11</v>
      </c>
      <c r="E5" s="31" t="s">
        <v>11</v>
      </c>
      <c r="F5" s="31" t="s">
        <v>11</v>
      </c>
      <c r="G5" s="31" t="s">
        <v>11</v>
      </c>
      <c r="H5" s="55" t="s">
        <v>11</v>
      </c>
      <c r="I5" s="94">
        <v>0.17399999999999999</v>
      </c>
      <c r="J5" s="95">
        <v>0.18</v>
      </c>
      <c r="K5" s="31">
        <v>0.17699999999999999</v>
      </c>
      <c r="L5" s="31">
        <v>0.17799999999999999</v>
      </c>
      <c r="M5" s="42">
        <v>0.16</v>
      </c>
      <c r="N5" s="94">
        <v>0.18</v>
      </c>
      <c r="O5" s="31" t="s">
        <v>11</v>
      </c>
      <c r="P5" s="31" t="s">
        <v>11</v>
      </c>
      <c r="Q5" s="31" t="s">
        <v>11</v>
      </c>
      <c r="R5" s="55" t="s">
        <v>11</v>
      </c>
      <c r="S5" s="58" t="s">
        <v>11</v>
      </c>
      <c r="T5" s="31" t="s">
        <v>11</v>
      </c>
      <c r="U5" s="31" t="s">
        <v>11</v>
      </c>
      <c r="V5" s="31" t="s">
        <v>11</v>
      </c>
      <c r="W5" s="55" t="s">
        <v>11</v>
      </c>
      <c r="X5" s="58" t="s">
        <v>11</v>
      </c>
      <c r="Y5" s="31" t="s">
        <v>11</v>
      </c>
      <c r="Z5" s="31" t="s">
        <v>11</v>
      </c>
      <c r="AA5" s="31" t="s">
        <v>11</v>
      </c>
      <c r="AB5" s="55" t="s">
        <v>11</v>
      </c>
      <c r="AC5" s="58" t="s">
        <v>11</v>
      </c>
      <c r="AD5" s="31" t="s">
        <v>11</v>
      </c>
      <c r="AE5" s="31" t="s">
        <v>11</v>
      </c>
      <c r="AF5" s="31">
        <v>0.183</v>
      </c>
      <c r="AG5" s="42">
        <v>0.10199999999999999</v>
      </c>
      <c r="AH5" s="58">
        <v>0.17199999999999999</v>
      </c>
      <c r="AI5" s="31">
        <v>0.17499999999999999</v>
      </c>
      <c r="AJ5" s="22">
        <v>0.105</v>
      </c>
      <c r="AK5" s="31">
        <v>0.18</v>
      </c>
      <c r="AL5" s="55" t="s">
        <v>11</v>
      </c>
      <c r="AM5" s="58" t="s">
        <v>11</v>
      </c>
      <c r="AN5" s="31" t="s">
        <v>11</v>
      </c>
      <c r="AO5" s="31" t="s">
        <v>11</v>
      </c>
      <c r="AP5" s="31" t="s">
        <v>11</v>
      </c>
      <c r="AQ5" s="55" t="s">
        <v>11</v>
      </c>
      <c r="AR5" s="58" t="s">
        <v>11</v>
      </c>
      <c r="AS5" s="31" t="s">
        <v>11</v>
      </c>
      <c r="AT5" s="31" t="s">
        <v>11</v>
      </c>
      <c r="AU5" s="31" t="s">
        <v>11</v>
      </c>
      <c r="AV5" s="55" t="s">
        <v>11</v>
      </c>
      <c r="AW5" s="58" t="s">
        <v>11</v>
      </c>
      <c r="AX5" s="31" t="s">
        <v>11</v>
      </c>
      <c r="AY5" s="31" t="s">
        <v>11</v>
      </c>
      <c r="AZ5" s="31" t="s">
        <v>11</v>
      </c>
      <c r="BA5" s="55" t="s">
        <v>11</v>
      </c>
      <c r="BB5" s="58">
        <v>0.182</v>
      </c>
      <c r="BC5" s="95">
        <v>0.17399999999999999</v>
      </c>
      <c r="BD5" s="31">
        <v>0.18099999999999999</v>
      </c>
      <c r="BE5" s="22">
        <v>0.17299999999999999</v>
      </c>
      <c r="BF5" s="96">
        <v>0.17699999999999999</v>
      </c>
      <c r="BG5" s="58">
        <v>0.18</v>
      </c>
      <c r="BH5" s="31" t="s">
        <v>11</v>
      </c>
      <c r="BI5" s="31" t="s">
        <v>11</v>
      </c>
      <c r="BJ5" s="31" t="s">
        <v>11</v>
      </c>
      <c r="BK5" s="55" t="s">
        <v>11</v>
      </c>
      <c r="BL5" s="58" t="s">
        <v>11</v>
      </c>
      <c r="BM5" s="55" t="s">
        <v>11</v>
      </c>
      <c r="BN5" s="167">
        <f t="shared" si="0"/>
        <v>0.16966000000000001</v>
      </c>
      <c r="BO5" s="167">
        <f t="shared" si="1"/>
        <v>9.1999999999999998E-2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65"/>
      <c r="B6" s="8" t="s">
        <v>13</v>
      </c>
      <c r="C6" s="12" t="s">
        <v>14</v>
      </c>
      <c r="D6" s="51" t="s">
        <v>11</v>
      </c>
      <c r="E6" s="52" t="s">
        <v>11</v>
      </c>
      <c r="F6" s="52" t="s">
        <v>11</v>
      </c>
      <c r="G6" s="52" t="s">
        <v>11</v>
      </c>
      <c r="H6" s="53" t="s">
        <v>11</v>
      </c>
      <c r="I6" s="97">
        <v>0.17599999999999999</v>
      </c>
      <c r="J6" s="98">
        <v>0.184</v>
      </c>
      <c r="K6" s="52">
        <v>0.17699999999999999</v>
      </c>
      <c r="L6" s="52">
        <v>0.17699999999999999</v>
      </c>
      <c r="M6" s="40">
        <v>9.8000000000000004E-2</v>
      </c>
      <c r="N6" s="97">
        <v>0.182</v>
      </c>
      <c r="O6" s="52" t="s">
        <v>11</v>
      </c>
      <c r="P6" s="52" t="s">
        <v>11</v>
      </c>
      <c r="Q6" s="52" t="s">
        <v>11</v>
      </c>
      <c r="R6" s="53" t="s">
        <v>11</v>
      </c>
      <c r="S6" s="57" t="s">
        <v>11</v>
      </c>
      <c r="T6" s="52" t="s">
        <v>11</v>
      </c>
      <c r="U6" s="52" t="s">
        <v>11</v>
      </c>
      <c r="V6" s="52" t="s">
        <v>11</v>
      </c>
      <c r="W6" s="53" t="s">
        <v>11</v>
      </c>
      <c r="X6" s="57" t="s">
        <v>11</v>
      </c>
      <c r="Y6" s="52" t="s">
        <v>11</v>
      </c>
      <c r="Z6" s="52" t="s">
        <v>11</v>
      </c>
      <c r="AA6" s="52" t="s">
        <v>11</v>
      </c>
      <c r="AB6" s="53" t="s">
        <v>11</v>
      </c>
      <c r="AC6" s="57" t="s">
        <v>11</v>
      </c>
      <c r="AD6" s="52" t="s">
        <v>11</v>
      </c>
      <c r="AE6" s="52" t="s">
        <v>11</v>
      </c>
      <c r="AF6" s="98">
        <v>0.17499999999999999</v>
      </c>
      <c r="AG6" s="40">
        <v>9.1999999999999998E-2</v>
      </c>
      <c r="AH6" s="57">
        <v>0.17</v>
      </c>
      <c r="AI6" s="98">
        <v>0.17599999999999999</v>
      </c>
      <c r="AJ6" s="39">
        <v>0.121</v>
      </c>
      <c r="AK6" s="52">
        <v>0.17599999999999999</v>
      </c>
      <c r="AL6" s="53" t="s">
        <v>11</v>
      </c>
      <c r="AM6" s="57" t="s">
        <v>11</v>
      </c>
      <c r="AN6" s="52" t="s">
        <v>11</v>
      </c>
      <c r="AO6" s="52" t="s">
        <v>11</v>
      </c>
      <c r="AP6" s="52" t="s">
        <v>11</v>
      </c>
      <c r="AQ6" s="53" t="s">
        <v>11</v>
      </c>
      <c r="AR6" s="57" t="s">
        <v>11</v>
      </c>
      <c r="AS6" s="52" t="s">
        <v>11</v>
      </c>
      <c r="AT6" s="52" t="s">
        <v>11</v>
      </c>
      <c r="AU6" s="52" t="s">
        <v>11</v>
      </c>
      <c r="AV6" s="53" t="s">
        <v>11</v>
      </c>
      <c r="AW6" s="57" t="s">
        <v>11</v>
      </c>
      <c r="AX6" s="52" t="s">
        <v>11</v>
      </c>
      <c r="AY6" s="52" t="s">
        <v>11</v>
      </c>
      <c r="AZ6" s="52" t="s">
        <v>11</v>
      </c>
      <c r="BA6" s="53" t="s">
        <v>11</v>
      </c>
      <c r="BB6" s="57">
        <v>0.17799999999999999</v>
      </c>
      <c r="BC6" s="98">
        <v>0.17599999999999999</v>
      </c>
      <c r="BD6" s="98">
        <v>0.182</v>
      </c>
      <c r="BE6" s="39">
        <v>0.16300000000000001</v>
      </c>
      <c r="BF6" s="99">
        <v>0.17899999999999999</v>
      </c>
      <c r="BG6" s="57">
        <v>0.182</v>
      </c>
      <c r="BH6" s="52" t="s">
        <v>11</v>
      </c>
      <c r="BI6" s="52" t="s">
        <v>11</v>
      </c>
      <c r="BJ6" s="52" t="s">
        <v>11</v>
      </c>
      <c r="BK6" s="53" t="s">
        <v>11</v>
      </c>
      <c r="BL6" s="57" t="s">
        <v>11</v>
      </c>
      <c r="BM6" s="53" t="s">
        <v>11</v>
      </c>
      <c r="BN6" s="168">
        <f t="shared" si="0"/>
        <v>0.17234782608695645</v>
      </c>
      <c r="BO6" s="168">
        <f t="shared" si="1"/>
        <v>9.1999999999999998E-2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15</v>
      </c>
      <c r="C7" s="11" t="s">
        <v>10</v>
      </c>
      <c r="D7" s="48" t="s">
        <v>11</v>
      </c>
      <c r="E7" s="49" t="s">
        <v>11</v>
      </c>
      <c r="F7" s="49" t="s">
        <v>11</v>
      </c>
      <c r="G7" s="49" t="s">
        <v>11</v>
      </c>
      <c r="H7" s="50" t="s">
        <v>11</v>
      </c>
      <c r="I7" s="43">
        <v>0.17699999999999999</v>
      </c>
      <c r="J7" s="93">
        <v>0.17599999999999999</v>
      </c>
      <c r="K7" s="49">
        <v>0.17199999999999999</v>
      </c>
      <c r="L7" s="93">
        <v>0.17799999999999999</v>
      </c>
      <c r="M7" s="50" t="s">
        <v>16</v>
      </c>
      <c r="N7" s="43">
        <v>0.17</v>
      </c>
      <c r="O7" s="49" t="s">
        <v>11</v>
      </c>
      <c r="P7" s="49" t="s">
        <v>11</v>
      </c>
      <c r="Q7" s="49" t="s">
        <v>11</v>
      </c>
      <c r="R7" s="50" t="s">
        <v>11</v>
      </c>
      <c r="S7" s="56" t="s">
        <v>11</v>
      </c>
      <c r="T7" s="49" t="s">
        <v>11</v>
      </c>
      <c r="U7" s="49" t="s">
        <v>11</v>
      </c>
      <c r="V7" s="49" t="s">
        <v>11</v>
      </c>
      <c r="W7" s="50" t="s">
        <v>11</v>
      </c>
      <c r="X7" s="56" t="s">
        <v>11</v>
      </c>
      <c r="Y7" s="49" t="s">
        <v>11</v>
      </c>
      <c r="Z7" s="49" t="s">
        <v>11</v>
      </c>
      <c r="AA7" s="49" t="s">
        <v>11</v>
      </c>
      <c r="AB7" s="50" t="s">
        <v>11</v>
      </c>
      <c r="AC7" s="56" t="s">
        <v>11</v>
      </c>
      <c r="AD7" s="49" t="s">
        <v>11</v>
      </c>
      <c r="AE7" s="49" t="s">
        <v>11</v>
      </c>
      <c r="AF7" s="93">
        <v>0.17799999999999999</v>
      </c>
      <c r="AG7" s="50" t="s">
        <v>16</v>
      </c>
      <c r="AH7" s="56">
        <v>0.183</v>
      </c>
      <c r="AI7" s="49">
        <v>0.18099999999999999</v>
      </c>
      <c r="AJ7" s="49" t="s">
        <v>16</v>
      </c>
      <c r="AK7" s="49">
        <v>0.188</v>
      </c>
      <c r="AL7" s="50" t="s">
        <v>11</v>
      </c>
      <c r="AM7" s="56" t="s">
        <v>11</v>
      </c>
      <c r="AN7" s="49" t="s">
        <v>11</v>
      </c>
      <c r="AO7" s="49" t="s">
        <v>11</v>
      </c>
      <c r="AP7" s="49" t="s">
        <v>11</v>
      </c>
      <c r="AQ7" s="50" t="s">
        <v>11</v>
      </c>
      <c r="AR7" s="56" t="s">
        <v>11</v>
      </c>
      <c r="AS7" s="49" t="s">
        <v>11</v>
      </c>
      <c r="AT7" s="49" t="s">
        <v>11</v>
      </c>
      <c r="AU7" s="49" t="s">
        <v>11</v>
      </c>
      <c r="AV7" s="50" t="s">
        <v>11</v>
      </c>
      <c r="AW7" s="56" t="s">
        <v>11</v>
      </c>
      <c r="AX7" s="49" t="s">
        <v>11</v>
      </c>
      <c r="AY7" s="49" t="s">
        <v>11</v>
      </c>
      <c r="AZ7" s="49" t="s">
        <v>11</v>
      </c>
      <c r="BA7" s="50" t="s">
        <v>11</v>
      </c>
      <c r="BB7" s="56">
        <v>0.19400000000000001</v>
      </c>
      <c r="BC7" s="36">
        <v>0.16500000000000001</v>
      </c>
      <c r="BD7" s="36">
        <v>0.16700000000000001</v>
      </c>
      <c r="BE7" s="49" t="s">
        <v>16</v>
      </c>
      <c r="BF7" s="50">
        <v>0.17699999999999999</v>
      </c>
      <c r="BG7" s="92">
        <v>0.18</v>
      </c>
      <c r="BH7" s="49" t="s">
        <v>11</v>
      </c>
      <c r="BI7" s="49" t="s">
        <v>11</v>
      </c>
      <c r="BJ7" s="49" t="s">
        <v>11</v>
      </c>
      <c r="BK7" s="50" t="s">
        <v>11</v>
      </c>
      <c r="BL7" s="56" t="s">
        <v>11</v>
      </c>
      <c r="BM7" s="50" t="s">
        <v>11</v>
      </c>
      <c r="BN7" s="166">
        <f t="shared" ref="BN7:BN9" si="2">IFERROR(AVERAGE(D7:BM9),0)</f>
        <v>0.17759523809523806</v>
      </c>
      <c r="BO7" s="166">
        <f t="shared" ref="BO7:BO9" si="3">MIN(D7:BM9)</f>
        <v>0.16500000000000001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65">
        <v>9.9000000000000005E-2</v>
      </c>
      <c r="B8" s="7" t="s">
        <v>12</v>
      </c>
      <c r="C8" s="11" t="s">
        <v>8</v>
      </c>
      <c r="D8" s="54" t="s">
        <v>11</v>
      </c>
      <c r="E8" s="31" t="s">
        <v>11</v>
      </c>
      <c r="F8" s="31" t="s">
        <v>11</v>
      </c>
      <c r="G8" s="31" t="s">
        <v>11</v>
      </c>
      <c r="H8" s="55" t="s">
        <v>11</v>
      </c>
      <c r="I8" s="58">
        <v>0.17299999999999999</v>
      </c>
      <c r="J8" s="95">
        <v>0.17699999999999999</v>
      </c>
      <c r="K8" s="22">
        <v>0.16900000000000001</v>
      </c>
      <c r="L8" s="31">
        <v>0.184</v>
      </c>
      <c r="M8" s="55" t="s">
        <v>16</v>
      </c>
      <c r="N8" s="94">
        <v>0.18</v>
      </c>
      <c r="O8" s="31" t="s">
        <v>11</v>
      </c>
      <c r="P8" s="31" t="s">
        <v>11</v>
      </c>
      <c r="Q8" s="31" t="s">
        <v>11</v>
      </c>
      <c r="R8" s="55" t="s">
        <v>11</v>
      </c>
      <c r="S8" s="58" t="s">
        <v>11</v>
      </c>
      <c r="T8" s="31" t="s">
        <v>11</v>
      </c>
      <c r="U8" s="31" t="s">
        <v>11</v>
      </c>
      <c r="V8" s="31" t="s">
        <v>11</v>
      </c>
      <c r="W8" s="55" t="s">
        <v>11</v>
      </c>
      <c r="X8" s="58" t="s">
        <v>11</v>
      </c>
      <c r="Y8" s="31" t="s">
        <v>11</v>
      </c>
      <c r="Z8" s="31" t="s">
        <v>11</v>
      </c>
      <c r="AA8" s="31" t="s">
        <v>11</v>
      </c>
      <c r="AB8" s="55" t="s">
        <v>11</v>
      </c>
      <c r="AC8" s="58" t="s">
        <v>11</v>
      </c>
      <c r="AD8" s="31" t="s">
        <v>11</v>
      </c>
      <c r="AE8" s="31" t="s">
        <v>11</v>
      </c>
      <c r="AF8" s="95">
        <v>0.17599999999999999</v>
      </c>
      <c r="AG8" s="55" t="s">
        <v>16</v>
      </c>
      <c r="AH8" s="94">
        <v>0.17799999999999999</v>
      </c>
      <c r="AI8" s="31">
        <v>0.18</v>
      </c>
      <c r="AJ8" s="31" t="s">
        <v>16</v>
      </c>
      <c r="AK8" s="95">
        <v>0.18099999999999999</v>
      </c>
      <c r="AL8" s="55" t="s">
        <v>11</v>
      </c>
      <c r="AM8" s="58" t="s">
        <v>11</v>
      </c>
      <c r="AN8" s="31" t="s">
        <v>11</v>
      </c>
      <c r="AO8" s="31" t="s">
        <v>11</v>
      </c>
      <c r="AP8" s="31" t="s">
        <v>11</v>
      </c>
      <c r="AQ8" s="55" t="s">
        <v>11</v>
      </c>
      <c r="AR8" s="58" t="s">
        <v>11</v>
      </c>
      <c r="AS8" s="31" t="s">
        <v>11</v>
      </c>
      <c r="AT8" s="31" t="s">
        <v>11</v>
      </c>
      <c r="AU8" s="31" t="s">
        <v>11</v>
      </c>
      <c r="AV8" s="55" t="s">
        <v>11</v>
      </c>
      <c r="AW8" s="58" t="s">
        <v>11</v>
      </c>
      <c r="AX8" s="31" t="s">
        <v>11</v>
      </c>
      <c r="AY8" s="31" t="s">
        <v>11</v>
      </c>
      <c r="AZ8" s="31" t="s">
        <v>11</v>
      </c>
      <c r="BA8" s="55" t="s">
        <v>11</v>
      </c>
      <c r="BB8" s="58">
        <v>0.16900000000000001</v>
      </c>
      <c r="BC8" s="95">
        <v>0.17100000000000001</v>
      </c>
      <c r="BD8" s="95">
        <v>0.18</v>
      </c>
      <c r="BE8" s="95" t="s">
        <v>16</v>
      </c>
      <c r="BF8" s="55">
        <v>0.17499999999999999</v>
      </c>
      <c r="BG8" s="94">
        <v>0.185</v>
      </c>
      <c r="BH8" s="31" t="s">
        <v>11</v>
      </c>
      <c r="BI8" s="31" t="s">
        <v>11</v>
      </c>
      <c r="BJ8" s="31" t="s">
        <v>11</v>
      </c>
      <c r="BK8" s="55" t="s">
        <v>11</v>
      </c>
      <c r="BL8" s="58" t="s">
        <v>11</v>
      </c>
      <c r="BM8" s="55" t="s">
        <v>11</v>
      </c>
      <c r="BN8" s="167">
        <f t="shared" si="2"/>
        <v>0.17449999999999999</v>
      </c>
      <c r="BO8" s="167">
        <f t="shared" si="3"/>
        <v>0.114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65"/>
      <c r="B9" s="8" t="s">
        <v>13</v>
      </c>
      <c r="C9" s="12" t="s">
        <v>14</v>
      </c>
      <c r="D9" s="51" t="s">
        <v>11</v>
      </c>
      <c r="E9" s="52" t="s">
        <v>11</v>
      </c>
      <c r="F9" s="52" t="s">
        <v>11</v>
      </c>
      <c r="G9" s="52" t="s">
        <v>11</v>
      </c>
      <c r="H9" s="53" t="s">
        <v>11</v>
      </c>
      <c r="I9" s="97">
        <v>0.18</v>
      </c>
      <c r="J9" s="98">
        <v>0.17899999999999999</v>
      </c>
      <c r="K9" s="98">
        <v>0.17699999999999999</v>
      </c>
      <c r="L9" s="98">
        <v>0.17599999999999999</v>
      </c>
      <c r="M9" s="53" t="s">
        <v>16</v>
      </c>
      <c r="N9" s="97">
        <v>0.17799999999999999</v>
      </c>
      <c r="O9" s="52" t="s">
        <v>11</v>
      </c>
      <c r="P9" s="52" t="s">
        <v>11</v>
      </c>
      <c r="Q9" s="52" t="s">
        <v>11</v>
      </c>
      <c r="R9" s="53" t="s">
        <v>11</v>
      </c>
      <c r="S9" s="57" t="s">
        <v>11</v>
      </c>
      <c r="T9" s="52" t="s">
        <v>11</v>
      </c>
      <c r="U9" s="52" t="s">
        <v>11</v>
      </c>
      <c r="V9" s="52" t="s">
        <v>11</v>
      </c>
      <c r="W9" s="53" t="s">
        <v>11</v>
      </c>
      <c r="X9" s="57" t="s">
        <v>11</v>
      </c>
      <c r="Y9" s="52" t="s">
        <v>11</v>
      </c>
      <c r="Z9" s="52" t="s">
        <v>11</v>
      </c>
      <c r="AA9" s="52" t="s">
        <v>11</v>
      </c>
      <c r="AB9" s="53" t="s">
        <v>11</v>
      </c>
      <c r="AC9" s="57" t="s">
        <v>11</v>
      </c>
      <c r="AD9" s="52" t="s">
        <v>11</v>
      </c>
      <c r="AE9" s="52" t="s">
        <v>11</v>
      </c>
      <c r="AF9" s="52">
        <v>0.17699999999999999</v>
      </c>
      <c r="AG9" s="53" t="s">
        <v>16</v>
      </c>
      <c r="AH9" s="57">
        <v>0.17599999999999999</v>
      </c>
      <c r="AI9" s="98">
        <v>0.17499999999999999</v>
      </c>
      <c r="AJ9" s="52" t="s">
        <v>16</v>
      </c>
      <c r="AK9" s="52">
        <v>0.184</v>
      </c>
      <c r="AL9" s="53" t="s">
        <v>11</v>
      </c>
      <c r="AM9" s="57" t="s">
        <v>11</v>
      </c>
      <c r="AN9" s="52" t="s">
        <v>11</v>
      </c>
      <c r="AO9" s="52" t="s">
        <v>11</v>
      </c>
      <c r="AP9" s="52" t="s">
        <v>11</v>
      </c>
      <c r="AQ9" s="53" t="s">
        <v>11</v>
      </c>
      <c r="AR9" s="57" t="s">
        <v>11</v>
      </c>
      <c r="AS9" s="52" t="s">
        <v>11</v>
      </c>
      <c r="AT9" s="52" t="s">
        <v>11</v>
      </c>
      <c r="AU9" s="52" t="s">
        <v>11</v>
      </c>
      <c r="AV9" s="53" t="s">
        <v>11</v>
      </c>
      <c r="AW9" s="57" t="s">
        <v>11</v>
      </c>
      <c r="AX9" s="52" t="s">
        <v>11</v>
      </c>
      <c r="AY9" s="52" t="s">
        <v>11</v>
      </c>
      <c r="AZ9" s="52" t="s">
        <v>11</v>
      </c>
      <c r="BA9" s="53" t="s">
        <v>11</v>
      </c>
      <c r="BB9" s="44">
        <v>0.17599999999999999</v>
      </c>
      <c r="BC9" s="98">
        <v>0.17899999999999999</v>
      </c>
      <c r="BD9" s="98">
        <v>0.18099999999999999</v>
      </c>
      <c r="BE9" s="98" t="s">
        <v>16</v>
      </c>
      <c r="BF9" s="53">
        <v>0.17699999999999999</v>
      </c>
      <c r="BG9" s="57">
        <v>0.18</v>
      </c>
      <c r="BH9" s="52" t="s">
        <v>11</v>
      </c>
      <c r="BI9" s="52" t="s">
        <v>11</v>
      </c>
      <c r="BJ9" s="52" t="s">
        <v>11</v>
      </c>
      <c r="BK9" s="53" t="s">
        <v>11</v>
      </c>
      <c r="BL9" s="57" t="s">
        <v>11</v>
      </c>
      <c r="BM9" s="53" t="s">
        <v>11</v>
      </c>
      <c r="BN9" s="168">
        <f t="shared" si="2"/>
        <v>0.17135999999999998</v>
      </c>
      <c r="BO9" s="168">
        <f t="shared" si="3"/>
        <v>0.107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48" t="s">
        <v>11</v>
      </c>
      <c r="E10" s="49" t="s">
        <v>11</v>
      </c>
      <c r="F10" s="49" t="s">
        <v>11</v>
      </c>
      <c r="G10" s="49" t="s">
        <v>11</v>
      </c>
      <c r="H10" s="50" t="s">
        <v>11</v>
      </c>
      <c r="I10" s="43">
        <v>0.16900000000000001</v>
      </c>
      <c r="J10" s="49">
        <v>0.182</v>
      </c>
      <c r="K10" s="93">
        <v>0.17599999999999999</v>
      </c>
      <c r="L10" s="36">
        <v>0.17799999999999999</v>
      </c>
      <c r="M10" s="50">
        <v>0.14499999999999999</v>
      </c>
      <c r="N10" s="92">
        <v>0.17499999999999999</v>
      </c>
      <c r="O10" s="49" t="s">
        <v>11</v>
      </c>
      <c r="P10" s="49" t="s">
        <v>11</v>
      </c>
      <c r="Q10" s="49" t="s">
        <v>11</v>
      </c>
      <c r="R10" s="50" t="s">
        <v>11</v>
      </c>
      <c r="S10" s="56" t="s">
        <v>11</v>
      </c>
      <c r="T10" s="49" t="s">
        <v>11</v>
      </c>
      <c r="U10" s="49" t="s">
        <v>11</v>
      </c>
      <c r="V10" s="49" t="s">
        <v>11</v>
      </c>
      <c r="W10" s="50" t="s">
        <v>11</v>
      </c>
      <c r="X10" s="56" t="s">
        <v>11</v>
      </c>
      <c r="Y10" s="49" t="s">
        <v>11</v>
      </c>
      <c r="Z10" s="49" t="s">
        <v>11</v>
      </c>
      <c r="AA10" s="49" t="s">
        <v>11</v>
      </c>
      <c r="AB10" s="50" t="s">
        <v>11</v>
      </c>
      <c r="AC10" s="56" t="s">
        <v>11</v>
      </c>
      <c r="AD10" s="49" t="s">
        <v>11</v>
      </c>
      <c r="AE10" s="49" t="s">
        <v>11</v>
      </c>
      <c r="AF10" s="93">
        <v>0.17899999999999999</v>
      </c>
      <c r="AG10" s="37">
        <v>0.11700000000000001</v>
      </c>
      <c r="AH10" s="56">
        <v>0.185</v>
      </c>
      <c r="AI10" s="49">
        <v>0.182</v>
      </c>
      <c r="AJ10" s="36">
        <v>0.114</v>
      </c>
      <c r="AK10" s="49">
        <v>0.189</v>
      </c>
      <c r="AL10" s="50" t="s">
        <v>11</v>
      </c>
      <c r="AM10" s="56" t="s">
        <v>11</v>
      </c>
      <c r="AN10" s="49" t="s">
        <v>11</v>
      </c>
      <c r="AO10" s="49" t="s">
        <v>11</v>
      </c>
      <c r="AP10" s="49" t="s">
        <v>11</v>
      </c>
      <c r="AQ10" s="50" t="s">
        <v>11</v>
      </c>
      <c r="AR10" s="56" t="s">
        <v>11</v>
      </c>
      <c r="AS10" s="49" t="s">
        <v>11</v>
      </c>
      <c r="AT10" s="49" t="s">
        <v>11</v>
      </c>
      <c r="AU10" s="49" t="s">
        <v>11</v>
      </c>
      <c r="AV10" s="50" t="s">
        <v>11</v>
      </c>
      <c r="AW10" s="56" t="s">
        <v>11</v>
      </c>
      <c r="AX10" s="49" t="s">
        <v>11</v>
      </c>
      <c r="AY10" s="49" t="s">
        <v>11</v>
      </c>
      <c r="AZ10" s="49" t="s">
        <v>11</v>
      </c>
      <c r="BA10" s="50" t="s">
        <v>11</v>
      </c>
      <c r="BB10" s="92">
        <v>0.18099999999999999</v>
      </c>
      <c r="BC10" s="93">
        <v>0.17299999999999999</v>
      </c>
      <c r="BD10" s="49">
        <v>0.17699999999999999</v>
      </c>
      <c r="BE10" s="49">
        <v>0.17</v>
      </c>
      <c r="BF10" s="100">
        <v>0.183</v>
      </c>
      <c r="BG10" s="56">
        <v>0.17899999999999999</v>
      </c>
      <c r="BH10" s="49" t="s">
        <v>11</v>
      </c>
      <c r="BI10" s="49" t="s">
        <v>11</v>
      </c>
      <c r="BJ10" s="49" t="s">
        <v>11</v>
      </c>
      <c r="BK10" s="50" t="s">
        <v>11</v>
      </c>
      <c r="BL10" s="56" t="s">
        <v>11</v>
      </c>
      <c r="BM10" s="50" t="s">
        <v>11</v>
      </c>
      <c r="BN10" s="166">
        <f t="shared" ref="BN10:BN12" si="4">IFERROR(AVERAGE(D10:BM12),0)</f>
        <v>0.16911111111111107</v>
      </c>
      <c r="BO10" s="166">
        <f t="shared" ref="BO10:BO12" si="5">MIN(D10:BM12)</f>
        <v>0.107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65">
        <v>9.9000000000000005E-2</v>
      </c>
      <c r="B11" s="7" t="s">
        <v>18</v>
      </c>
      <c r="C11" s="11" t="s">
        <v>8</v>
      </c>
      <c r="D11" s="54" t="s">
        <v>11</v>
      </c>
      <c r="E11" s="31" t="s">
        <v>11</v>
      </c>
      <c r="F11" s="31" t="s">
        <v>11</v>
      </c>
      <c r="G11" s="31" t="s">
        <v>11</v>
      </c>
      <c r="H11" s="55" t="s">
        <v>11</v>
      </c>
      <c r="I11" s="94">
        <v>0.17100000000000001</v>
      </c>
      <c r="J11" s="95">
        <v>0.17499999999999999</v>
      </c>
      <c r="K11" s="31">
        <v>0.183</v>
      </c>
      <c r="L11" s="31">
        <v>0.183</v>
      </c>
      <c r="M11" s="42">
        <v>0.114</v>
      </c>
      <c r="N11" s="58">
        <v>0.17399999999999999</v>
      </c>
      <c r="O11" s="31" t="s">
        <v>11</v>
      </c>
      <c r="P11" s="31" t="s">
        <v>11</v>
      </c>
      <c r="Q11" s="31" t="s">
        <v>11</v>
      </c>
      <c r="R11" s="55" t="s">
        <v>11</v>
      </c>
      <c r="S11" s="58" t="s">
        <v>11</v>
      </c>
      <c r="T11" s="31" t="s">
        <v>11</v>
      </c>
      <c r="U11" s="31" t="s">
        <v>11</v>
      </c>
      <c r="V11" s="31" t="s">
        <v>11</v>
      </c>
      <c r="W11" s="55" t="s">
        <v>11</v>
      </c>
      <c r="X11" s="58" t="s">
        <v>11</v>
      </c>
      <c r="Y11" s="31" t="s">
        <v>11</v>
      </c>
      <c r="Z11" s="31" t="s">
        <v>11</v>
      </c>
      <c r="AA11" s="31" t="s">
        <v>11</v>
      </c>
      <c r="AB11" s="55" t="s">
        <v>11</v>
      </c>
      <c r="AC11" s="58" t="s">
        <v>11</v>
      </c>
      <c r="AD11" s="31" t="s">
        <v>11</v>
      </c>
      <c r="AE11" s="31" t="s">
        <v>11</v>
      </c>
      <c r="AF11" s="22">
        <v>0.17699999999999999</v>
      </c>
      <c r="AG11" s="42">
        <v>0.107</v>
      </c>
      <c r="AH11" s="58">
        <v>0.18</v>
      </c>
      <c r="AI11" s="31">
        <v>0.18</v>
      </c>
      <c r="AJ11" s="22">
        <v>0.13</v>
      </c>
      <c r="AK11" s="31">
        <v>0.182</v>
      </c>
      <c r="AL11" s="55" t="s">
        <v>11</v>
      </c>
      <c r="AM11" s="58" t="s">
        <v>11</v>
      </c>
      <c r="AN11" s="31" t="s">
        <v>11</v>
      </c>
      <c r="AO11" s="31" t="s">
        <v>11</v>
      </c>
      <c r="AP11" s="31" t="s">
        <v>11</v>
      </c>
      <c r="AQ11" s="55" t="s">
        <v>11</v>
      </c>
      <c r="AR11" s="58" t="s">
        <v>11</v>
      </c>
      <c r="AS11" s="31" t="s">
        <v>11</v>
      </c>
      <c r="AT11" s="31" t="s">
        <v>11</v>
      </c>
      <c r="AU11" s="31" t="s">
        <v>11</v>
      </c>
      <c r="AV11" s="55" t="s">
        <v>11</v>
      </c>
      <c r="AW11" s="58" t="s">
        <v>11</v>
      </c>
      <c r="AX11" s="31" t="s">
        <v>11</v>
      </c>
      <c r="AY11" s="31" t="s">
        <v>11</v>
      </c>
      <c r="AZ11" s="31" t="s">
        <v>11</v>
      </c>
      <c r="BA11" s="55" t="s">
        <v>11</v>
      </c>
      <c r="BB11" s="58">
        <v>0.18099999999999999</v>
      </c>
      <c r="BC11" s="31">
        <v>0.17799999999999999</v>
      </c>
      <c r="BD11" s="31">
        <v>0.18099999999999999</v>
      </c>
      <c r="BE11" s="22">
        <v>0.16900000000000001</v>
      </c>
      <c r="BF11" s="96">
        <v>0.17599999999999999</v>
      </c>
      <c r="BG11" s="45">
        <v>0.17799999999999999</v>
      </c>
      <c r="BH11" s="31" t="s">
        <v>11</v>
      </c>
      <c r="BI11" s="31" t="s">
        <v>11</v>
      </c>
      <c r="BJ11" s="31" t="s">
        <v>11</v>
      </c>
      <c r="BK11" s="55" t="s">
        <v>11</v>
      </c>
      <c r="BL11" s="58" t="s">
        <v>11</v>
      </c>
      <c r="BM11" s="55" t="s">
        <v>11</v>
      </c>
      <c r="BN11" s="167">
        <f t="shared" si="4"/>
        <v>0.19817346938775512</v>
      </c>
      <c r="BO11" s="167">
        <f t="shared" si="5"/>
        <v>0.107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65"/>
      <c r="B12" s="8" t="s">
        <v>13</v>
      </c>
      <c r="C12" s="12" t="s">
        <v>14</v>
      </c>
      <c r="D12" s="51" t="s">
        <v>11</v>
      </c>
      <c r="E12" s="52" t="s">
        <v>11</v>
      </c>
      <c r="F12" s="52" t="s">
        <v>11</v>
      </c>
      <c r="G12" s="52" t="s">
        <v>11</v>
      </c>
      <c r="H12" s="53" t="s">
        <v>11</v>
      </c>
      <c r="I12" s="97">
        <v>0.17699999999999999</v>
      </c>
      <c r="J12" s="98">
        <v>0.17899999999999999</v>
      </c>
      <c r="K12" s="98">
        <v>0.17199999999999999</v>
      </c>
      <c r="L12" s="52">
        <v>0.183</v>
      </c>
      <c r="M12" s="40">
        <v>0.15</v>
      </c>
      <c r="N12" s="44">
        <v>0.17199999999999999</v>
      </c>
      <c r="O12" s="52" t="s">
        <v>11</v>
      </c>
      <c r="P12" s="52" t="s">
        <v>11</v>
      </c>
      <c r="Q12" s="52" t="s">
        <v>11</v>
      </c>
      <c r="R12" s="53" t="s">
        <v>11</v>
      </c>
      <c r="S12" s="57" t="s">
        <v>11</v>
      </c>
      <c r="T12" s="52" t="s">
        <v>11</v>
      </c>
      <c r="U12" s="52" t="s">
        <v>11</v>
      </c>
      <c r="V12" s="52" t="s">
        <v>11</v>
      </c>
      <c r="W12" s="53" t="s">
        <v>11</v>
      </c>
      <c r="X12" s="57" t="s">
        <v>11</v>
      </c>
      <c r="Y12" s="52" t="s">
        <v>11</v>
      </c>
      <c r="Z12" s="52" t="s">
        <v>11</v>
      </c>
      <c r="AA12" s="52" t="s">
        <v>11</v>
      </c>
      <c r="AB12" s="53" t="s">
        <v>11</v>
      </c>
      <c r="AC12" s="57" t="s">
        <v>11</v>
      </c>
      <c r="AD12" s="52" t="s">
        <v>11</v>
      </c>
      <c r="AE12" s="52" t="s">
        <v>11</v>
      </c>
      <c r="AF12" s="39">
        <v>0.17399999999999999</v>
      </c>
      <c r="AG12" s="40">
        <v>0.114</v>
      </c>
      <c r="AH12" s="44">
        <v>0.16800000000000001</v>
      </c>
      <c r="AI12" s="52">
        <v>0.184</v>
      </c>
      <c r="AJ12" s="39">
        <v>0.13100000000000001</v>
      </c>
      <c r="AK12" s="52">
        <v>0.185</v>
      </c>
      <c r="AL12" s="53" t="s">
        <v>11</v>
      </c>
      <c r="AM12" s="57" t="s">
        <v>11</v>
      </c>
      <c r="AN12" s="52" t="s">
        <v>11</v>
      </c>
      <c r="AO12" s="52" t="s">
        <v>11</v>
      </c>
      <c r="AP12" s="52" t="s">
        <v>11</v>
      </c>
      <c r="AQ12" s="53" t="s">
        <v>11</v>
      </c>
      <c r="AR12" s="57" t="s">
        <v>11</v>
      </c>
      <c r="AS12" s="52" t="s">
        <v>11</v>
      </c>
      <c r="AT12" s="52" t="s">
        <v>11</v>
      </c>
      <c r="AU12" s="52" t="s">
        <v>11</v>
      </c>
      <c r="AV12" s="53" t="s">
        <v>11</v>
      </c>
      <c r="AW12" s="57" t="s">
        <v>11</v>
      </c>
      <c r="AX12" s="52" t="s">
        <v>11</v>
      </c>
      <c r="AY12" s="52" t="s">
        <v>11</v>
      </c>
      <c r="AZ12" s="52" t="s">
        <v>11</v>
      </c>
      <c r="BA12" s="53" t="s">
        <v>11</v>
      </c>
      <c r="BB12" s="97">
        <v>0.17399999999999999</v>
      </c>
      <c r="BC12" s="52">
        <v>0.17699999999999999</v>
      </c>
      <c r="BD12" s="52">
        <v>0.183</v>
      </c>
      <c r="BE12" s="52">
        <v>0.17699999999999999</v>
      </c>
      <c r="BF12" s="53">
        <v>0.18099999999999999</v>
      </c>
      <c r="BG12" s="44">
        <v>0.17799999999999999</v>
      </c>
      <c r="BH12" s="52" t="s">
        <v>11</v>
      </c>
      <c r="BI12" s="52" t="s">
        <v>11</v>
      </c>
      <c r="BJ12" s="52" t="s">
        <v>11</v>
      </c>
      <c r="BK12" s="53" t="s">
        <v>11</v>
      </c>
      <c r="BL12" s="57" t="s">
        <v>11</v>
      </c>
      <c r="BM12" s="53" t="s">
        <v>11</v>
      </c>
      <c r="BN12" s="168">
        <f t="shared" si="4"/>
        <v>0.20978169014084505</v>
      </c>
      <c r="BO12" s="168">
        <f t="shared" si="5"/>
        <v>0.114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19</v>
      </c>
      <c r="B13" s="6"/>
      <c r="C13" s="11" t="s">
        <v>10</v>
      </c>
      <c r="D13" s="35">
        <v>0.21199999999999999</v>
      </c>
      <c r="E13" s="36">
        <v>0.19400000000000001</v>
      </c>
      <c r="F13" s="36">
        <v>0.2</v>
      </c>
      <c r="G13" s="36">
        <v>0.214</v>
      </c>
      <c r="H13" s="37">
        <v>0.218</v>
      </c>
      <c r="I13" s="56">
        <v>0.218</v>
      </c>
      <c r="J13" s="49">
        <v>0.219</v>
      </c>
      <c r="K13" s="36">
        <v>0.185</v>
      </c>
      <c r="L13" s="36">
        <v>0.21199999999999999</v>
      </c>
      <c r="M13" s="50">
        <v>0.221</v>
      </c>
      <c r="N13" s="43">
        <v>0.21199999999999999</v>
      </c>
      <c r="O13" s="36">
        <v>0.20899999999999999</v>
      </c>
      <c r="P13" s="36">
        <v>0.218</v>
      </c>
      <c r="Q13" s="36">
        <v>0.19900000000000001</v>
      </c>
      <c r="R13" s="37">
        <v>0.20200000000000001</v>
      </c>
      <c r="S13" s="43">
        <v>0.19700000000000001</v>
      </c>
      <c r="T13" s="36">
        <v>0.20599999999999999</v>
      </c>
      <c r="U13" s="93">
        <v>0.22700000000000001</v>
      </c>
      <c r="V13" s="36">
        <v>0.20699999999999999</v>
      </c>
      <c r="W13" s="37">
        <v>0.21</v>
      </c>
      <c r="X13" s="43">
        <v>0.22500000000000001</v>
      </c>
      <c r="Y13" s="36">
        <v>0.20599999999999999</v>
      </c>
      <c r="Z13" s="36">
        <v>0.214</v>
      </c>
      <c r="AA13" s="36">
        <v>0.21</v>
      </c>
      <c r="AB13" s="37">
        <v>0.21099999999999999</v>
      </c>
      <c r="AC13" s="56">
        <v>0.22600000000000001</v>
      </c>
      <c r="AD13" s="36">
        <v>0.223</v>
      </c>
      <c r="AE13" s="36">
        <v>0.19400000000000001</v>
      </c>
      <c r="AF13" s="49">
        <v>0.23499999999999999</v>
      </c>
      <c r="AG13" s="37">
        <v>0.20799999999999999</v>
      </c>
      <c r="AH13" s="56">
        <v>0.222</v>
      </c>
      <c r="AI13" s="49">
        <v>0.23</v>
      </c>
      <c r="AJ13" s="36">
        <v>0.22</v>
      </c>
      <c r="AK13" s="93">
        <v>0.23599999999999999</v>
      </c>
      <c r="AL13" s="37">
        <v>0.21199999999999999</v>
      </c>
      <c r="AM13" s="92">
        <v>0.23100000000000001</v>
      </c>
      <c r="AN13" s="49">
        <v>0.24099999999999999</v>
      </c>
      <c r="AO13" s="49">
        <v>0.24099999999999999</v>
      </c>
      <c r="AP13" s="49">
        <v>0.20899999999999999</v>
      </c>
      <c r="AQ13" s="50">
        <v>0.21299999999999999</v>
      </c>
      <c r="AR13" s="43">
        <v>0.22</v>
      </c>
      <c r="AS13" s="93">
        <v>0.224</v>
      </c>
      <c r="AT13" s="49">
        <v>0.21099999999999999</v>
      </c>
      <c r="AU13" s="49">
        <v>0.23100000000000001</v>
      </c>
      <c r="AV13" s="50">
        <v>0.23599999999999999</v>
      </c>
      <c r="AW13" s="43">
        <v>0.215</v>
      </c>
      <c r="AX13" s="49">
        <v>0.222</v>
      </c>
      <c r="AY13" s="49">
        <v>0.23</v>
      </c>
      <c r="AZ13" s="49">
        <v>0.22900000000000001</v>
      </c>
      <c r="BA13" s="50">
        <v>0.217</v>
      </c>
      <c r="BB13" s="56">
        <v>0.224</v>
      </c>
      <c r="BC13" s="49">
        <v>0.21099999999999999</v>
      </c>
      <c r="BD13" s="49">
        <v>0.23</v>
      </c>
      <c r="BE13" s="36">
        <v>0.215</v>
      </c>
      <c r="BF13" s="37">
        <v>0.221</v>
      </c>
      <c r="BG13" s="43">
        <v>0.20599999999999999</v>
      </c>
      <c r="BH13" s="36">
        <v>0.219</v>
      </c>
      <c r="BI13" s="49">
        <v>0.23599999999999999</v>
      </c>
      <c r="BJ13" s="36">
        <v>0.20699999999999999</v>
      </c>
      <c r="BK13" s="37">
        <v>0.22</v>
      </c>
      <c r="BL13" s="43">
        <v>0.17100000000000001</v>
      </c>
      <c r="BM13" s="37">
        <v>0.161</v>
      </c>
      <c r="BN13" s="166">
        <f t="shared" ref="BN13:BN15" si="6">IFERROR(AVERAGE(D13:BM15),0)</f>
        <v>0.21671195652173897</v>
      </c>
      <c r="BO13" s="166">
        <f t="shared" ref="BO13:BO15" si="7">MIN(D13:BM15)</f>
        <v>0.161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65">
        <v>8.3000000000000004E-2</v>
      </c>
      <c r="B14" s="7" t="s">
        <v>21</v>
      </c>
      <c r="C14" s="11" t="s">
        <v>8</v>
      </c>
      <c r="D14" s="41">
        <v>0.20499999999999999</v>
      </c>
      <c r="E14" s="22">
        <v>0.20399999999999999</v>
      </c>
      <c r="F14" s="22">
        <v>0.21199999999999999</v>
      </c>
      <c r="G14" s="22">
        <v>0.20699999999999999</v>
      </c>
      <c r="H14" s="55">
        <v>0.20699999999999999</v>
      </c>
      <c r="I14" s="45">
        <v>0.20899999999999999</v>
      </c>
      <c r="J14" s="31">
        <v>0.21199999999999999</v>
      </c>
      <c r="K14" s="22">
        <v>0.189</v>
      </c>
      <c r="L14" s="22">
        <v>0.19500000000000001</v>
      </c>
      <c r="M14" s="42">
        <v>0.21299999999999999</v>
      </c>
      <c r="N14" s="45">
        <v>0.21099999999999999</v>
      </c>
      <c r="O14" s="95">
        <v>0.223</v>
      </c>
      <c r="P14" s="31">
        <v>0.214</v>
      </c>
      <c r="Q14" s="22">
        <v>0.20799999999999999</v>
      </c>
      <c r="R14" s="42">
        <v>0.19700000000000001</v>
      </c>
      <c r="S14" s="45">
        <v>0.20200000000000001</v>
      </c>
      <c r="T14" s="22">
        <v>0.21299999999999999</v>
      </c>
      <c r="U14" s="22">
        <v>0.20799999999999999</v>
      </c>
      <c r="V14" s="22">
        <v>0.218</v>
      </c>
      <c r="W14" s="42">
        <v>0.21</v>
      </c>
      <c r="X14" s="45">
        <v>0.215</v>
      </c>
      <c r="Y14" s="22">
        <v>0.20899999999999999</v>
      </c>
      <c r="Z14" s="31">
        <v>0.16600000000000001</v>
      </c>
      <c r="AA14" s="22">
        <v>0.20499999999999999</v>
      </c>
      <c r="AB14" s="42">
        <v>0.219</v>
      </c>
      <c r="AC14" s="58">
        <v>0.23100000000000001</v>
      </c>
      <c r="AD14" s="22">
        <v>0.216</v>
      </c>
      <c r="AE14" s="31">
        <v>0.217</v>
      </c>
      <c r="AF14" s="31">
        <v>0.223</v>
      </c>
      <c r="AG14" s="55">
        <v>0.24099999999999999</v>
      </c>
      <c r="AH14" s="58">
        <v>0.24099999999999999</v>
      </c>
      <c r="AI14" s="31">
        <v>0.23499999999999999</v>
      </c>
      <c r="AJ14" s="95">
        <v>0.22700000000000001</v>
      </c>
      <c r="AK14" s="22">
        <v>0.218</v>
      </c>
      <c r="AL14" s="42">
        <v>0.22500000000000001</v>
      </c>
      <c r="AM14" s="94">
        <v>0.22900000000000001</v>
      </c>
      <c r="AN14" s="95">
        <v>0.224</v>
      </c>
      <c r="AO14" s="31">
        <v>0.17299999999999999</v>
      </c>
      <c r="AP14" s="31">
        <v>0.22900000000000001</v>
      </c>
      <c r="AQ14" s="55">
        <v>0.22900000000000001</v>
      </c>
      <c r="AR14" s="58">
        <v>0.217</v>
      </c>
      <c r="AS14" s="95">
        <v>0.23300000000000001</v>
      </c>
      <c r="AT14" s="31">
        <v>0.23799999999999999</v>
      </c>
      <c r="AU14" s="95">
        <v>0.22800000000000001</v>
      </c>
      <c r="AV14" s="55">
        <v>0.23</v>
      </c>
      <c r="AW14" s="94">
        <v>0.23100000000000001</v>
      </c>
      <c r="AX14" s="22">
        <v>0.217</v>
      </c>
      <c r="AY14" s="95">
        <v>0.224</v>
      </c>
      <c r="AZ14" s="22">
        <v>0.221</v>
      </c>
      <c r="BA14" s="42">
        <v>0.219</v>
      </c>
      <c r="BB14" s="45">
        <v>0.21299999999999999</v>
      </c>
      <c r="BC14" s="31">
        <v>0.20799999999999999</v>
      </c>
      <c r="BD14" s="22">
        <v>0.217</v>
      </c>
      <c r="BE14" s="22">
        <v>0.218</v>
      </c>
      <c r="BF14" s="42">
        <v>0.20699999999999999</v>
      </c>
      <c r="BG14" s="58">
        <v>0.22</v>
      </c>
      <c r="BH14" s="31">
        <v>0.22500000000000001</v>
      </c>
      <c r="BI14" s="22">
        <v>0.20200000000000001</v>
      </c>
      <c r="BJ14" s="31">
        <v>0.215</v>
      </c>
      <c r="BK14" s="42">
        <v>0.21099999999999999</v>
      </c>
      <c r="BL14" s="58">
        <v>0.214</v>
      </c>
      <c r="BM14" s="55">
        <v>0.25</v>
      </c>
      <c r="BN14" s="167">
        <f t="shared" si="6"/>
        <v>0.21202717391304357</v>
      </c>
      <c r="BO14" s="167">
        <f t="shared" si="7"/>
        <v>0.16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65"/>
      <c r="B15" s="8"/>
      <c r="C15" s="12" t="s">
        <v>14</v>
      </c>
      <c r="D15" s="38">
        <v>0.216</v>
      </c>
      <c r="E15" s="52">
        <v>0.22800000000000001</v>
      </c>
      <c r="F15" s="39">
        <v>0.19400000000000001</v>
      </c>
      <c r="G15" s="39">
        <v>0.215</v>
      </c>
      <c r="H15" s="40">
        <v>0.20899999999999999</v>
      </c>
      <c r="I15" s="44">
        <v>0.219</v>
      </c>
      <c r="J15" s="52">
        <v>0.20899999999999999</v>
      </c>
      <c r="K15" s="39">
        <v>0.217</v>
      </c>
      <c r="L15" s="39">
        <v>0.19600000000000001</v>
      </c>
      <c r="M15" s="40">
        <v>0.20599999999999999</v>
      </c>
      <c r="N15" s="44">
        <v>0.214</v>
      </c>
      <c r="O15" s="39">
        <v>0.214</v>
      </c>
      <c r="P15" s="39">
        <v>0.216</v>
      </c>
      <c r="Q15" s="98">
        <v>0.22600000000000001</v>
      </c>
      <c r="R15" s="40">
        <v>0.19600000000000001</v>
      </c>
      <c r="S15" s="44">
        <v>0.20399999999999999</v>
      </c>
      <c r="T15" s="52">
        <v>0.21199999999999999</v>
      </c>
      <c r="U15" s="39">
        <v>0.19600000000000001</v>
      </c>
      <c r="V15" s="39">
        <v>0.20899999999999999</v>
      </c>
      <c r="W15" s="40">
        <v>0.20399999999999999</v>
      </c>
      <c r="X15" s="44">
        <v>0.20599999999999999</v>
      </c>
      <c r="Y15" s="39">
        <v>0.217</v>
      </c>
      <c r="Z15" s="98">
        <v>0.22500000000000001</v>
      </c>
      <c r="AA15" s="98">
        <v>0.22</v>
      </c>
      <c r="AB15" s="40">
        <v>0.221</v>
      </c>
      <c r="AC15" s="57">
        <v>0.23200000000000001</v>
      </c>
      <c r="AD15" s="52">
        <v>0.22600000000000001</v>
      </c>
      <c r="AE15" s="52">
        <v>0.23899999999999999</v>
      </c>
      <c r="AF15" s="39">
        <v>0.219</v>
      </c>
      <c r="AG15" s="53">
        <v>0.23300000000000001</v>
      </c>
      <c r="AH15" s="44">
        <v>0.217</v>
      </c>
      <c r="AI15" s="52">
        <v>0.23400000000000001</v>
      </c>
      <c r="AJ15" s="52">
        <v>0.23300000000000001</v>
      </c>
      <c r="AK15" s="52">
        <v>0.23699999999999999</v>
      </c>
      <c r="AL15" s="53">
        <v>0.22600000000000001</v>
      </c>
      <c r="AM15" s="57">
        <v>0.23300000000000001</v>
      </c>
      <c r="AN15" s="98">
        <v>0.22600000000000001</v>
      </c>
      <c r="AO15" s="39">
        <v>0.20100000000000001</v>
      </c>
      <c r="AP15" s="39">
        <v>0.216</v>
      </c>
      <c r="AQ15" s="53">
        <v>0.23</v>
      </c>
      <c r="AR15" s="57">
        <v>0.221</v>
      </c>
      <c r="AS15" s="98">
        <v>0.23400000000000001</v>
      </c>
      <c r="AT15" s="52">
        <v>0.23300000000000001</v>
      </c>
      <c r="AU15" s="52">
        <v>0.22900000000000001</v>
      </c>
      <c r="AV15" s="53">
        <v>0.216</v>
      </c>
      <c r="AW15" s="57">
        <v>0.22800000000000001</v>
      </c>
      <c r="AX15" s="39">
        <v>0.217</v>
      </c>
      <c r="AY15" s="52">
        <v>0.24199999999999999</v>
      </c>
      <c r="AZ15" s="52">
        <v>0.23799999999999999</v>
      </c>
      <c r="BA15" s="40">
        <v>0.221</v>
      </c>
      <c r="BB15" s="97">
        <v>0.22600000000000001</v>
      </c>
      <c r="BC15" s="39">
        <v>0.19800000000000001</v>
      </c>
      <c r="BD15" s="52">
        <v>0.20899999999999999</v>
      </c>
      <c r="BE15" s="39">
        <v>0.219</v>
      </c>
      <c r="BF15" s="40">
        <v>0.21099999999999999</v>
      </c>
      <c r="BG15" s="57">
        <v>0.217</v>
      </c>
      <c r="BH15" s="39">
        <v>0.219</v>
      </c>
      <c r="BI15" s="52">
        <v>0.24199999999999999</v>
      </c>
      <c r="BJ15" s="52">
        <v>0.217</v>
      </c>
      <c r="BK15" s="53" t="s">
        <v>20</v>
      </c>
      <c r="BL15" s="44">
        <v>0.217</v>
      </c>
      <c r="BM15" s="99" t="s">
        <v>20</v>
      </c>
      <c r="BN15" s="168">
        <f t="shared" si="6"/>
        <v>0.20897282608695661</v>
      </c>
      <c r="BO15" s="168">
        <f t="shared" si="7"/>
        <v>0.16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19</v>
      </c>
      <c r="B16" s="6"/>
      <c r="C16" s="11" t="s">
        <v>10</v>
      </c>
      <c r="D16" s="35">
        <v>0.218</v>
      </c>
      <c r="E16" s="36">
        <v>0.19600000000000001</v>
      </c>
      <c r="F16" s="36">
        <v>0.185</v>
      </c>
      <c r="G16" s="36">
        <v>0.17599999999999999</v>
      </c>
      <c r="H16" s="37">
        <v>0.19600000000000001</v>
      </c>
      <c r="I16" s="43">
        <v>0.20699999999999999</v>
      </c>
      <c r="J16" s="49">
        <v>0.20300000000000001</v>
      </c>
      <c r="K16" s="36">
        <v>0.19900000000000001</v>
      </c>
      <c r="L16" s="36">
        <v>0.20200000000000001</v>
      </c>
      <c r="M16" s="37">
        <v>0.192</v>
      </c>
      <c r="N16" s="43">
        <v>0.19600000000000001</v>
      </c>
      <c r="O16" s="36">
        <v>0.20799999999999999</v>
      </c>
      <c r="P16" s="36">
        <v>0.193</v>
      </c>
      <c r="Q16" s="36">
        <v>0.21299999999999999</v>
      </c>
      <c r="R16" s="37">
        <v>0.20200000000000001</v>
      </c>
      <c r="S16" s="43">
        <v>0.216</v>
      </c>
      <c r="T16" s="36">
        <v>0.21</v>
      </c>
      <c r="U16" s="36">
        <v>0.20200000000000001</v>
      </c>
      <c r="V16" s="36">
        <v>0.20899999999999999</v>
      </c>
      <c r="W16" s="37">
        <v>0.185</v>
      </c>
      <c r="X16" s="43">
        <v>0.19</v>
      </c>
      <c r="Y16" s="36">
        <v>0.21199999999999999</v>
      </c>
      <c r="Z16" s="36">
        <v>0.183</v>
      </c>
      <c r="AA16" s="36">
        <v>0.20300000000000001</v>
      </c>
      <c r="AB16" s="37">
        <v>0.193</v>
      </c>
      <c r="AC16" s="43">
        <v>0.20200000000000001</v>
      </c>
      <c r="AD16" s="36">
        <v>0.19700000000000001</v>
      </c>
      <c r="AE16" s="93">
        <v>0.22</v>
      </c>
      <c r="AF16" s="36">
        <v>0.20399999999999999</v>
      </c>
      <c r="AG16" s="37">
        <v>0.20300000000000001</v>
      </c>
      <c r="AH16" s="43">
        <v>0.22</v>
      </c>
      <c r="AI16" s="36">
        <v>0.21299999999999999</v>
      </c>
      <c r="AJ16" s="93">
        <v>0.223</v>
      </c>
      <c r="AK16" s="93">
        <v>0.224</v>
      </c>
      <c r="AL16" s="37">
        <v>0.19600000000000001</v>
      </c>
      <c r="AM16" s="43">
        <v>0.20899999999999999</v>
      </c>
      <c r="AN16" s="36">
        <v>0.20599999999999999</v>
      </c>
      <c r="AO16" s="36">
        <v>0.185</v>
      </c>
      <c r="AP16" s="36">
        <v>0.192</v>
      </c>
      <c r="AQ16" s="37">
        <v>0.182</v>
      </c>
      <c r="AR16" s="43">
        <v>0.20399999999999999</v>
      </c>
      <c r="AS16" s="36">
        <v>0.20599999999999999</v>
      </c>
      <c r="AT16" s="36">
        <v>0.20100000000000001</v>
      </c>
      <c r="AU16" s="36">
        <v>0.17699999999999999</v>
      </c>
      <c r="AV16" s="37">
        <v>0.20799999999999999</v>
      </c>
      <c r="AW16" s="43">
        <v>0.20300000000000001</v>
      </c>
      <c r="AX16" s="36">
        <v>0.192</v>
      </c>
      <c r="AY16" s="36">
        <v>0.20399999999999999</v>
      </c>
      <c r="AZ16" s="36">
        <v>0.20499999999999999</v>
      </c>
      <c r="BA16" s="37">
        <v>0.20899999999999999</v>
      </c>
      <c r="BB16" s="43">
        <v>0.20300000000000001</v>
      </c>
      <c r="BC16" s="93">
        <v>0.22500000000000001</v>
      </c>
      <c r="BD16" s="36">
        <v>0.19600000000000001</v>
      </c>
      <c r="BE16" s="36">
        <v>0.20300000000000001</v>
      </c>
      <c r="BF16" s="37">
        <v>0.20799999999999999</v>
      </c>
      <c r="BG16" s="43">
        <v>0.19900000000000001</v>
      </c>
      <c r="BH16" s="36">
        <v>0.20200000000000001</v>
      </c>
      <c r="BI16" s="36">
        <v>0.16</v>
      </c>
      <c r="BJ16" s="36">
        <v>0.187</v>
      </c>
      <c r="BK16" s="37">
        <v>0.21099999999999999</v>
      </c>
      <c r="BL16" s="43">
        <v>0.193</v>
      </c>
      <c r="BM16" s="100">
        <v>0.22</v>
      </c>
      <c r="BN16" s="166">
        <f t="shared" ref="BN16:BN18" si="8">IFERROR(AVERAGE(D16:BM18),0)</f>
        <v>0.20406451612903231</v>
      </c>
      <c r="BO16" s="166">
        <f t="shared" ref="BO16:BO18" si="9">MIN(D16:BM18)</f>
        <v>0.16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65">
        <v>8.3000000000000004E-2</v>
      </c>
      <c r="B17" s="7" t="s">
        <v>22</v>
      </c>
      <c r="C17" s="11" t="s">
        <v>8</v>
      </c>
      <c r="D17" s="101">
        <v>0.221</v>
      </c>
      <c r="E17" s="22">
        <v>0.21099999999999999</v>
      </c>
      <c r="F17" s="31">
        <v>0.214</v>
      </c>
      <c r="G17" s="22">
        <v>0.19700000000000001</v>
      </c>
      <c r="H17" s="42">
        <v>0.21199999999999999</v>
      </c>
      <c r="I17" s="45">
        <v>0.20699999999999999</v>
      </c>
      <c r="J17" s="95">
        <v>0.214</v>
      </c>
      <c r="K17" s="22">
        <v>0.20200000000000001</v>
      </c>
      <c r="L17" s="22">
        <v>0.21099999999999999</v>
      </c>
      <c r="M17" s="42">
        <v>0.189</v>
      </c>
      <c r="N17" s="45">
        <v>0.186</v>
      </c>
      <c r="O17" s="22">
        <v>0.20300000000000001</v>
      </c>
      <c r="P17" s="95">
        <v>0.22500000000000001</v>
      </c>
      <c r="Q17" s="22">
        <v>0.21</v>
      </c>
      <c r="R17" s="42">
        <v>0.19700000000000001</v>
      </c>
      <c r="S17" s="45">
        <v>0.20399999999999999</v>
      </c>
      <c r="T17" s="95">
        <v>0.216</v>
      </c>
      <c r="U17" s="22">
        <v>0.20200000000000001</v>
      </c>
      <c r="V17" s="22">
        <v>0.21199999999999999</v>
      </c>
      <c r="W17" s="42">
        <v>0.193</v>
      </c>
      <c r="X17" s="45">
        <v>0.20499999999999999</v>
      </c>
      <c r="Y17" s="22">
        <v>0.20799999999999999</v>
      </c>
      <c r="Z17" s="22">
        <v>0.20499999999999999</v>
      </c>
      <c r="AA17" s="22">
        <v>0.20499999999999999</v>
      </c>
      <c r="AB17" s="42">
        <v>0.20399999999999999</v>
      </c>
      <c r="AC17" s="45">
        <v>0.219</v>
      </c>
      <c r="AD17" s="22">
        <v>0.222</v>
      </c>
      <c r="AE17" s="22">
        <v>0.22</v>
      </c>
      <c r="AF17" s="22">
        <v>0.20200000000000001</v>
      </c>
      <c r="AG17" s="42">
        <v>0.21299999999999999</v>
      </c>
      <c r="AH17" s="45">
        <v>0.17499999999999999</v>
      </c>
      <c r="AI17" s="22">
        <v>0.218</v>
      </c>
      <c r="AJ17" s="22">
        <v>0.214</v>
      </c>
      <c r="AK17" s="22">
        <v>0.217</v>
      </c>
      <c r="AL17" s="55">
        <v>0.21299999999999999</v>
      </c>
      <c r="AM17" s="45">
        <v>0.219</v>
      </c>
      <c r="AN17" s="22">
        <v>0.20499999999999999</v>
      </c>
      <c r="AO17" s="22">
        <v>0.20599999999999999</v>
      </c>
      <c r="AP17" s="22">
        <v>0.219</v>
      </c>
      <c r="AQ17" s="42">
        <v>0.20200000000000001</v>
      </c>
      <c r="AR17" s="45">
        <v>0.21199999999999999</v>
      </c>
      <c r="AS17" s="22">
        <v>0.19</v>
      </c>
      <c r="AT17" s="22">
        <v>0.20499999999999999</v>
      </c>
      <c r="AU17" s="22">
        <v>0.17799999999999999</v>
      </c>
      <c r="AV17" s="42">
        <v>0.21</v>
      </c>
      <c r="AW17" s="45">
        <v>0.21299999999999999</v>
      </c>
      <c r="AX17" s="22">
        <v>0.19700000000000001</v>
      </c>
      <c r="AY17" s="22">
        <v>0.20300000000000001</v>
      </c>
      <c r="AZ17" s="22">
        <v>0.20799999999999999</v>
      </c>
      <c r="BA17" s="42">
        <v>0.193</v>
      </c>
      <c r="BB17" s="45">
        <v>0.21299999999999999</v>
      </c>
      <c r="BC17" s="95">
        <v>0.224</v>
      </c>
      <c r="BD17" s="95">
        <v>0.218</v>
      </c>
      <c r="BE17" s="95">
        <v>0.223</v>
      </c>
      <c r="BF17" s="96">
        <v>0.222</v>
      </c>
      <c r="BG17" s="45">
        <v>0.192</v>
      </c>
      <c r="BH17" s="22">
        <v>0.19600000000000001</v>
      </c>
      <c r="BI17" s="22">
        <v>0.185</v>
      </c>
      <c r="BJ17" s="22">
        <v>0.19800000000000001</v>
      </c>
      <c r="BK17" s="42">
        <v>0.2</v>
      </c>
      <c r="BL17" s="58">
        <v>0.21</v>
      </c>
      <c r="BM17" s="42">
        <v>0.218</v>
      </c>
      <c r="BN17" s="167">
        <f t="shared" si="8"/>
        <v>0.20017204301075273</v>
      </c>
      <c r="BO17" s="167">
        <f t="shared" si="9"/>
        <v>0.126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65"/>
      <c r="B18" s="8"/>
      <c r="C18" s="12" t="s">
        <v>14</v>
      </c>
      <c r="D18" s="38">
        <v>0.16800000000000001</v>
      </c>
      <c r="E18" s="39">
        <v>0.191</v>
      </c>
      <c r="F18" s="39">
        <v>0.20100000000000001</v>
      </c>
      <c r="G18" s="39">
        <v>0.16700000000000001</v>
      </c>
      <c r="H18" s="40">
        <v>0.192</v>
      </c>
      <c r="I18" s="44">
        <v>0.19500000000000001</v>
      </c>
      <c r="J18" s="39">
        <v>0.19</v>
      </c>
      <c r="K18" s="39">
        <v>0.185</v>
      </c>
      <c r="L18" s="39">
        <v>0.19700000000000001</v>
      </c>
      <c r="M18" s="40">
        <v>0.186</v>
      </c>
      <c r="N18" s="44">
        <v>0.19400000000000001</v>
      </c>
      <c r="O18" s="98">
        <v>0.20799999999999999</v>
      </c>
      <c r="P18" s="39">
        <v>0.20799999999999999</v>
      </c>
      <c r="Q18" s="39">
        <v>0.191</v>
      </c>
      <c r="R18" s="40">
        <v>0.191</v>
      </c>
      <c r="S18" s="44">
        <v>0.21299999999999999</v>
      </c>
      <c r="T18" s="39">
        <v>0.20399999999999999</v>
      </c>
      <c r="U18" s="39">
        <v>0.20100000000000001</v>
      </c>
      <c r="V18" s="39">
        <v>0.21</v>
      </c>
      <c r="W18" s="40">
        <v>0.21199999999999999</v>
      </c>
      <c r="X18" s="44">
        <v>0.20599999999999999</v>
      </c>
      <c r="Y18" s="39">
        <v>0.20799999999999999</v>
      </c>
      <c r="Z18" s="39">
        <v>0.20399999999999999</v>
      </c>
      <c r="AA18" s="39">
        <v>0.21199999999999999</v>
      </c>
      <c r="AB18" s="40">
        <v>0.217</v>
      </c>
      <c r="AC18" s="97">
        <v>0.223</v>
      </c>
      <c r="AD18" s="39">
        <v>0.216</v>
      </c>
      <c r="AE18" s="39">
        <v>0.20899999999999999</v>
      </c>
      <c r="AF18" s="39">
        <v>0.218</v>
      </c>
      <c r="AG18" s="40">
        <v>0.21</v>
      </c>
      <c r="AH18" s="44">
        <v>0.215</v>
      </c>
      <c r="AI18" s="39">
        <v>0.216</v>
      </c>
      <c r="AJ18" s="39">
        <v>0.20699999999999999</v>
      </c>
      <c r="AK18" s="39">
        <v>0.182</v>
      </c>
      <c r="AL18" s="40">
        <v>0.20499999999999999</v>
      </c>
      <c r="AM18" s="44">
        <v>0.20200000000000001</v>
      </c>
      <c r="AN18" s="39">
        <v>0.19</v>
      </c>
      <c r="AO18" s="98">
        <v>0.221</v>
      </c>
      <c r="AP18" s="39">
        <v>0.16700000000000001</v>
      </c>
      <c r="AQ18" s="40">
        <v>0.19600000000000001</v>
      </c>
      <c r="AR18" s="44">
        <v>0.20799999999999999</v>
      </c>
      <c r="AS18" s="98">
        <v>0.224</v>
      </c>
      <c r="AT18" s="39">
        <v>0.20300000000000001</v>
      </c>
      <c r="AU18" s="39">
        <v>0.20599999999999999</v>
      </c>
      <c r="AV18" s="53">
        <v>0.21</v>
      </c>
      <c r="AW18" s="44">
        <v>0.21</v>
      </c>
      <c r="AX18" s="39">
        <v>0.217</v>
      </c>
      <c r="AY18" s="39">
        <v>0.21099999999999999</v>
      </c>
      <c r="AZ18" s="39">
        <v>0.20399999999999999</v>
      </c>
      <c r="BA18" s="40">
        <v>0.21199999999999999</v>
      </c>
      <c r="BB18" s="44">
        <v>0.215</v>
      </c>
      <c r="BC18" s="39">
        <v>0.21</v>
      </c>
      <c r="BD18" s="39">
        <v>0.21199999999999999</v>
      </c>
      <c r="BE18" s="39">
        <v>0.20399999999999999</v>
      </c>
      <c r="BF18" s="40">
        <v>0.218</v>
      </c>
      <c r="BG18" s="97">
        <v>0.221</v>
      </c>
      <c r="BH18" s="39">
        <v>0.20899999999999999</v>
      </c>
      <c r="BI18" s="39">
        <v>0.19700000000000001</v>
      </c>
      <c r="BJ18" s="39">
        <v>0.19800000000000001</v>
      </c>
      <c r="BK18" s="40">
        <v>0.21</v>
      </c>
      <c r="BL18" s="44">
        <v>0.21299999999999999</v>
      </c>
      <c r="BM18" s="40">
        <v>0.21</v>
      </c>
      <c r="BN18" s="168">
        <f t="shared" si="8"/>
        <v>0.19597311827957004</v>
      </c>
      <c r="BO18" s="168">
        <f t="shared" si="9"/>
        <v>0.126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19</v>
      </c>
      <c r="B19" s="6"/>
      <c r="C19" s="11" t="s">
        <v>10</v>
      </c>
      <c r="D19" s="35">
        <v>0.20699999999999999</v>
      </c>
      <c r="E19" s="49">
        <v>0.20200000000000001</v>
      </c>
      <c r="F19" s="36">
        <v>0.19800000000000001</v>
      </c>
      <c r="G19" s="36">
        <v>0.17699999999999999</v>
      </c>
      <c r="H19" s="37">
        <v>0.17</v>
      </c>
      <c r="I19" s="43">
        <v>0.16</v>
      </c>
      <c r="J19" s="36">
        <v>0.17499999999999999</v>
      </c>
      <c r="K19" s="36">
        <v>0.19</v>
      </c>
      <c r="L19" s="36">
        <v>0.17499999999999999</v>
      </c>
      <c r="M19" s="37">
        <v>0.19500000000000001</v>
      </c>
      <c r="N19" s="43">
        <v>0.156</v>
      </c>
      <c r="O19" s="36">
        <v>0.184</v>
      </c>
      <c r="P19" s="36">
        <v>0.14399999999999999</v>
      </c>
      <c r="Q19" s="36">
        <v>0.126</v>
      </c>
      <c r="R19" s="37">
        <v>0.20499999999999999</v>
      </c>
      <c r="S19" s="43">
        <v>0.14399999999999999</v>
      </c>
      <c r="T19" s="36">
        <v>0.186</v>
      </c>
      <c r="U19" s="36">
        <v>0.19400000000000001</v>
      </c>
      <c r="V19" s="36">
        <v>0.17799999999999999</v>
      </c>
      <c r="W19" s="37">
        <v>0.217</v>
      </c>
      <c r="X19" s="43">
        <v>0.215</v>
      </c>
      <c r="Y19" s="36">
        <v>0.191</v>
      </c>
      <c r="Z19" s="36">
        <v>0.14199999999999999</v>
      </c>
      <c r="AA19" s="36">
        <v>0.21199999999999999</v>
      </c>
      <c r="AB19" s="37">
        <v>0.219</v>
      </c>
      <c r="AC19" s="43">
        <v>0.19900000000000001</v>
      </c>
      <c r="AD19" s="36">
        <v>0.21299999999999999</v>
      </c>
      <c r="AE19" s="36">
        <v>0.16400000000000001</v>
      </c>
      <c r="AF19" s="36">
        <v>0.19500000000000001</v>
      </c>
      <c r="AG19" s="37">
        <v>0.218</v>
      </c>
      <c r="AH19" s="43">
        <v>0.214</v>
      </c>
      <c r="AI19" s="36">
        <v>0.20599999999999999</v>
      </c>
      <c r="AJ19" s="36">
        <v>0.19400000000000001</v>
      </c>
      <c r="AK19" s="36">
        <v>0.20699999999999999</v>
      </c>
      <c r="AL19" s="37">
        <v>0.215</v>
      </c>
      <c r="AM19" s="43">
        <v>0.186</v>
      </c>
      <c r="AN19" s="36">
        <v>0.18</v>
      </c>
      <c r="AO19" s="36">
        <v>0.192</v>
      </c>
      <c r="AP19" s="36">
        <v>0.19500000000000001</v>
      </c>
      <c r="AQ19" s="37">
        <v>0.17899999999999999</v>
      </c>
      <c r="AR19" s="43">
        <v>0.193</v>
      </c>
      <c r="AS19" s="36">
        <v>0.17799999999999999</v>
      </c>
      <c r="AT19" s="36">
        <v>0.17599999999999999</v>
      </c>
      <c r="AU19" s="36">
        <v>0.18099999999999999</v>
      </c>
      <c r="AV19" s="37">
        <v>0.17399999999999999</v>
      </c>
      <c r="AW19" s="56">
        <v>0.222</v>
      </c>
      <c r="AX19" s="36">
        <v>0.214</v>
      </c>
      <c r="AY19" s="36">
        <v>0.189</v>
      </c>
      <c r="AZ19" s="93">
        <v>0.216</v>
      </c>
      <c r="BA19" s="37">
        <v>0.18099999999999999</v>
      </c>
      <c r="BB19" s="43">
        <v>0.192</v>
      </c>
      <c r="BC19" s="36">
        <v>0.18</v>
      </c>
      <c r="BD19" s="36">
        <v>0.21299999999999999</v>
      </c>
      <c r="BE19" s="36">
        <v>0.19600000000000001</v>
      </c>
      <c r="BF19" s="37">
        <v>0.19800000000000001</v>
      </c>
      <c r="BG19" s="43">
        <v>0.187</v>
      </c>
      <c r="BH19" s="36">
        <v>0.2</v>
      </c>
      <c r="BI19" s="36">
        <v>0.19900000000000001</v>
      </c>
      <c r="BJ19" s="36">
        <v>0.186</v>
      </c>
      <c r="BK19" s="37">
        <v>0.192</v>
      </c>
      <c r="BL19" s="43">
        <v>0.192</v>
      </c>
      <c r="BM19" s="37">
        <v>0.17899999999999999</v>
      </c>
      <c r="BN19" s="166">
        <f t="shared" ref="BN19:BN21" si="10">IFERROR(AVERAGE(D19:BM21),0)</f>
        <v>0.19481720430107533</v>
      </c>
      <c r="BO19" s="166">
        <f t="shared" ref="BO19:BO21" si="11">MIN(D19:BM21)</f>
        <v>0.126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65">
        <v>8.3000000000000004E-2</v>
      </c>
      <c r="B20" s="7" t="s">
        <v>23</v>
      </c>
      <c r="C20" s="11" t="s">
        <v>8</v>
      </c>
      <c r="D20" s="41">
        <v>0.184</v>
      </c>
      <c r="E20" s="22">
        <v>0.20399999999999999</v>
      </c>
      <c r="F20" s="22">
        <v>0.19500000000000001</v>
      </c>
      <c r="G20" s="22">
        <v>0.157</v>
      </c>
      <c r="H20" s="42">
        <v>0.20699999999999999</v>
      </c>
      <c r="I20" s="45">
        <v>0.185</v>
      </c>
      <c r="J20" s="22">
        <v>0.20699999999999999</v>
      </c>
      <c r="K20" s="22">
        <v>0.183</v>
      </c>
      <c r="L20" s="22">
        <v>0.16700000000000001</v>
      </c>
      <c r="M20" s="42">
        <v>0.19800000000000001</v>
      </c>
      <c r="N20" s="45">
        <v>0.20200000000000001</v>
      </c>
      <c r="O20" s="22">
        <v>0.17799999999999999</v>
      </c>
      <c r="P20" s="22">
        <v>0.187</v>
      </c>
      <c r="Q20" s="22">
        <v>0.14000000000000001</v>
      </c>
      <c r="R20" s="42">
        <v>0.17799999999999999</v>
      </c>
      <c r="S20" s="45">
        <v>0.19400000000000001</v>
      </c>
      <c r="T20" s="22">
        <v>0.189</v>
      </c>
      <c r="U20" s="22">
        <v>0.20599999999999999</v>
      </c>
      <c r="V20" s="22">
        <v>0.19400000000000001</v>
      </c>
      <c r="W20" s="42">
        <v>0.19600000000000001</v>
      </c>
      <c r="X20" s="45">
        <v>0.19600000000000001</v>
      </c>
      <c r="Y20" s="22">
        <v>0.20499999999999999</v>
      </c>
      <c r="Z20" s="22">
        <v>0.20799999999999999</v>
      </c>
      <c r="AA20" s="22">
        <v>0.20399999999999999</v>
      </c>
      <c r="AB20" s="42">
        <v>0.20899999999999999</v>
      </c>
      <c r="AC20" s="45">
        <v>0.20499999999999999</v>
      </c>
      <c r="AD20" s="22">
        <v>0.20799999999999999</v>
      </c>
      <c r="AE20" s="22">
        <v>0.189</v>
      </c>
      <c r="AF20" s="22">
        <v>0.21299999999999999</v>
      </c>
      <c r="AG20" s="42">
        <v>0.185</v>
      </c>
      <c r="AH20" s="45">
        <v>0.19600000000000001</v>
      </c>
      <c r="AI20" s="22">
        <v>0.21</v>
      </c>
      <c r="AJ20" s="22">
        <v>0.20599999999999999</v>
      </c>
      <c r="AK20" s="22">
        <v>0.21</v>
      </c>
      <c r="AL20" s="42">
        <v>0.215</v>
      </c>
      <c r="AM20" s="45">
        <v>0.19900000000000001</v>
      </c>
      <c r="AN20" s="95">
        <v>0.218</v>
      </c>
      <c r="AO20" s="22">
        <v>0.19500000000000001</v>
      </c>
      <c r="AP20" s="22">
        <v>0.19</v>
      </c>
      <c r="AQ20" s="42">
        <v>0.182</v>
      </c>
      <c r="AR20" s="45">
        <v>0.161</v>
      </c>
      <c r="AS20" s="22">
        <v>0.188</v>
      </c>
      <c r="AT20" s="22">
        <v>0.18</v>
      </c>
      <c r="AU20" s="22">
        <v>0.19</v>
      </c>
      <c r="AV20" s="42">
        <v>0.192</v>
      </c>
      <c r="AW20" s="45">
        <v>0.19900000000000001</v>
      </c>
      <c r="AX20" s="22">
        <v>0.22</v>
      </c>
      <c r="AY20" s="22">
        <v>0.20599999999999999</v>
      </c>
      <c r="AZ20" s="22">
        <v>0.20499999999999999</v>
      </c>
      <c r="BA20" s="42">
        <v>0.184</v>
      </c>
      <c r="BB20" s="45">
        <v>0.17100000000000001</v>
      </c>
      <c r="BC20" s="22">
        <v>0.2</v>
      </c>
      <c r="BD20" s="22">
        <v>0.20300000000000001</v>
      </c>
      <c r="BE20" s="22">
        <v>0.215</v>
      </c>
      <c r="BF20" s="42">
        <v>0.186</v>
      </c>
      <c r="BG20" s="45">
        <v>0.193</v>
      </c>
      <c r="BH20" s="22">
        <v>0.20599999999999999</v>
      </c>
      <c r="BI20" s="22">
        <v>0.189</v>
      </c>
      <c r="BJ20" s="22">
        <v>0.20300000000000001</v>
      </c>
      <c r="BK20" s="42">
        <v>0.16700000000000001</v>
      </c>
      <c r="BL20" s="45">
        <v>0.193</v>
      </c>
      <c r="BM20" s="42">
        <v>0.19900000000000001</v>
      </c>
      <c r="BN20" s="167">
        <f t="shared" si="10"/>
        <v>0.19690322580645161</v>
      </c>
      <c r="BO20" s="167">
        <f t="shared" si="11"/>
        <v>0.14000000000000001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65"/>
      <c r="B21" s="8"/>
      <c r="C21" s="12" t="s">
        <v>14</v>
      </c>
      <c r="D21" s="51">
        <v>0.18099999999999999</v>
      </c>
      <c r="E21" s="39">
        <v>0.218</v>
      </c>
      <c r="F21" s="98">
        <v>0.215</v>
      </c>
      <c r="G21" s="39">
        <v>0.20599999999999999</v>
      </c>
      <c r="H21" s="40">
        <v>0.20799999999999999</v>
      </c>
      <c r="I21" s="44">
        <v>0.19600000000000001</v>
      </c>
      <c r="J21" s="39">
        <v>0.20599999999999999</v>
      </c>
      <c r="K21" s="39">
        <v>0.19800000000000001</v>
      </c>
      <c r="L21" s="39">
        <v>0.16</v>
      </c>
      <c r="M21" s="40">
        <v>0.20799999999999999</v>
      </c>
      <c r="N21" s="44">
        <v>0.20599999999999999</v>
      </c>
      <c r="O21" s="39">
        <v>0.16200000000000001</v>
      </c>
      <c r="P21" s="39">
        <v>0.20100000000000001</v>
      </c>
      <c r="Q21" s="39">
        <v>0.2</v>
      </c>
      <c r="R21" s="40">
        <v>0.19800000000000001</v>
      </c>
      <c r="S21" s="44">
        <v>0.20499999999999999</v>
      </c>
      <c r="T21" s="39">
        <v>0.161</v>
      </c>
      <c r="U21" s="39">
        <v>0.185</v>
      </c>
      <c r="V21" s="39">
        <v>0.21199999999999999</v>
      </c>
      <c r="W21" s="53">
        <v>0.22600000000000001</v>
      </c>
      <c r="X21" s="97">
        <v>0.23100000000000001</v>
      </c>
      <c r="Y21" s="39">
        <v>0.19400000000000001</v>
      </c>
      <c r="Z21" s="98">
        <v>0.219</v>
      </c>
      <c r="AA21" s="39">
        <v>0.20699999999999999</v>
      </c>
      <c r="AB21" s="40">
        <v>0.20300000000000001</v>
      </c>
      <c r="AC21" s="44">
        <v>0.218</v>
      </c>
      <c r="AD21" s="39">
        <v>0.2</v>
      </c>
      <c r="AE21" s="39">
        <v>0.20499999999999999</v>
      </c>
      <c r="AF21" s="39">
        <v>0.215</v>
      </c>
      <c r="AG21" s="40">
        <v>0.18099999999999999</v>
      </c>
      <c r="AH21" s="44">
        <v>0.19700000000000001</v>
      </c>
      <c r="AI21" s="39">
        <v>0.223</v>
      </c>
      <c r="AJ21" s="39">
        <v>0.21199999999999999</v>
      </c>
      <c r="AK21" s="39">
        <v>0.17899999999999999</v>
      </c>
      <c r="AL21" s="40">
        <v>0.19400000000000001</v>
      </c>
      <c r="AM21" s="44">
        <v>0.19700000000000001</v>
      </c>
      <c r="AN21" s="39">
        <v>0.20899999999999999</v>
      </c>
      <c r="AO21" s="39">
        <v>0.191</v>
      </c>
      <c r="AP21" s="39">
        <v>0.19600000000000001</v>
      </c>
      <c r="AQ21" s="40">
        <v>0.188</v>
      </c>
      <c r="AR21" s="44">
        <v>0.19700000000000001</v>
      </c>
      <c r="AS21" s="39">
        <v>0.21099999999999999</v>
      </c>
      <c r="AT21" s="39">
        <v>0.19800000000000001</v>
      </c>
      <c r="AU21" s="39">
        <v>0.189</v>
      </c>
      <c r="AV21" s="99">
        <v>0.224</v>
      </c>
      <c r="AW21" s="44">
        <v>0.192</v>
      </c>
      <c r="AX21" s="39">
        <v>0.20699999999999999</v>
      </c>
      <c r="AY21" s="39">
        <v>0.20599999999999999</v>
      </c>
      <c r="AZ21" s="39">
        <v>0.20100000000000001</v>
      </c>
      <c r="BA21" s="40">
        <v>0.19600000000000001</v>
      </c>
      <c r="BB21" s="44">
        <v>0.19700000000000001</v>
      </c>
      <c r="BC21" s="39">
        <v>0.19600000000000001</v>
      </c>
      <c r="BD21" s="39">
        <v>0.20699999999999999</v>
      </c>
      <c r="BE21" s="39">
        <v>0.19400000000000001</v>
      </c>
      <c r="BF21" s="40">
        <v>0.192</v>
      </c>
      <c r="BG21" s="44">
        <v>0.20300000000000001</v>
      </c>
      <c r="BH21" s="39">
        <v>0.21</v>
      </c>
      <c r="BI21" s="39">
        <v>0.21299999999999999</v>
      </c>
      <c r="BJ21" s="39">
        <v>0.21199999999999999</v>
      </c>
      <c r="BK21" s="40">
        <v>0.19400000000000001</v>
      </c>
      <c r="BL21" s="44">
        <v>0.2</v>
      </c>
      <c r="BM21" s="40">
        <v>0.185</v>
      </c>
      <c r="BN21" s="168">
        <f t="shared" si="10"/>
        <v>0.1981236559139786</v>
      </c>
      <c r="BO21" s="168">
        <f t="shared" si="11"/>
        <v>0.16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19</v>
      </c>
      <c r="B22" s="6"/>
      <c r="C22" s="11" t="s">
        <v>10</v>
      </c>
      <c r="D22" s="35">
        <v>0.16500000000000001</v>
      </c>
      <c r="E22" s="49">
        <v>0.191</v>
      </c>
      <c r="F22" s="36">
        <v>0.216</v>
      </c>
      <c r="G22" s="36">
        <v>0.20399999999999999</v>
      </c>
      <c r="H22" s="37">
        <v>0.20599999999999999</v>
      </c>
      <c r="I22" s="43">
        <v>0.20699999999999999</v>
      </c>
      <c r="J22" s="36">
        <v>0.21299999999999999</v>
      </c>
      <c r="K22" s="36">
        <v>0.17899999999999999</v>
      </c>
      <c r="L22" s="36">
        <v>0.19400000000000001</v>
      </c>
      <c r="M22" s="37">
        <v>0.18099999999999999</v>
      </c>
      <c r="N22" s="43">
        <v>0.192</v>
      </c>
      <c r="O22" s="36">
        <v>0.16900000000000001</v>
      </c>
      <c r="P22" s="36">
        <v>0.16700000000000001</v>
      </c>
      <c r="Q22" s="36">
        <v>0.186</v>
      </c>
      <c r="R22" s="37">
        <v>0.16400000000000001</v>
      </c>
      <c r="S22" s="43">
        <v>0.20100000000000001</v>
      </c>
      <c r="T22" s="36">
        <v>0.17299999999999999</v>
      </c>
      <c r="U22" s="36">
        <v>0.20599999999999999</v>
      </c>
      <c r="V22" s="36">
        <v>0.19400000000000001</v>
      </c>
      <c r="W22" s="37">
        <v>0.216</v>
      </c>
      <c r="X22" s="43">
        <v>0.193</v>
      </c>
      <c r="Y22" s="36">
        <v>0.20399999999999999</v>
      </c>
      <c r="Z22" s="36">
        <v>0.19500000000000001</v>
      </c>
      <c r="AA22" s="36">
        <v>0.20200000000000001</v>
      </c>
      <c r="AB22" s="100">
        <v>0.217</v>
      </c>
      <c r="AC22" s="43">
        <v>0.20100000000000001</v>
      </c>
      <c r="AD22" s="36">
        <v>0.21</v>
      </c>
      <c r="AE22" s="36">
        <v>0.17199999999999999</v>
      </c>
      <c r="AF22" s="36">
        <v>0.221</v>
      </c>
      <c r="AG22" s="37">
        <v>0.20100000000000001</v>
      </c>
      <c r="AH22" s="43">
        <v>0.20200000000000001</v>
      </c>
      <c r="AI22" s="36">
        <v>0.20399999999999999</v>
      </c>
      <c r="AJ22" s="36">
        <v>0.193</v>
      </c>
      <c r="AK22" s="36">
        <v>0.20200000000000001</v>
      </c>
      <c r="AL22" s="37">
        <v>0.20599999999999999</v>
      </c>
      <c r="AM22" s="43">
        <v>0.20200000000000001</v>
      </c>
      <c r="AN22" s="36">
        <v>0.20699999999999999</v>
      </c>
      <c r="AO22" s="93">
        <v>0.21299999999999999</v>
      </c>
      <c r="AP22" s="36">
        <v>0.20399999999999999</v>
      </c>
      <c r="AQ22" s="37">
        <v>0.17699999999999999</v>
      </c>
      <c r="AR22" s="43">
        <v>0.188</v>
      </c>
      <c r="AS22" s="36">
        <v>0.193</v>
      </c>
      <c r="AT22" s="36">
        <v>0.20399999999999999</v>
      </c>
      <c r="AU22" s="36">
        <v>0.19</v>
      </c>
      <c r="AV22" s="37">
        <v>0.187</v>
      </c>
      <c r="AW22" s="43">
        <v>0.18099999999999999</v>
      </c>
      <c r="AX22" s="36">
        <v>0.19</v>
      </c>
      <c r="AY22" s="36">
        <v>0.2</v>
      </c>
      <c r="AZ22" s="36">
        <v>0.185</v>
      </c>
      <c r="BA22" s="37">
        <v>0.19700000000000001</v>
      </c>
      <c r="BB22" s="43">
        <v>0.18099999999999999</v>
      </c>
      <c r="BC22" s="36">
        <v>0.19</v>
      </c>
      <c r="BD22" s="36">
        <v>0.21099999999999999</v>
      </c>
      <c r="BE22" s="36">
        <v>0.19900000000000001</v>
      </c>
      <c r="BF22" s="37">
        <v>0.19700000000000001</v>
      </c>
      <c r="BG22" s="43">
        <v>0.20100000000000001</v>
      </c>
      <c r="BH22" s="36">
        <v>0.20300000000000001</v>
      </c>
      <c r="BI22" s="36">
        <v>0.182</v>
      </c>
      <c r="BJ22" s="49">
        <v>0.222</v>
      </c>
      <c r="BK22" s="37">
        <v>0.20399999999999999</v>
      </c>
      <c r="BL22" s="43">
        <v>0.21299999999999999</v>
      </c>
      <c r="BM22" s="37">
        <v>0.17699999999999999</v>
      </c>
      <c r="BN22" s="166">
        <f t="shared" ref="BN22:BN24" si="12">IFERROR(AVERAGE(D22:BM24),0)</f>
        <v>0.19702688172043004</v>
      </c>
      <c r="BO22" s="166">
        <f t="shared" ref="BO22:BO24" si="13">MIN(D22:BM24)</f>
        <v>0.13900000000000001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65">
        <v>8.3000000000000004E-2</v>
      </c>
      <c r="B23" s="7" t="s">
        <v>24</v>
      </c>
      <c r="C23" s="11" t="s">
        <v>8</v>
      </c>
      <c r="D23" s="41">
        <v>0.191</v>
      </c>
      <c r="E23" s="31">
        <v>0.216</v>
      </c>
      <c r="F23" s="22">
        <v>0.187</v>
      </c>
      <c r="G23" s="22">
        <v>0.20699999999999999</v>
      </c>
      <c r="H23" s="42">
        <v>0.19400000000000001</v>
      </c>
      <c r="I23" s="45">
        <v>0.20899999999999999</v>
      </c>
      <c r="J23" s="22">
        <v>0.20499999999999999</v>
      </c>
      <c r="K23" s="22">
        <v>0.17899999999999999</v>
      </c>
      <c r="L23" s="22">
        <v>0.20399999999999999</v>
      </c>
      <c r="M23" s="42">
        <v>0.19</v>
      </c>
      <c r="N23" s="45">
        <v>0.191</v>
      </c>
      <c r="O23" s="22">
        <v>0.17799999999999999</v>
      </c>
      <c r="P23" s="22">
        <v>0.184</v>
      </c>
      <c r="Q23" s="22">
        <v>0.19700000000000001</v>
      </c>
      <c r="R23" s="42">
        <v>0.184</v>
      </c>
      <c r="S23" s="45">
        <v>0.20200000000000001</v>
      </c>
      <c r="T23" s="22">
        <v>0.19400000000000001</v>
      </c>
      <c r="U23" s="22">
        <v>0.2</v>
      </c>
      <c r="V23" s="22">
        <v>0.19600000000000001</v>
      </c>
      <c r="W23" s="42">
        <v>0.21</v>
      </c>
      <c r="X23" s="45">
        <v>0.21199999999999999</v>
      </c>
      <c r="Y23" s="22">
        <v>0.20699999999999999</v>
      </c>
      <c r="Z23" s="22">
        <v>0.183</v>
      </c>
      <c r="AA23" s="22">
        <v>0.20499999999999999</v>
      </c>
      <c r="AB23" s="42">
        <v>0.19900000000000001</v>
      </c>
      <c r="AC23" s="45">
        <v>0.20799999999999999</v>
      </c>
      <c r="AD23" s="22">
        <v>0.20699999999999999</v>
      </c>
      <c r="AE23" s="22">
        <v>0.20100000000000001</v>
      </c>
      <c r="AF23" s="22">
        <v>0.21</v>
      </c>
      <c r="AG23" s="42">
        <v>0.216</v>
      </c>
      <c r="AH23" s="45">
        <v>0.20499999999999999</v>
      </c>
      <c r="AI23" s="22">
        <v>0.216</v>
      </c>
      <c r="AJ23" s="22">
        <v>0.19400000000000001</v>
      </c>
      <c r="AK23" s="22">
        <v>0.20599999999999999</v>
      </c>
      <c r="AL23" s="42">
        <v>0.21099999999999999</v>
      </c>
      <c r="AM23" s="45">
        <v>0.193</v>
      </c>
      <c r="AN23" s="22">
        <v>0.20499999999999999</v>
      </c>
      <c r="AO23" s="22">
        <v>0.18099999999999999</v>
      </c>
      <c r="AP23" s="22">
        <v>0.192</v>
      </c>
      <c r="AQ23" s="96">
        <v>0.21099999999999999</v>
      </c>
      <c r="AR23" s="45">
        <v>0.20399999999999999</v>
      </c>
      <c r="AS23" s="22">
        <v>0.19600000000000001</v>
      </c>
      <c r="AT23" s="22">
        <v>0.17100000000000001</v>
      </c>
      <c r="AU23" s="22">
        <v>0.182</v>
      </c>
      <c r="AV23" s="42">
        <v>0.189</v>
      </c>
      <c r="AW23" s="45">
        <v>0.20200000000000001</v>
      </c>
      <c r="AX23" s="22">
        <v>0.20799999999999999</v>
      </c>
      <c r="AY23" s="22">
        <v>0.189</v>
      </c>
      <c r="AZ23" s="22">
        <v>0.184</v>
      </c>
      <c r="BA23" s="42">
        <v>0.17100000000000001</v>
      </c>
      <c r="BB23" s="45">
        <v>0.191</v>
      </c>
      <c r="BC23" s="22">
        <v>0.189</v>
      </c>
      <c r="BD23" s="22">
        <v>0.20200000000000001</v>
      </c>
      <c r="BE23" s="22">
        <v>0.20799999999999999</v>
      </c>
      <c r="BF23" s="42">
        <v>0.182</v>
      </c>
      <c r="BG23" s="45">
        <v>0.20799999999999999</v>
      </c>
      <c r="BH23" s="22">
        <v>0.20399999999999999</v>
      </c>
      <c r="BI23" s="22">
        <v>0.192</v>
      </c>
      <c r="BJ23" s="95">
        <v>0.224</v>
      </c>
      <c r="BK23" s="42">
        <v>0.20100000000000001</v>
      </c>
      <c r="BL23" s="45">
        <v>0.20599999999999999</v>
      </c>
      <c r="BM23" s="42">
        <v>0.188</v>
      </c>
      <c r="BN23" s="167">
        <f t="shared" si="12"/>
        <v>0.19915151515151525</v>
      </c>
      <c r="BO23" s="167">
        <f t="shared" si="13"/>
        <v>0.13900000000000001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65"/>
      <c r="B24" s="8"/>
      <c r="C24" s="12" t="s">
        <v>14</v>
      </c>
      <c r="D24" s="38">
        <v>0.191</v>
      </c>
      <c r="E24" s="39">
        <v>0.217</v>
      </c>
      <c r="F24" s="39">
        <v>0.21</v>
      </c>
      <c r="G24" s="39">
        <v>0.20200000000000001</v>
      </c>
      <c r="H24" s="40">
        <v>0.20100000000000001</v>
      </c>
      <c r="I24" s="44">
        <v>0.17499999999999999</v>
      </c>
      <c r="J24" s="39">
        <v>0.19400000000000001</v>
      </c>
      <c r="K24" s="39">
        <v>0.19800000000000001</v>
      </c>
      <c r="L24" s="39">
        <v>0.21199999999999999</v>
      </c>
      <c r="M24" s="40">
        <v>0.17799999999999999</v>
      </c>
      <c r="N24" s="44">
        <v>0.19700000000000001</v>
      </c>
      <c r="O24" s="39">
        <v>0.13900000000000001</v>
      </c>
      <c r="P24" s="39">
        <v>0.17100000000000001</v>
      </c>
      <c r="Q24" s="39">
        <v>0.188</v>
      </c>
      <c r="R24" s="40">
        <v>0.16500000000000001</v>
      </c>
      <c r="S24" s="44">
        <v>0.184</v>
      </c>
      <c r="T24" s="39">
        <v>0.185</v>
      </c>
      <c r="U24" s="39">
        <v>0.193</v>
      </c>
      <c r="V24" s="39">
        <v>0.20200000000000001</v>
      </c>
      <c r="W24" s="40">
        <v>0.21</v>
      </c>
      <c r="X24" s="44">
        <v>0.193</v>
      </c>
      <c r="Y24" s="39">
        <v>0.20200000000000001</v>
      </c>
      <c r="Z24" s="39">
        <v>0.16700000000000001</v>
      </c>
      <c r="AA24" s="39">
        <v>0.214</v>
      </c>
      <c r="AB24" s="40">
        <v>0.20799999999999999</v>
      </c>
      <c r="AC24" s="44">
        <v>0.21299999999999999</v>
      </c>
      <c r="AD24" s="39">
        <v>0.21099999999999999</v>
      </c>
      <c r="AE24" s="39">
        <v>0.20599999999999999</v>
      </c>
      <c r="AF24" s="39">
        <v>0.216</v>
      </c>
      <c r="AG24" s="40">
        <v>0.21199999999999999</v>
      </c>
      <c r="AH24" s="44">
        <v>0.21</v>
      </c>
      <c r="AI24" s="39">
        <v>0.19900000000000001</v>
      </c>
      <c r="AJ24" s="39">
        <v>0.191</v>
      </c>
      <c r="AK24" s="39">
        <v>0.20899999999999999</v>
      </c>
      <c r="AL24" s="40">
        <v>0.20599999999999999</v>
      </c>
      <c r="AM24" s="44">
        <v>0.20899999999999999</v>
      </c>
      <c r="AN24" s="39">
        <v>0.187</v>
      </c>
      <c r="AO24" s="39">
        <v>0.19900000000000001</v>
      </c>
      <c r="AP24" s="98">
        <v>0.222</v>
      </c>
      <c r="AQ24" s="40">
        <v>0.21199999999999999</v>
      </c>
      <c r="AR24" s="44">
        <v>0.193</v>
      </c>
      <c r="AS24" s="39">
        <v>0.20499999999999999</v>
      </c>
      <c r="AT24" s="39">
        <v>0.183</v>
      </c>
      <c r="AU24" s="98">
        <v>0.21</v>
      </c>
      <c r="AV24" s="40">
        <v>0.21</v>
      </c>
      <c r="AW24" s="44">
        <v>0.20699999999999999</v>
      </c>
      <c r="AX24" s="39">
        <v>0.21099999999999999</v>
      </c>
      <c r="AY24" s="39">
        <v>0.185</v>
      </c>
      <c r="AZ24" s="39">
        <v>0.187</v>
      </c>
      <c r="BA24" s="40">
        <v>0.19800000000000001</v>
      </c>
      <c r="BB24" s="44">
        <v>0.20499999999999999</v>
      </c>
      <c r="BC24" s="39">
        <v>0.17799999999999999</v>
      </c>
      <c r="BD24" s="39">
        <v>0.184</v>
      </c>
      <c r="BE24" s="39">
        <v>0.20599999999999999</v>
      </c>
      <c r="BF24" s="40">
        <v>0.14399999999999999</v>
      </c>
      <c r="BG24" s="44">
        <v>0.20699999999999999</v>
      </c>
      <c r="BH24" s="39">
        <v>0.20699999999999999</v>
      </c>
      <c r="BI24" s="39">
        <v>0.191</v>
      </c>
      <c r="BJ24" s="39">
        <v>0.191</v>
      </c>
      <c r="BK24" s="99">
        <v>0.221</v>
      </c>
      <c r="BL24" s="44">
        <v>0.214</v>
      </c>
      <c r="BM24" s="40">
        <v>0.19600000000000001</v>
      </c>
      <c r="BN24" s="168">
        <f t="shared" si="12"/>
        <v>0.20180769230769241</v>
      </c>
      <c r="BO24" s="168">
        <f t="shared" si="13"/>
        <v>0.13900000000000001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19</v>
      </c>
      <c r="B25" s="6" t="s">
        <v>9</v>
      </c>
      <c r="C25" s="11" t="s">
        <v>10</v>
      </c>
      <c r="D25" s="48" t="s">
        <v>11</v>
      </c>
      <c r="E25" s="93">
        <v>0.23200000000000001</v>
      </c>
      <c r="F25" s="49">
        <v>0.23599999999999999</v>
      </c>
      <c r="G25" s="49">
        <v>0.23899999999999999</v>
      </c>
      <c r="H25" s="50">
        <v>0.20300000000000001</v>
      </c>
      <c r="I25" s="56" t="s">
        <v>11</v>
      </c>
      <c r="J25" s="49" t="s">
        <v>11</v>
      </c>
      <c r="K25" s="49" t="s">
        <v>11</v>
      </c>
      <c r="L25" s="49" t="s">
        <v>11</v>
      </c>
      <c r="M25" s="50" t="s">
        <v>11</v>
      </c>
      <c r="N25" s="56" t="s">
        <v>11</v>
      </c>
      <c r="O25" s="49" t="s">
        <v>11</v>
      </c>
      <c r="P25" s="49" t="s">
        <v>11</v>
      </c>
      <c r="Q25" s="49" t="s">
        <v>11</v>
      </c>
      <c r="R25" s="50" t="s">
        <v>11</v>
      </c>
      <c r="S25" s="56" t="s">
        <v>11</v>
      </c>
      <c r="T25" s="49" t="s">
        <v>11</v>
      </c>
      <c r="U25" s="49" t="s">
        <v>11</v>
      </c>
      <c r="V25" s="49" t="s">
        <v>11</v>
      </c>
      <c r="W25" s="50" t="s">
        <v>11</v>
      </c>
      <c r="X25" s="56" t="s">
        <v>11</v>
      </c>
      <c r="Y25" s="49" t="s">
        <v>11</v>
      </c>
      <c r="Z25" s="49" t="s">
        <v>11</v>
      </c>
      <c r="AA25" s="49" t="s">
        <v>11</v>
      </c>
      <c r="AB25" s="50" t="s">
        <v>11</v>
      </c>
      <c r="AC25" s="56" t="s">
        <v>11</v>
      </c>
      <c r="AD25" s="49" t="s">
        <v>11</v>
      </c>
      <c r="AE25" s="49" t="s">
        <v>11</v>
      </c>
      <c r="AF25" s="49" t="s">
        <v>11</v>
      </c>
      <c r="AG25" s="50" t="s">
        <v>11</v>
      </c>
      <c r="AH25" s="56" t="s">
        <v>11</v>
      </c>
      <c r="AI25" s="49" t="s">
        <v>11</v>
      </c>
      <c r="AJ25" s="49" t="s">
        <v>11</v>
      </c>
      <c r="AK25" s="49" t="s">
        <v>11</v>
      </c>
      <c r="AL25" s="50" t="s">
        <v>11</v>
      </c>
      <c r="AM25" s="56" t="s">
        <v>11</v>
      </c>
      <c r="AN25" s="49" t="s">
        <v>11</v>
      </c>
      <c r="AO25" s="49" t="s">
        <v>11</v>
      </c>
      <c r="AP25" s="49" t="s">
        <v>11</v>
      </c>
      <c r="AQ25" s="50" t="s">
        <v>11</v>
      </c>
      <c r="AR25" s="56" t="s">
        <v>11</v>
      </c>
      <c r="AS25" s="49" t="s">
        <v>11</v>
      </c>
      <c r="AT25" s="49" t="s">
        <v>11</v>
      </c>
      <c r="AU25" s="49" t="s">
        <v>11</v>
      </c>
      <c r="AV25" s="50" t="s">
        <v>11</v>
      </c>
      <c r="AW25" s="56" t="s">
        <v>11</v>
      </c>
      <c r="AX25" s="49" t="s">
        <v>11</v>
      </c>
      <c r="AY25" s="49" t="s">
        <v>11</v>
      </c>
      <c r="AZ25" s="49" t="s">
        <v>11</v>
      </c>
      <c r="BA25" s="50" t="s">
        <v>11</v>
      </c>
      <c r="BB25" s="56" t="s">
        <v>11</v>
      </c>
      <c r="BC25" s="49" t="s">
        <v>11</v>
      </c>
      <c r="BD25" s="49" t="s">
        <v>11</v>
      </c>
      <c r="BE25" s="49" t="s">
        <v>11</v>
      </c>
      <c r="BF25" s="50" t="s">
        <v>11</v>
      </c>
      <c r="BG25" s="56" t="s">
        <v>11</v>
      </c>
      <c r="BH25" s="49" t="s">
        <v>11</v>
      </c>
      <c r="BI25" s="36">
        <v>0.20899999999999999</v>
      </c>
      <c r="BJ25" s="36">
        <v>0.217</v>
      </c>
      <c r="BK25" s="50">
        <v>0.23400000000000001</v>
      </c>
      <c r="BL25" s="43">
        <v>0.216</v>
      </c>
      <c r="BM25" s="50" t="s">
        <v>11</v>
      </c>
      <c r="BN25" s="166">
        <f t="shared" ref="BN25:BN27" si="14">IFERROR(AVERAGE(D25:BM27),0)</f>
        <v>0.21804166666666666</v>
      </c>
      <c r="BO25" s="166">
        <f t="shared" ref="BO25:BO27" si="15">MIN(D25:BM27)</f>
        <v>0.191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65">
        <v>8.3000000000000004E-2</v>
      </c>
      <c r="B26" s="7" t="s">
        <v>12</v>
      </c>
      <c r="C26" s="11" t="s">
        <v>8</v>
      </c>
      <c r="D26" s="54" t="s">
        <v>11</v>
      </c>
      <c r="E26" s="22">
        <v>0.215</v>
      </c>
      <c r="F26" s="31">
        <v>0.23300000000000001</v>
      </c>
      <c r="G26" s="31">
        <v>0.23300000000000001</v>
      </c>
      <c r="H26" s="55">
        <v>0.21099999999999999</v>
      </c>
      <c r="I26" s="58" t="s">
        <v>11</v>
      </c>
      <c r="J26" s="31" t="s">
        <v>11</v>
      </c>
      <c r="K26" s="31" t="s">
        <v>11</v>
      </c>
      <c r="L26" s="31" t="s">
        <v>11</v>
      </c>
      <c r="M26" s="55" t="s">
        <v>11</v>
      </c>
      <c r="N26" s="58" t="s">
        <v>11</v>
      </c>
      <c r="O26" s="31" t="s">
        <v>11</v>
      </c>
      <c r="P26" s="31" t="s">
        <v>11</v>
      </c>
      <c r="Q26" s="31" t="s">
        <v>11</v>
      </c>
      <c r="R26" s="55" t="s">
        <v>11</v>
      </c>
      <c r="S26" s="58" t="s">
        <v>11</v>
      </c>
      <c r="T26" s="31" t="s">
        <v>11</v>
      </c>
      <c r="U26" s="31" t="s">
        <v>11</v>
      </c>
      <c r="V26" s="31" t="s">
        <v>11</v>
      </c>
      <c r="W26" s="55" t="s">
        <v>11</v>
      </c>
      <c r="X26" s="58" t="s">
        <v>11</v>
      </c>
      <c r="Y26" s="31" t="s">
        <v>11</v>
      </c>
      <c r="Z26" s="31" t="s">
        <v>11</v>
      </c>
      <c r="AA26" s="31" t="s">
        <v>11</v>
      </c>
      <c r="AB26" s="55" t="s">
        <v>11</v>
      </c>
      <c r="AC26" s="58" t="s">
        <v>11</v>
      </c>
      <c r="AD26" s="31" t="s">
        <v>11</v>
      </c>
      <c r="AE26" s="31" t="s">
        <v>11</v>
      </c>
      <c r="AF26" s="31" t="s">
        <v>11</v>
      </c>
      <c r="AG26" s="55" t="s">
        <v>11</v>
      </c>
      <c r="AH26" s="58" t="s">
        <v>11</v>
      </c>
      <c r="AI26" s="31" t="s">
        <v>11</v>
      </c>
      <c r="AJ26" s="31" t="s">
        <v>11</v>
      </c>
      <c r="AK26" s="31" t="s">
        <v>11</v>
      </c>
      <c r="AL26" s="55" t="s">
        <v>11</v>
      </c>
      <c r="AM26" s="58" t="s">
        <v>11</v>
      </c>
      <c r="AN26" s="31" t="s">
        <v>11</v>
      </c>
      <c r="AO26" s="31" t="s">
        <v>11</v>
      </c>
      <c r="AP26" s="31" t="s">
        <v>11</v>
      </c>
      <c r="AQ26" s="55" t="s">
        <v>11</v>
      </c>
      <c r="AR26" s="58" t="s">
        <v>11</v>
      </c>
      <c r="AS26" s="31" t="s">
        <v>11</v>
      </c>
      <c r="AT26" s="31" t="s">
        <v>11</v>
      </c>
      <c r="AU26" s="31" t="s">
        <v>11</v>
      </c>
      <c r="AV26" s="55" t="s">
        <v>11</v>
      </c>
      <c r="AW26" s="58" t="s">
        <v>11</v>
      </c>
      <c r="AX26" s="31" t="s">
        <v>11</v>
      </c>
      <c r="AY26" s="31" t="s">
        <v>11</v>
      </c>
      <c r="AZ26" s="31" t="s">
        <v>11</v>
      </c>
      <c r="BA26" s="55" t="s">
        <v>11</v>
      </c>
      <c r="BB26" s="58" t="s">
        <v>11</v>
      </c>
      <c r="BC26" s="31" t="s">
        <v>11</v>
      </c>
      <c r="BD26" s="31" t="s">
        <v>11</v>
      </c>
      <c r="BE26" s="31" t="s">
        <v>11</v>
      </c>
      <c r="BF26" s="55" t="s">
        <v>11</v>
      </c>
      <c r="BG26" s="58" t="s">
        <v>11</v>
      </c>
      <c r="BH26" s="31" t="s">
        <v>11</v>
      </c>
      <c r="BI26" s="22">
        <v>0.191</v>
      </c>
      <c r="BJ26" s="22">
        <v>0.215</v>
      </c>
      <c r="BK26" s="55">
        <v>0.223</v>
      </c>
      <c r="BL26" s="45">
        <v>0.20300000000000001</v>
      </c>
      <c r="BM26" s="55" t="s">
        <v>11</v>
      </c>
      <c r="BN26" s="167">
        <f t="shared" si="14"/>
        <v>0.21491666666666673</v>
      </c>
      <c r="BO26" s="167">
        <f t="shared" si="15"/>
        <v>0.191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65"/>
      <c r="B27" s="8" t="s">
        <v>25</v>
      </c>
      <c r="C27" s="12" t="s">
        <v>14</v>
      </c>
      <c r="D27" s="51" t="s">
        <v>11</v>
      </c>
      <c r="E27" s="98">
        <v>0.22600000000000001</v>
      </c>
      <c r="F27" s="39">
        <v>0.21299999999999999</v>
      </c>
      <c r="G27" s="98">
        <v>0.223</v>
      </c>
      <c r="H27" s="40">
        <v>0.19900000000000001</v>
      </c>
      <c r="I27" s="57" t="s">
        <v>11</v>
      </c>
      <c r="J27" s="52" t="s">
        <v>11</v>
      </c>
      <c r="K27" s="52" t="s">
        <v>11</v>
      </c>
      <c r="L27" s="52" t="s">
        <v>11</v>
      </c>
      <c r="M27" s="53" t="s">
        <v>11</v>
      </c>
      <c r="N27" s="57" t="s">
        <v>11</v>
      </c>
      <c r="O27" s="52" t="s">
        <v>11</v>
      </c>
      <c r="P27" s="52" t="s">
        <v>11</v>
      </c>
      <c r="Q27" s="52" t="s">
        <v>11</v>
      </c>
      <c r="R27" s="53" t="s">
        <v>11</v>
      </c>
      <c r="S27" s="57" t="s">
        <v>11</v>
      </c>
      <c r="T27" s="52" t="s">
        <v>11</v>
      </c>
      <c r="U27" s="52" t="s">
        <v>11</v>
      </c>
      <c r="V27" s="52" t="s">
        <v>11</v>
      </c>
      <c r="W27" s="53" t="s">
        <v>11</v>
      </c>
      <c r="X27" s="57" t="s">
        <v>11</v>
      </c>
      <c r="Y27" s="52" t="s">
        <v>11</v>
      </c>
      <c r="Z27" s="52" t="s">
        <v>11</v>
      </c>
      <c r="AA27" s="52" t="s">
        <v>11</v>
      </c>
      <c r="AB27" s="53" t="s">
        <v>11</v>
      </c>
      <c r="AC27" s="57" t="s">
        <v>11</v>
      </c>
      <c r="AD27" s="52" t="s">
        <v>11</v>
      </c>
      <c r="AE27" s="52" t="s">
        <v>11</v>
      </c>
      <c r="AF27" s="52" t="s">
        <v>11</v>
      </c>
      <c r="AG27" s="53" t="s">
        <v>11</v>
      </c>
      <c r="AH27" s="57" t="s">
        <v>11</v>
      </c>
      <c r="AI27" s="52" t="s">
        <v>11</v>
      </c>
      <c r="AJ27" s="52" t="s">
        <v>11</v>
      </c>
      <c r="AK27" s="52" t="s">
        <v>11</v>
      </c>
      <c r="AL27" s="53" t="s">
        <v>11</v>
      </c>
      <c r="AM27" s="57" t="s">
        <v>11</v>
      </c>
      <c r="AN27" s="52" t="s">
        <v>11</v>
      </c>
      <c r="AO27" s="52" t="s">
        <v>11</v>
      </c>
      <c r="AP27" s="52" t="s">
        <v>11</v>
      </c>
      <c r="AQ27" s="53" t="s">
        <v>11</v>
      </c>
      <c r="AR27" s="57" t="s">
        <v>11</v>
      </c>
      <c r="AS27" s="52" t="s">
        <v>11</v>
      </c>
      <c r="AT27" s="52" t="s">
        <v>11</v>
      </c>
      <c r="AU27" s="52" t="s">
        <v>11</v>
      </c>
      <c r="AV27" s="53" t="s">
        <v>11</v>
      </c>
      <c r="AW27" s="57" t="s">
        <v>11</v>
      </c>
      <c r="AX27" s="52" t="s">
        <v>11</v>
      </c>
      <c r="AY27" s="52" t="s">
        <v>11</v>
      </c>
      <c r="AZ27" s="52" t="s">
        <v>11</v>
      </c>
      <c r="BA27" s="53" t="s">
        <v>11</v>
      </c>
      <c r="BB27" s="57" t="s">
        <v>11</v>
      </c>
      <c r="BC27" s="52" t="s">
        <v>11</v>
      </c>
      <c r="BD27" s="52" t="s">
        <v>11</v>
      </c>
      <c r="BE27" s="52" t="s">
        <v>11</v>
      </c>
      <c r="BF27" s="53" t="s">
        <v>11</v>
      </c>
      <c r="BG27" s="57" t="s">
        <v>11</v>
      </c>
      <c r="BH27" s="52" t="s">
        <v>11</v>
      </c>
      <c r="BI27" s="39">
        <v>0.20399999999999999</v>
      </c>
      <c r="BJ27" s="39">
        <v>0.22</v>
      </c>
      <c r="BK27" s="53">
        <v>0.22700000000000001</v>
      </c>
      <c r="BL27" s="44">
        <v>0.21099999999999999</v>
      </c>
      <c r="BM27" s="53" t="s">
        <v>11</v>
      </c>
      <c r="BN27" s="168">
        <f t="shared" si="14"/>
        <v>0.21470833333333331</v>
      </c>
      <c r="BO27" s="168">
        <f t="shared" si="15"/>
        <v>0.19500000000000001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19</v>
      </c>
      <c r="B28" s="6" t="s">
        <v>15</v>
      </c>
      <c r="C28" s="11" t="s">
        <v>10</v>
      </c>
      <c r="D28" s="48" t="s">
        <v>11</v>
      </c>
      <c r="E28" s="36">
        <v>0.21199999999999999</v>
      </c>
      <c r="F28" s="93">
        <v>0.22700000000000001</v>
      </c>
      <c r="G28" s="36">
        <v>0.20799999999999999</v>
      </c>
      <c r="H28" s="50">
        <v>0.20499999999999999</v>
      </c>
      <c r="I28" s="56" t="s">
        <v>11</v>
      </c>
      <c r="J28" s="49" t="s">
        <v>11</v>
      </c>
      <c r="K28" s="49" t="s">
        <v>11</v>
      </c>
      <c r="L28" s="49" t="s">
        <v>11</v>
      </c>
      <c r="M28" s="50" t="s">
        <v>11</v>
      </c>
      <c r="N28" s="56" t="s">
        <v>11</v>
      </c>
      <c r="O28" s="49" t="s">
        <v>11</v>
      </c>
      <c r="P28" s="49" t="s">
        <v>11</v>
      </c>
      <c r="Q28" s="49" t="s">
        <v>11</v>
      </c>
      <c r="R28" s="50" t="s">
        <v>11</v>
      </c>
      <c r="S28" s="56" t="s">
        <v>11</v>
      </c>
      <c r="T28" s="49" t="s">
        <v>11</v>
      </c>
      <c r="U28" s="49" t="s">
        <v>11</v>
      </c>
      <c r="V28" s="49" t="s">
        <v>11</v>
      </c>
      <c r="W28" s="50" t="s">
        <v>11</v>
      </c>
      <c r="X28" s="56" t="s">
        <v>11</v>
      </c>
      <c r="Y28" s="49" t="s">
        <v>11</v>
      </c>
      <c r="Z28" s="49" t="s">
        <v>11</v>
      </c>
      <c r="AA28" s="49" t="s">
        <v>11</v>
      </c>
      <c r="AB28" s="50" t="s">
        <v>11</v>
      </c>
      <c r="AC28" s="56" t="s">
        <v>11</v>
      </c>
      <c r="AD28" s="49" t="s">
        <v>11</v>
      </c>
      <c r="AE28" s="49" t="s">
        <v>11</v>
      </c>
      <c r="AF28" s="49" t="s">
        <v>11</v>
      </c>
      <c r="AG28" s="50" t="s">
        <v>11</v>
      </c>
      <c r="AH28" s="56" t="s">
        <v>11</v>
      </c>
      <c r="AI28" s="49" t="s">
        <v>11</v>
      </c>
      <c r="AJ28" s="49" t="s">
        <v>11</v>
      </c>
      <c r="AK28" s="49" t="s">
        <v>11</v>
      </c>
      <c r="AL28" s="50" t="s">
        <v>11</v>
      </c>
      <c r="AM28" s="56" t="s">
        <v>11</v>
      </c>
      <c r="AN28" s="49" t="s">
        <v>11</v>
      </c>
      <c r="AO28" s="49" t="s">
        <v>11</v>
      </c>
      <c r="AP28" s="49" t="s">
        <v>11</v>
      </c>
      <c r="AQ28" s="50" t="s">
        <v>11</v>
      </c>
      <c r="AR28" s="56" t="s">
        <v>11</v>
      </c>
      <c r="AS28" s="49" t="s">
        <v>11</v>
      </c>
      <c r="AT28" s="49" t="s">
        <v>11</v>
      </c>
      <c r="AU28" s="49" t="s">
        <v>11</v>
      </c>
      <c r="AV28" s="50" t="s">
        <v>11</v>
      </c>
      <c r="AW28" s="56" t="s">
        <v>11</v>
      </c>
      <c r="AX28" s="49" t="s">
        <v>11</v>
      </c>
      <c r="AY28" s="49" t="s">
        <v>11</v>
      </c>
      <c r="AZ28" s="49" t="s">
        <v>11</v>
      </c>
      <c r="BA28" s="50" t="s">
        <v>11</v>
      </c>
      <c r="BB28" s="56" t="s">
        <v>11</v>
      </c>
      <c r="BC28" s="49" t="s">
        <v>11</v>
      </c>
      <c r="BD28" s="49" t="s">
        <v>11</v>
      </c>
      <c r="BE28" s="49" t="s">
        <v>11</v>
      </c>
      <c r="BF28" s="50" t="s">
        <v>11</v>
      </c>
      <c r="BG28" s="56" t="s">
        <v>11</v>
      </c>
      <c r="BH28" s="49" t="s">
        <v>11</v>
      </c>
      <c r="BI28" s="36">
        <v>0.214</v>
      </c>
      <c r="BJ28" s="49">
        <v>0.24299999999999999</v>
      </c>
      <c r="BK28" s="37">
        <v>0.19500000000000001</v>
      </c>
      <c r="BL28" s="56">
        <v>0.20699999999999999</v>
      </c>
      <c r="BM28" s="50" t="s">
        <v>11</v>
      </c>
      <c r="BN28" s="166">
        <f t="shared" ref="BN28:BN30" si="16">IFERROR(AVERAGE(D28:BM30),0)</f>
        <v>0.21545833333333339</v>
      </c>
      <c r="BO28" s="166">
        <f t="shared" ref="BO28:BO30" si="17">MIN(D28:BM30)</f>
        <v>0.19500000000000001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65">
        <v>8.3000000000000004E-2</v>
      </c>
      <c r="B29" s="7" t="s">
        <v>12</v>
      </c>
      <c r="C29" s="11" t="s">
        <v>8</v>
      </c>
      <c r="D29" s="54" t="s">
        <v>11</v>
      </c>
      <c r="E29" s="22">
        <v>0.217</v>
      </c>
      <c r="F29" s="95">
        <v>0.22500000000000001</v>
      </c>
      <c r="G29" s="95">
        <v>0.221</v>
      </c>
      <c r="H29" s="42">
        <v>0.222</v>
      </c>
      <c r="I29" s="58" t="s">
        <v>11</v>
      </c>
      <c r="J29" s="31" t="s">
        <v>11</v>
      </c>
      <c r="K29" s="31" t="s">
        <v>11</v>
      </c>
      <c r="L29" s="31" t="s">
        <v>11</v>
      </c>
      <c r="M29" s="55" t="s">
        <v>11</v>
      </c>
      <c r="N29" s="58" t="s">
        <v>11</v>
      </c>
      <c r="O29" s="31" t="s">
        <v>11</v>
      </c>
      <c r="P29" s="31" t="s">
        <v>11</v>
      </c>
      <c r="Q29" s="31" t="s">
        <v>11</v>
      </c>
      <c r="R29" s="55" t="s">
        <v>11</v>
      </c>
      <c r="S29" s="58" t="s">
        <v>11</v>
      </c>
      <c r="T29" s="31" t="s">
        <v>11</v>
      </c>
      <c r="U29" s="31" t="s">
        <v>11</v>
      </c>
      <c r="V29" s="31" t="s">
        <v>11</v>
      </c>
      <c r="W29" s="55" t="s">
        <v>11</v>
      </c>
      <c r="X29" s="58" t="s">
        <v>11</v>
      </c>
      <c r="Y29" s="31" t="s">
        <v>11</v>
      </c>
      <c r="Z29" s="31" t="s">
        <v>11</v>
      </c>
      <c r="AA29" s="31" t="s">
        <v>11</v>
      </c>
      <c r="AB29" s="55" t="s">
        <v>11</v>
      </c>
      <c r="AC29" s="58" t="s">
        <v>11</v>
      </c>
      <c r="AD29" s="31" t="s">
        <v>11</v>
      </c>
      <c r="AE29" s="31" t="s">
        <v>11</v>
      </c>
      <c r="AF29" s="31" t="s">
        <v>11</v>
      </c>
      <c r="AG29" s="55" t="s">
        <v>11</v>
      </c>
      <c r="AH29" s="58" t="s">
        <v>11</v>
      </c>
      <c r="AI29" s="31" t="s">
        <v>11</v>
      </c>
      <c r="AJ29" s="31" t="s">
        <v>11</v>
      </c>
      <c r="AK29" s="31" t="s">
        <v>11</v>
      </c>
      <c r="AL29" s="55" t="s">
        <v>11</v>
      </c>
      <c r="AM29" s="58" t="s">
        <v>11</v>
      </c>
      <c r="AN29" s="31" t="s">
        <v>11</v>
      </c>
      <c r="AO29" s="31" t="s">
        <v>11</v>
      </c>
      <c r="AP29" s="31" t="s">
        <v>11</v>
      </c>
      <c r="AQ29" s="55" t="s">
        <v>11</v>
      </c>
      <c r="AR29" s="58" t="s">
        <v>11</v>
      </c>
      <c r="AS29" s="31" t="s">
        <v>11</v>
      </c>
      <c r="AT29" s="31" t="s">
        <v>11</v>
      </c>
      <c r="AU29" s="31" t="s">
        <v>11</v>
      </c>
      <c r="AV29" s="55" t="s">
        <v>11</v>
      </c>
      <c r="AW29" s="58" t="s">
        <v>11</v>
      </c>
      <c r="AX29" s="31" t="s">
        <v>11</v>
      </c>
      <c r="AY29" s="31" t="s">
        <v>11</v>
      </c>
      <c r="AZ29" s="31" t="s">
        <v>11</v>
      </c>
      <c r="BA29" s="55" t="s">
        <v>11</v>
      </c>
      <c r="BB29" s="58" t="s">
        <v>11</v>
      </c>
      <c r="BC29" s="31" t="s">
        <v>11</v>
      </c>
      <c r="BD29" s="31" t="s">
        <v>11</v>
      </c>
      <c r="BE29" s="31" t="s">
        <v>11</v>
      </c>
      <c r="BF29" s="55" t="s">
        <v>11</v>
      </c>
      <c r="BG29" s="58" t="s">
        <v>11</v>
      </c>
      <c r="BH29" s="31" t="s">
        <v>11</v>
      </c>
      <c r="BI29" s="22">
        <v>0.19900000000000001</v>
      </c>
      <c r="BJ29" s="22">
        <v>0.19800000000000001</v>
      </c>
      <c r="BK29" s="96">
        <v>0.22</v>
      </c>
      <c r="BL29" s="45">
        <v>0.217</v>
      </c>
      <c r="BM29" s="55" t="s">
        <v>11</v>
      </c>
      <c r="BN29" s="167">
        <f t="shared" si="16"/>
        <v>0.21687499999999996</v>
      </c>
      <c r="BO29" s="167">
        <f t="shared" si="17"/>
        <v>0.19800000000000001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65"/>
      <c r="B30" s="8" t="s">
        <v>25</v>
      </c>
      <c r="C30" s="12" t="s">
        <v>14</v>
      </c>
      <c r="D30" s="51" t="s">
        <v>11</v>
      </c>
      <c r="E30" s="98">
        <v>0.217</v>
      </c>
      <c r="F30" s="39">
        <v>0.219</v>
      </c>
      <c r="G30" s="39">
        <v>0.222</v>
      </c>
      <c r="H30" s="99">
        <v>0.223</v>
      </c>
      <c r="I30" s="57" t="s">
        <v>11</v>
      </c>
      <c r="J30" s="52" t="s">
        <v>11</v>
      </c>
      <c r="K30" s="52" t="s">
        <v>11</v>
      </c>
      <c r="L30" s="52" t="s">
        <v>11</v>
      </c>
      <c r="M30" s="53" t="s">
        <v>11</v>
      </c>
      <c r="N30" s="57" t="s">
        <v>11</v>
      </c>
      <c r="O30" s="52" t="s">
        <v>11</v>
      </c>
      <c r="P30" s="52" t="s">
        <v>11</v>
      </c>
      <c r="Q30" s="52" t="s">
        <v>11</v>
      </c>
      <c r="R30" s="53" t="s">
        <v>11</v>
      </c>
      <c r="S30" s="57" t="s">
        <v>11</v>
      </c>
      <c r="T30" s="52" t="s">
        <v>11</v>
      </c>
      <c r="U30" s="52" t="s">
        <v>11</v>
      </c>
      <c r="V30" s="52" t="s">
        <v>11</v>
      </c>
      <c r="W30" s="53" t="s">
        <v>11</v>
      </c>
      <c r="X30" s="57" t="s">
        <v>11</v>
      </c>
      <c r="Y30" s="52" t="s">
        <v>11</v>
      </c>
      <c r="Z30" s="52" t="s">
        <v>11</v>
      </c>
      <c r="AA30" s="52" t="s">
        <v>11</v>
      </c>
      <c r="AB30" s="53" t="s">
        <v>11</v>
      </c>
      <c r="AC30" s="57" t="s">
        <v>11</v>
      </c>
      <c r="AD30" s="52" t="s">
        <v>11</v>
      </c>
      <c r="AE30" s="52" t="s">
        <v>11</v>
      </c>
      <c r="AF30" s="52" t="s">
        <v>11</v>
      </c>
      <c r="AG30" s="53" t="s">
        <v>11</v>
      </c>
      <c r="AH30" s="57" t="s">
        <v>11</v>
      </c>
      <c r="AI30" s="52" t="s">
        <v>11</v>
      </c>
      <c r="AJ30" s="52" t="s">
        <v>11</v>
      </c>
      <c r="AK30" s="52" t="s">
        <v>11</v>
      </c>
      <c r="AL30" s="53" t="s">
        <v>11</v>
      </c>
      <c r="AM30" s="57" t="s">
        <v>11</v>
      </c>
      <c r="AN30" s="52" t="s">
        <v>11</v>
      </c>
      <c r="AO30" s="52" t="s">
        <v>11</v>
      </c>
      <c r="AP30" s="52" t="s">
        <v>11</v>
      </c>
      <c r="AQ30" s="53" t="s">
        <v>11</v>
      </c>
      <c r="AR30" s="57" t="s">
        <v>11</v>
      </c>
      <c r="AS30" s="52" t="s">
        <v>11</v>
      </c>
      <c r="AT30" s="52" t="s">
        <v>11</v>
      </c>
      <c r="AU30" s="52" t="s">
        <v>11</v>
      </c>
      <c r="AV30" s="53" t="s">
        <v>11</v>
      </c>
      <c r="AW30" s="57" t="s">
        <v>11</v>
      </c>
      <c r="AX30" s="52" t="s">
        <v>11</v>
      </c>
      <c r="AY30" s="52" t="s">
        <v>11</v>
      </c>
      <c r="AZ30" s="52" t="s">
        <v>11</v>
      </c>
      <c r="BA30" s="53" t="s">
        <v>11</v>
      </c>
      <c r="BB30" s="57" t="s">
        <v>11</v>
      </c>
      <c r="BC30" s="52" t="s">
        <v>11</v>
      </c>
      <c r="BD30" s="52" t="s">
        <v>11</v>
      </c>
      <c r="BE30" s="52" t="s">
        <v>11</v>
      </c>
      <c r="BF30" s="53" t="s">
        <v>11</v>
      </c>
      <c r="BG30" s="57" t="s">
        <v>11</v>
      </c>
      <c r="BH30" s="52" t="s">
        <v>11</v>
      </c>
      <c r="BI30" s="52">
        <v>0.218</v>
      </c>
      <c r="BJ30" s="39">
        <v>0.218</v>
      </c>
      <c r="BK30" s="40">
        <v>0.20799999999999999</v>
      </c>
      <c r="BL30" s="44">
        <v>0.216</v>
      </c>
      <c r="BM30" s="53" t="s">
        <v>11</v>
      </c>
      <c r="BN30" s="168">
        <f t="shared" si="16"/>
        <v>0.2171666666666667</v>
      </c>
      <c r="BO30" s="168">
        <f t="shared" si="17"/>
        <v>0.20200000000000001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19</v>
      </c>
      <c r="B31" s="6" t="s">
        <v>26</v>
      </c>
      <c r="C31" s="11" t="s">
        <v>10</v>
      </c>
      <c r="D31" s="48" t="s">
        <v>11</v>
      </c>
      <c r="E31" s="36">
        <v>0.21</v>
      </c>
      <c r="F31" s="49">
        <v>0.23</v>
      </c>
      <c r="G31" s="49">
        <v>0.223</v>
      </c>
      <c r="H31" s="37">
        <v>0.20200000000000001</v>
      </c>
      <c r="I31" s="56" t="s">
        <v>11</v>
      </c>
      <c r="J31" s="49" t="s">
        <v>11</v>
      </c>
      <c r="K31" s="49" t="s">
        <v>11</v>
      </c>
      <c r="L31" s="49" t="s">
        <v>11</v>
      </c>
      <c r="M31" s="50" t="s">
        <v>11</v>
      </c>
      <c r="N31" s="56" t="s">
        <v>11</v>
      </c>
      <c r="O31" s="49" t="s">
        <v>11</v>
      </c>
      <c r="P31" s="49" t="s">
        <v>11</v>
      </c>
      <c r="Q31" s="49" t="s">
        <v>11</v>
      </c>
      <c r="R31" s="50" t="s">
        <v>11</v>
      </c>
      <c r="S31" s="56" t="s">
        <v>11</v>
      </c>
      <c r="T31" s="49" t="s">
        <v>11</v>
      </c>
      <c r="U31" s="49" t="s">
        <v>11</v>
      </c>
      <c r="V31" s="49" t="s">
        <v>11</v>
      </c>
      <c r="W31" s="50" t="s">
        <v>11</v>
      </c>
      <c r="X31" s="56" t="s">
        <v>11</v>
      </c>
      <c r="Y31" s="49" t="s">
        <v>11</v>
      </c>
      <c r="Z31" s="49" t="s">
        <v>11</v>
      </c>
      <c r="AA31" s="49" t="s">
        <v>11</v>
      </c>
      <c r="AB31" s="50" t="s">
        <v>11</v>
      </c>
      <c r="AC31" s="56" t="s">
        <v>11</v>
      </c>
      <c r="AD31" s="49" t="s">
        <v>11</v>
      </c>
      <c r="AE31" s="49" t="s">
        <v>11</v>
      </c>
      <c r="AF31" s="49" t="s">
        <v>11</v>
      </c>
      <c r="AG31" s="50" t="s">
        <v>11</v>
      </c>
      <c r="AH31" s="56" t="s">
        <v>11</v>
      </c>
      <c r="AI31" s="49" t="s">
        <v>11</v>
      </c>
      <c r="AJ31" s="49" t="s">
        <v>11</v>
      </c>
      <c r="AK31" s="49" t="s">
        <v>11</v>
      </c>
      <c r="AL31" s="50" t="s">
        <v>11</v>
      </c>
      <c r="AM31" s="56" t="s">
        <v>11</v>
      </c>
      <c r="AN31" s="49" t="s">
        <v>11</v>
      </c>
      <c r="AO31" s="49" t="s">
        <v>11</v>
      </c>
      <c r="AP31" s="49" t="s">
        <v>11</v>
      </c>
      <c r="AQ31" s="50" t="s">
        <v>11</v>
      </c>
      <c r="AR31" s="56" t="s">
        <v>11</v>
      </c>
      <c r="AS31" s="49" t="s">
        <v>11</v>
      </c>
      <c r="AT31" s="49" t="s">
        <v>11</v>
      </c>
      <c r="AU31" s="49" t="s">
        <v>11</v>
      </c>
      <c r="AV31" s="50" t="s">
        <v>11</v>
      </c>
      <c r="AW31" s="56" t="s">
        <v>11</v>
      </c>
      <c r="AX31" s="49" t="s">
        <v>11</v>
      </c>
      <c r="AY31" s="49" t="s">
        <v>11</v>
      </c>
      <c r="AZ31" s="49" t="s">
        <v>11</v>
      </c>
      <c r="BA31" s="50" t="s">
        <v>11</v>
      </c>
      <c r="BB31" s="56" t="s">
        <v>11</v>
      </c>
      <c r="BC31" s="49" t="s">
        <v>11</v>
      </c>
      <c r="BD31" s="49" t="s">
        <v>11</v>
      </c>
      <c r="BE31" s="49" t="s">
        <v>11</v>
      </c>
      <c r="BF31" s="50" t="s">
        <v>11</v>
      </c>
      <c r="BG31" s="56" t="s">
        <v>11</v>
      </c>
      <c r="BH31" s="49" t="s">
        <v>11</v>
      </c>
      <c r="BI31" s="36">
        <v>0.20399999999999999</v>
      </c>
      <c r="BJ31" s="93">
        <v>0.23300000000000001</v>
      </c>
      <c r="BK31" s="50">
        <v>0.23300000000000001</v>
      </c>
      <c r="BL31" s="43">
        <v>0.21</v>
      </c>
      <c r="BM31" s="50" t="s">
        <v>11</v>
      </c>
      <c r="BN31" s="166">
        <f t="shared" ref="BN31:BN33" si="18">IFERROR(AVERAGE(D31:BM33),0)</f>
        <v>0.21404166666666671</v>
      </c>
      <c r="BO31" s="166">
        <f t="shared" ref="BO31:BO33" si="19">MIN(D31:BM33)</f>
        <v>0.17599999999999999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65">
        <v>8.3000000000000004E-2</v>
      </c>
      <c r="B32" s="7" t="s">
        <v>12</v>
      </c>
      <c r="C32" s="11" t="s">
        <v>8</v>
      </c>
      <c r="D32" s="54" t="s">
        <v>11</v>
      </c>
      <c r="E32" s="22">
        <v>0.21</v>
      </c>
      <c r="F32" s="31">
        <v>0.22800000000000001</v>
      </c>
      <c r="G32" s="31">
        <v>0.219</v>
      </c>
      <c r="H32" s="55">
        <v>0.21299999999999999</v>
      </c>
      <c r="I32" s="58" t="s">
        <v>11</v>
      </c>
      <c r="J32" s="31" t="s">
        <v>11</v>
      </c>
      <c r="K32" s="31" t="s">
        <v>11</v>
      </c>
      <c r="L32" s="31" t="s">
        <v>11</v>
      </c>
      <c r="M32" s="55" t="s">
        <v>11</v>
      </c>
      <c r="N32" s="58" t="s">
        <v>11</v>
      </c>
      <c r="O32" s="31" t="s">
        <v>11</v>
      </c>
      <c r="P32" s="31" t="s">
        <v>11</v>
      </c>
      <c r="Q32" s="31" t="s">
        <v>11</v>
      </c>
      <c r="R32" s="55" t="s">
        <v>11</v>
      </c>
      <c r="S32" s="58" t="s">
        <v>11</v>
      </c>
      <c r="T32" s="31" t="s">
        <v>11</v>
      </c>
      <c r="U32" s="31" t="s">
        <v>11</v>
      </c>
      <c r="V32" s="31" t="s">
        <v>11</v>
      </c>
      <c r="W32" s="55" t="s">
        <v>11</v>
      </c>
      <c r="X32" s="58" t="s">
        <v>11</v>
      </c>
      <c r="Y32" s="31" t="s">
        <v>11</v>
      </c>
      <c r="Z32" s="31" t="s">
        <v>11</v>
      </c>
      <c r="AA32" s="31" t="s">
        <v>11</v>
      </c>
      <c r="AB32" s="55" t="s">
        <v>11</v>
      </c>
      <c r="AC32" s="58" t="s">
        <v>11</v>
      </c>
      <c r="AD32" s="31" t="s">
        <v>11</v>
      </c>
      <c r="AE32" s="31" t="s">
        <v>11</v>
      </c>
      <c r="AF32" s="31" t="s">
        <v>11</v>
      </c>
      <c r="AG32" s="55" t="s">
        <v>11</v>
      </c>
      <c r="AH32" s="58" t="s">
        <v>11</v>
      </c>
      <c r="AI32" s="31" t="s">
        <v>11</v>
      </c>
      <c r="AJ32" s="31" t="s">
        <v>11</v>
      </c>
      <c r="AK32" s="31" t="s">
        <v>11</v>
      </c>
      <c r="AL32" s="55" t="s">
        <v>11</v>
      </c>
      <c r="AM32" s="58" t="s">
        <v>11</v>
      </c>
      <c r="AN32" s="31" t="s">
        <v>11</v>
      </c>
      <c r="AO32" s="31" t="s">
        <v>11</v>
      </c>
      <c r="AP32" s="31" t="s">
        <v>11</v>
      </c>
      <c r="AQ32" s="55" t="s">
        <v>11</v>
      </c>
      <c r="AR32" s="58" t="s">
        <v>11</v>
      </c>
      <c r="AS32" s="31" t="s">
        <v>11</v>
      </c>
      <c r="AT32" s="31" t="s">
        <v>11</v>
      </c>
      <c r="AU32" s="31" t="s">
        <v>11</v>
      </c>
      <c r="AV32" s="55" t="s">
        <v>11</v>
      </c>
      <c r="AW32" s="58" t="s">
        <v>11</v>
      </c>
      <c r="AX32" s="31" t="s">
        <v>11</v>
      </c>
      <c r="AY32" s="31" t="s">
        <v>11</v>
      </c>
      <c r="AZ32" s="31" t="s">
        <v>11</v>
      </c>
      <c r="BA32" s="55" t="s">
        <v>11</v>
      </c>
      <c r="BB32" s="58" t="s">
        <v>11</v>
      </c>
      <c r="BC32" s="31" t="s">
        <v>11</v>
      </c>
      <c r="BD32" s="31" t="s">
        <v>11</v>
      </c>
      <c r="BE32" s="31" t="s">
        <v>11</v>
      </c>
      <c r="BF32" s="55" t="s">
        <v>11</v>
      </c>
      <c r="BG32" s="58" t="s">
        <v>11</v>
      </c>
      <c r="BH32" s="31" t="s">
        <v>11</v>
      </c>
      <c r="BI32" s="22">
        <v>0.215</v>
      </c>
      <c r="BJ32" s="22">
        <v>0.20799999999999999</v>
      </c>
      <c r="BK32" s="55">
        <v>0.22900000000000001</v>
      </c>
      <c r="BL32" s="58">
        <v>0.20399999999999999</v>
      </c>
      <c r="BM32" s="55" t="s">
        <v>11</v>
      </c>
      <c r="BN32" s="167">
        <f t="shared" si="18"/>
        <v>0.19650000000000004</v>
      </c>
      <c r="BO32" s="167">
        <f t="shared" si="19"/>
        <v>0.13700000000000001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65"/>
      <c r="B33" s="8" t="s">
        <v>25</v>
      </c>
      <c r="C33" s="12" t="s">
        <v>14</v>
      </c>
      <c r="D33" s="51" t="s">
        <v>11</v>
      </c>
      <c r="E33" s="39">
        <v>0.19400000000000001</v>
      </c>
      <c r="F33" s="52">
        <v>0.22800000000000001</v>
      </c>
      <c r="G33" s="39">
        <v>0.218</v>
      </c>
      <c r="H33" s="40">
        <v>0.20599999999999999</v>
      </c>
      <c r="I33" s="57" t="s">
        <v>11</v>
      </c>
      <c r="J33" s="52" t="s">
        <v>11</v>
      </c>
      <c r="K33" s="52" t="s">
        <v>11</v>
      </c>
      <c r="L33" s="52" t="s">
        <v>11</v>
      </c>
      <c r="M33" s="53" t="s">
        <v>11</v>
      </c>
      <c r="N33" s="57" t="s">
        <v>11</v>
      </c>
      <c r="O33" s="52" t="s">
        <v>11</v>
      </c>
      <c r="P33" s="52" t="s">
        <v>11</v>
      </c>
      <c r="Q33" s="52" t="s">
        <v>11</v>
      </c>
      <c r="R33" s="53" t="s">
        <v>11</v>
      </c>
      <c r="S33" s="57" t="s">
        <v>11</v>
      </c>
      <c r="T33" s="52" t="s">
        <v>11</v>
      </c>
      <c r="U33" s="52" t="s">
        <v>11</v>
      </c>
      <c r="V33" s="52" t="s">
        <v>11</v>
      </c>
      <c r="W33" s="53" t="s">
        <v>11</v>
      </c>
      <c r="X33" s="57" t="s">
        <v>11</v>
      </c>
      <c r="Y33" s="52" t="s">
        <v>11</v>
      </c>
      <c r="Z33" s="52" t="s">
        <v>11</v>
      </c>
      <c r="AA33" s="52" t="s">
        <v>11</v>
      </c>
      <c r="AB33" s="53" t="s">
        <v>11</v>
      </c>
      <c r="AC33" s="57" t="s">
        <v>11</v>
      </c>
      <c r="AD33" s="52" t="s">
        <v>11</v>
      </c>
      <c r="AE33" s="52" t="s">
        <v>11</v>
      </c>
      <c r="AF33" s="52" t="s">
        <v>11</v>
      </c>
      <c r="AG33" s="53" t="s">
        <v>11</v>
      </c>
      <c r="AH33" s="57" t="s">
        <v>11</v>
      </c>
      <c r="AI33" s="52" t="s">
        <v>11</v>
      </c>
      <c r="AJ33" s="52" t="s">
        <v>11</v>
      </c>
      <c r="AK33" s="52" t="s">
        <v>11</v>
      </c>
      <c r="AL33" s="53" t="s">
        <v>11</v>
      </c>
      <c r="AM33" s="57" t="s">
        <v>11</v>
      </c>
      <c r="AN33" s="52" t="s">
        <v>11</v>
      </c>
      <c r="AO33" s="52" t="s">
        <v>11</v>
      </c>
      <c r="AP33" s="52" t="s">
        <v>11</v>
      </c>
      <c r="AQ33" s="53" t="s">
        <v>11</v>
      </c>
      <c r="AR33" s="57" t="s">
        <v>11</v>
      </c>
      <c r="AS33" s="52" t="s">
        <v>11</v>
      </c>
      <c r="AT33" s="52" t="s">
        <v>11</v>
      </c>
      <c r="AU33" s="52" t="s">
        <v>11</v>
      </c>
      <c r="AV33" s="53" t="s">
        <v>11</v>
      </c>
      <c r="AW33" s="57" t="s">
        <v>11</v>
      </c>
      <c r="AX33" s="52" t="s">
        <v>11</v>
      </c>
      <c r="AY33" s="52" t="s">
        <v>11</v>
      </c>
      <c r="AZ33" s="52" t="s">
        <v>11</v>
      </c>
      <c r="BA33" s="53" t="s">
        <v>11</v>
      </c>
      <c r="BB33" s="57" t="s">
        <v>11</v>
      </c>
      <c r="BC33" s="52" t="s">
        <v>11</v>
      </c>
      <c r="BD33" s="52" t="s">
        <v>11</v>
      </c>
      <c r="BE33" s="52" t="s">
        <v>11</v>
      </c>
      <c r="BF33" s="53" t="s">
        <v>11</v>
      </c>
      <c r="BG33" s="57" t="s">
        <v>11</v>
      </c>
      <c r="BH33" s="52" t="s">
        <v>11</v>
      </c>
      <c r="BI33" s="39">
        <v>0.21099999999999999</v>
      </c>
      <c r="BJ33" s="39">
        <v>0.223</v>
      </c>
      <c r="BK33" s="40">
        <v>0.21</v>
      </c>
      <c r="BL33" s="44">
        <v>0.17599999999999999</v>
      </c>
      <c r="BM33" s="53" t="s">
        <v>11</v>
      </c>
      <c r="BN33" s="168">
        <f t="shared" si="18"/>
        <v>0.19481818181818181</v>
      </c>
      <c r="BO33" s="168">
        <f t="shared" si="19"/>
        <v>0.13700000000000001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19</v>
      </c>
      <c r="B34" s="6"/>
      <c r="C34" s="11" t="s">
        <v>10</v>
      </c>
      <c r="D34" s="35">
        <v>0.2</v>
      </c>
      <c r="E34" s="36">
        <v>0.19500000000000001</v>
      </c>
      <c r="F34" s="36">
        <v>0.20899999999999999</v>
      </c>
      <c r="G34" s="36">
        <v>0.22</v>
      </c>
      <c r="H34" s="37">
        <v>0.19600000000000001</v>
      </c>
      <c r="I34" s="43">
        <v>0.2</v>
      </c>
      <c r="J34" s="93">
        <v>0.224</v>
      </c>
      <c r="K34" s="36">
        <v>0.183</v>
      </c>
      <c r="L34" s="36">
        <v>0.21</v>
      </c>
      <c r="M34" s="37">
        <v>0.19400000000000001</v>
      </c>
      <c r="N34" s="43">
        <v>0.17599999999999999</v>
      </c>
      <c r="O34" s="36">
        <v>0.17299999999999999</v>
      </c>
      <c r="P34" s="36">
        <v>0.183</v>
      </c>
      <c r="Q34" s="36">
        <v>0.17899999999999999</v>
      </c>
      <c r="R34" s="37">
        <v>0.16400000000000001</v>
      </c>
      <c r="S34" s="43">
        <v>0.17699999999999999</v>
      </c>
      <c r="T34" s="36">
        <v>0.159</v>
      </c>
      <c r="U34" s="36">
        <v>0.19700000000000001</v>
      </c>
      <c r="V34" s="36">
        <v>0.17699999999999999</v>
      </c>
      <c r="W34" s="37">
        <v>0.188</v>
      </c>
      <c r="X34" s="43">
        <v>0.13700000000000001</v>
      </c>
      <c r="Y34" s="36">
        <v>0.19600000000000001</v>
      </c>
      <c r="Z34" s="36">
        <v>0.19800000000000001</v>
      </c>
      <c r="AA34" s="36">
        <v>0.214</v>
      </c>
      <c r="AB34" s="37">
        <v>0.188</v>
      </c>
      <c r="AC34" s="43">
        <v>0.21299999999999999</v>
      </c>
      <c r="AD34" s="36">
        <v>0.20699999999999999</v>
      </c>
      <c r="AE34" s="36">
        <v>0.21099999999999999</v>
      </c>
      <c r="AF34" s="36">
        <v>0.151</v>
      </c>
      <c r="AG34" s="37">
        <v>0.20300000000000001</v>
      </c>
      <c r="AH34" s="43">
        <v>0.221</v>
      </c>
      <c r="AI34" s="36">
        <v>0.21199999999999999</v>
      </c>
      <c r="AJ34" s="36">
        <v>0.215</v>
      </c>
      <c r="AK34" s="36">
        <v>0.22</v>
      </c>
      <c r="AL34" s="37">
        <v>0.19600000000000001</v>
      </c>
      <c r="AM34" s="43">
        <v>0.19400000000000001</v>
      </c>
      <c r="AN34" s="36">
        <v>0.19800000000000001</v>
      </c>
      <c r="AO34" s="93">
        <v>0.21</v>
      </c>
      <c r="AP34" s="36">
        <v>0.186</v>
      </c>
      <c r="AQ34" s="37">
        <v>0.17499999999999999</v>
      </c>
      <c r="AR34" s="43">
        <v>0.187</v>
      </c>
      <c r="AS34" s="36">
        <v>0.17599999999999999</v>
      </c>
      <c r="AT34" s="36">
        <v>0.154</v>
      </c>
      <c r="AU34" s="36">
        <v>0.17699999999999999</v>
      </c>
      <c r="AV34" s="37">
        <v>0.19400000000000001</v>
      </c>
      <c r="AW34" s="43">
        <v>0.185</v>
      </c>
      <c r="AX34" s="36">
        <v>0.19900000000000001</v>
      </c>
      <c r="AY34" s="36">
        <v>0.192</v>
      </c>
      <c r="AZ34" s="36">
        <v>0.19800000000000001</v>
      </c>
      <c r="BA34" s="37">
        <v>0.17499999999999999</v>
      </c>
      <c r="BB34" s="43">
        <v>0.182</v>
      </c>
      <c r="BC34" s="36">
        <v>0.2</v>
      </c>
      <c r="BD34" s="36">
        <v>0.19400000000000001</v>
      </c>
      <c r="BE34" s="36">
        <v>0.18</v>
      </c>
      <c r="BF34" s="37">
        <v>0.193</v>
      </c>
      <c r="BG34" s="43">
        <v>0.20899999999999999</v>
      </c>
      <c r="BH34" s="36">
        <v>0.186</v>
      </c>
      <c r="BI34" s="36">
        <v>0.19600000000000001</v>
      </c>
      <c r="BJ34" s="36">
        <v>0.2</v>
      </c>
      <c r="BK34" s="37">
        <v>0.19900000000000001</v>
      </c>
      <c r="BL34" s="43">
        <v>0.21099999999999999</v>
      </c>
      <c r="BM34" s="37">
        <v>0.19900000000000001</v>
      </c>
      <c r="BN34" s="166">
        <f t="shared" ref="BN34:BN36" si="20">IFERROR(AVERAGE(D34:BM36),0)</f>
        <v>0.19463978494623668</v>
      </c>
      <c r="BO34" s="166">
        <f t="shared" ref="BO34:BO36" si="21">MIN(D34:BM36)</f>
        <v>0.13700000000000001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65">
        <v>8.3000000000000004E-2</v>
      </c>
      <c r="B35" s="7" t="s">
        <v>27</v>
      </c>
      <c r="C35" s="11" t="s">
        <v>8</v>
      </c>
      <c r="D35" s="41">
        <v>0.183</v>
      </c>
      <c r="E35" s="22">
        <v>0.191</v>
      </c>
      <c r="F35" s="22">
        <v>0.221</v>
      </c>
      <c r="G35" s="95">
        <v>0.222</v>
      </c>
      <c r="H35" s="42">
        <v>0.192</v>
      </c>
      <c r="I35" s="45">
        <v>0.20300000000000001</v>
      </c>
      <c r="J35" s="22">
        <v>0.19400000000000001</v>
      </c>
      <c r="K35" s="22">
        <v>0.189</v>
      </c>
      <c r="L35" s="22">
        <v>0.20200000000000001</v>
      </c>
      <c r="M35" s="42">
        <v>0.188</v>
      </c>
      <c r="N35" s="94">
        <v>0.20699999999999999</v>
      </c>
      <c r="O35" s="22">
        <v>0.18099999999999999</v>
      </c>
      <c r="P35" s="22">
        <v>0.17299999999999999</v>
      </c>
      <c r="Q35" s="22">
        <v>0.16600000000000001</v>
      </c>
      <c r="R35" s="42">
        <v>0.191</v>
      </c>
      <c r="S35" s="45">
        <v>0.185</v>
      </c>
      <c r="T35" s="22">
        <v>0.16800000000000001</v>
      </c>
      <c r="U35" s="95">
        <v>0.21</v>
      </c>
      <c r="V35" s="22">
        <v>0.186</v>
      </c>
      <c r="W35" s="42">
        <v>0.17899999999999999</v>
      </c>
      <c r="X35" s="45">
        <v>0.187</v>
      </c>
      <c r="Y35" s="22">
        <v>0.20499999999999999</v>
      </c>
      <c r="Z35" s="22">
        <v>0.21199999999999999</v>
      </c>
      <c r="AA35" s="22">
        <v>0.20200000000000001</v>
      </c>
      <c r="AB35" s="42">
        <v>0.183</v>
      </c>
      <c r="AC35" s="45">
        <v>0.221</v>
      </c>
      <c r="AD35" s="22">
        <v>0.20899999999999999</v>
      </c>
      <c r="AE35" s="95">
        <v>0.22</v>
      </c>
      <c r="AF35" s="22">
        <v>0.20899999999999999</v>
      </c>
      <c r="AG35" s="42">
        <v>0.187</v>
      </c>
      <c r="AH35" s="45">
        <v>0.218</v>
      </c>
      <c r="AI35" s="22">
        <v>0.20899999999999999</v>
      </c>
      <c r="AJ35" s="22">
        <v>0.20499999999999999</v>
      </c>
      <c r="AK35" s="22">
        <v>0.221</v>
      </c>
      <c r="AL35" s="42">
        <v>0.19400000000000001</v>
      </c>
      <c r="AM35" s="45">
        <v>0.185</v>
      </c>
      <c r="AN35" s="22">
        <v>0.186</v>
      </c>
      <c r="AO35" s="22">
        <v>0.20100000000000001</v>
      </c>
      <c r="AP35" s="22">
        <v>0.17299999999999999</v>
      </c>
      <c r="AQ35" s="42">
        <v>0.16900000000000001</v>
      </c>
      <c r="AR35" s="45">
        <v>0.19800000000000001</v>
      </c>
      <c r="AS35" s="22">
        <v>0.192</v>
      </c>
      <c r="AT35" s="22">
        <v>0.19800000000000001</v>
      </c>
      <c r="AU35" s="22">
        <v>0.193</v>
      </c>
      <c r="AV35" s="42">
        <v>0.17399999999999999</v>
      </c>
      <c r="AW35" s="45">
        <v>0.20499999999999999</v>
      </c>
      <c r="AX35" s="22">
        <v>0.19400000000000001</v>
      </c>
      <c r="AY35" s="22">
        <v>0.18</v>
      </c>
      <c r="AZ35" s="22">
        <v>0.17699999999999999</v>
      </c>
      <c r="BA35" s="42">
        <v>0.189</v>
      </c>
      <c r="BB35" s="45">
        <v>0.18</v>
      </c>
      <c r="BC35" s="22">
        <v>0.192</v>
      </c>
      <c r="BD35" s="22">
        <v>0.19900000000000001</v>
      </c>
      <c r="BE35" s="22">
        <v>0.16600000000000001</v>
      </c>
      <c r="BF35" s="42">
        <v>0.192</v>
      </c>
      <c r="BG35" s="45">
        <v>0.2</v>
      </c>
      <c r="BH35" s="22">
        <v>0.21</v>
      </c>
      <c r="BI35" s="22">
        <v>0.218</v>
      </c>
      <c r="BJ35" s="22">
        <v>0.20100000000000001</v>
      </c>
      <c r="BK35" s="42">
        <v>0.21299999999999999</v>
      </c>
      <c r="BL35" s="45">
        <v>0.20200000000000001</v>
      </c>
      <c r="BM35" s="42">
        <v>0.215</v>
      </c>
      <c r="BN35" s="167">
        <f t="shared" si="20"/>
        <v>0.19694086021505378</v>
      </c>
      <c r="BO35" s="167">
        <f t="shared" si="21"/>
        <v>9.2999999999999999E-2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65"/>
      <c r="B36" s="8"/>
      <c r="C36" s="12" t="s">
        <v>14</v>
      </c>
      <c r="D36" s="38">
        <v>0.19900000000000001</v>
      </c>
      <c r="E36" s="39">
        <v>0.19500000000000001</v>
      </c>
      <c r="F36" s="98">
        <v>0.22600000000000001</v>
      </c>
      <c r="G36" s="98">
        <v>0.22</v>
      </c>
      <c r="H36" s="40">
        <v>0.20200000000000001</v>
      </c>
      <c r="I36" s="44">
        <v>0.20200000000000001</v>
      </c>
      <c r="J36" s="39">
        <v>0.19900000000000001</v>
      </c>
      <c r="K36" s="39">
        <v>0.17199999999999999</v>
      </c>
      <c r="L36" s="39">
        <v>0.161</v>
      </c>
      <c r="M36" s="40">
        <v>0.183</v>
      </c>
      <c r="N36" s="44">
        <v>0.161</v>
      </c>
      <c r="O36" s="39">
        <v>0.17799999999999999</v>
      </c>
      <c r="P36" s="39">
        <v>0.16800000000000001</v>
      </c>
      <c r="Q36" s="39">
        <v>0.16400000000000001</v>
      </c>
      <c r="R36" s="40">
        <v>0.186</v>
      </c>
      <c r="S36" s="44">
        <v>0.185</v>
      </c>
      <c r="T36" s="39">
        <v>0.17399999999999999</v>
      </c>
      <c r="U36" s="39">
        <v>0.17</v>
      </c>
      <c r="V36" s="39">
        <v>0.18</v>
      </c>
      <c r="W36" s="40">
        <v>0.20799999999999999</v>
      </c>
      <c r="X36" s="44">
        <v>0.19</v>
      </c>
      <c r="Y36" s="39">
        <v>0.19500000000000001</v>
      </c>
      <c r="Z36" s="39">
        <v>0.20200000000000001</v>
      </c>
      <c r="AA36" s="39">
        <v>0.191</v>
      </c>
      <c r="AB36" s="40">
        <v>0.19500000000000001</v>
      </c>
      <c r="AC36" s="44">
        <v>0.20200000000000001</v>
      </c>
      <c r="AD36" s="39">
        <v>0.21199999999999999</v>
      </c>
      <c r="AE36" s="39">
        <v>0.20399999999999999</v>
      </c>
      <c r="AF36" s="39">
        <v>0.20399999999999999</v>
      </c>
      <c r="AG36" s="40">
        <v>0.191</v>
      </c>
      <c r="AH36" s="44">
        <v>0.21099999999999999</v>
      </c>
      <c r="AI36" s="98">
        <v>0.22900000000000001</v>
      </c>
      <c r="AJ36" s="39">
        <v>0.21</v>
      </c>
      <c r="AK36" s="39">
        <v>0.219</v>
      </c>
      <c r="AL36" s="40">
        <v>0.21199999999999999</v>
      </c>
      <c r="AM36" s="44">
        <v>0.216</v>
      </c>
      <c r="AN36" s="39">
        <v>0.188</v>
      </c>
      <c r="AO36" s="39">
        <v>0.20100000000000001</v>
      </c>
      <c r="AP36" s="39">
        <v>0.19400000000000001</v>
      </c>
      <c r="AQ36" s="40">
        <v>0.187</v>
      </c>
      <c r="AR36" s="44">
        <v>0.19</v>
      </c>
      <c r="AS36" s="39">
        <v>0.19900000000000001</v>
      </c>
      <c r="AT36" s="39">
        <v>0.20300000000000001</v>
      </c>
      <c r="AU36" s="39">
        <v>0.191</v>
      </c>
      <c r="AV36" s="40">
        <v>0.17299999999999999</v>
      </c>
      <c r="AW36" s="44">
        <v>0.20399999999999999</v>
      </c>
      <c r="AX36" s="39">
        <v>0.185</v>
      </c>
      <c r="AY36" s="39">
        <v>0.215</v>
      </c>
      <c r="AZ36" s="39">
        <v>0.16200000000000001</v>
      </c>
      <c r="BA36" s="40">
        <v>0.19</v>
      </c>
      <c r="BB36" s="44">
        <v>0.20899999999999999</v>
      </c>
      <c r="BC36" s="39">
        <v>0.185</v>
      </c>
      <c r="BD36" s="39">
        <v>0.21099999999999999</v>
      </c>
      <c r="BE36" s="39">
        <v>0.20100000000000001</v>
      </c>
      <c r="BF36" s="40">
        <v>0.193</v>
      </c>
      <c r="BG36" s="44">
        <v>0.19400000000000001</v>
      </c>
      <c r="BH36" s="39">
        <v>0.192</v>
      </c>
      <c r="BI36" s="39">
        <v>0.214</v>
      </c>
      <c r="BJ36" s="39">
        <v>0.20100000000000001</v>
      </c>
      <c r="BK36" s="40">
        <v>0.20699999999999999</v>
      </c>
      <c r="BL36" s="97">
        <v>0.22500000000000001</v>
      </c>
      <c r="BM36" s="99">
        <v>0.223</v>
      </c>
      <c r="BN36" s="168">
        <f t="shared" si="20"/>
        <v>0.19890322580645173</v>
      </c>
      <c r="BO36" s="168">
        <f t="shared" si="21"/>
        <v>9.2999999999999999E-2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19</v>
      </c>
      <c r="B37" s="6"/>
      <c r="C37" s="11" t="s">
        <v>10</v>
      </c>
      <c r="D37" s="48">
        <v>0.22600000000000001</v>
      </c>
      <c r="E37" s="36">
        <v>0.21</v>
      </c>
      <c r="F37" s="49">
        <v>0.24299999999999999</v>
      </c>
      <c r="G37" s="36">
        <v>0.219</v>
      </c>
      <c r="H37" s="50">
        <v>0.21</v>
      </c>
      <c r="I37" s="43">
        <v>0.20499999999999999</v>
      </c>
      <c r="J37" s="36">
        <v>0.17599999999999999</v>
      </c>
      <c r="K37" s="93">
        <v>0.216</v>
      </c>
      <c r="L37" s="36">
        <v>0.187</v>
      </c>
      <c r="M37" s="100">
        <v>0.20699999999999999</v>
      </c>
      <c r="N37" s="43">
        <v>0.16500000000000001</v>
      </c>
      <c r="O37" s="36">
        <v>0.19700000000000001</v>
      </c>
      <c r="P37" s="36">
        <v>0.159</v>
      </c>
      <c r="Q37" s="36">
        <v>0.152</v>
      </c>
      <c r="R37" s="37">
        <v>0.20300000000000001</v>
      </c>
      <c r="S37" s="43">
        <v>0.19500000000000001</v>
      </c>
      <c r="T37" s="36">
        <v>0.161</v>
      </c>
      <c r="U37" s="93">
        <v>0.22600000000000001</v>
      </c>
      <c r="V37" s="93">
        <v>0.22500000000000001</v>
      </c>
      <c r="W37" s="50">
        <v>0.20300000000000001</v>
      </c>
      <c r="X37" s="56">
        <v>0.21299999999999999</v>
      </c>
      <c r="Y37" s="36">
        <v>0.19800000000000001</v>
      </c>
      <c r="Z37" s="93">
        <v>0.24199999999999999</v>
      </c>
      <c r="AA37" s="36">
        <v>0.20399999999999999</v>
      </c>
      <c r="AB37" s="37">
        <v>0.20799999999999999</v>
      </c>
      <c r="AC37" s="43">
        <v>0.19900000000000001</v>
      </c>
      <c r="AD37" s="36">
        <v>0.20699999999999999</v>
      </c>
      <c r="AE37" s="93">
        <v>0.23100000000000001</v>
      </c>
      <c r="AF37" s="36">
        <v>0.184</v>
      </c>
      <c r="AG37" s="37">
        <v>0.17699999999999999</v>
      </c>
      <c r="AH37" s="56">
        <v>9.2999999999999999E-2</v>
      </c>
      <c r="AI37" s="49">
        <v>0.224</v>
      </c>
      <c r="AJ37" s="49">
        <v>0.221</v>
      </c>
      <c r="AK37" s="36">
        <v>0.21299999999999999</v>
      </c>
      <c r="AL37" s="37">
        <v>0.19900000000000001</v>
      </c>
      <c r="AM37" s="43">
        <v>0.17599999999999999</v>
      </c>
      <c r="AN37" s="36">
        <v>0.191</v>
      </c>
      <c r="AO37" s="36">
        <v>0.18099999999999999</v>
      </c>
      <c r="AP37" s="36">
        <v>0.191</v>
      </c>
      <c r="AQ37" s="37">
        <v>0.185</v>
      </c>
      <c r="AR37" s="43">
        <v>0.19400000000000001</v>
      </c>
      <c r="AS37" s="36">
        <v>0.17</v>
      </c>
      <c r="AT37" s="93">
        <v>0.214</v>
      </c>
      <c r="AU37" s="36">
        <v>0.17199999999999999</v>
      </c>
      <c r="AV37" s="37">
        <v>0.191</v>
      </c>
      <c r="AW37" s="92">
        <v>0.219</v>
      </c>
      <c r="AX37" s="36">
        <v>0.19500000000000001</v>
      </c>
      <c r="AY37" s="36">
        <v>0.20499999999999999</v>
      </c>
      <c r="AZ37" s="36">
        <v>0.18099999999999999</v>
      </c>
      <c r="BA37" s="37">
        <v>0.21099999999999999</v>
      </c>
      <c r="BB37" s="92">
        <v>0.222</v>
      </c>
      <c r="BC37" s="36">
        <v>0.20799999999999999</v>
      </c>
      <c r="BD37" s="36">
        <v>0.20300000000000001</v>
      </c>
      <c r="BE37" s="36">
        <v>0.19600000000000001</v>
      </c>
      <c r="BF37" s="100">
        <v>0.215</v>
      </c>
      <c r="BG37" s="43">
        <v>0.20499999999999999</v>
      </c>
      <c r="BH37" s="36">
        <v>0.19400000000000001</v>
      </c>
      <c r="BI37" s="36">
        <v>0.19400000000000001</v>
      </c>
      <c r="BJ37" s="36">
        <v>0.214</v>
      </c>
      <c r="BK37" s="37">
        <v>0.221</v>
      </c>
      <c r="BL37" s="43">
        <v>0.19600000000000001</v>
      </c>
      <c r="BM37" s="37">
        <v>0.221</v>
      </c>
      <c r="BN37" s="166">
        <f t="shared" ref="BN37:BN39" si="22">IFERROR(AVERAGE(D37:BM39),0)</f>
        <v>0.20041621621621614</v>
      </c>
      <c r="BO37" s="166">
        <f t="shared" ref="BO37:BO39" si="23">MIN(D37:BM39)</f>
        <v>9.2999999999999999E-2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65">
        <v>8.3000000000000004E-2</v>
      </c>
      <c r="B38" s="7" t="s">
        <v>28</v>
      </c>
      <c r="C38" s="11" t="s">
        <v>8</v>
      </c>
      <c r="D38" s="54">
        <v>0.21199999999999999</v>
      </c>
      <c r="E38" s="22">
        <v>0.19700000000000001</v>
      </c>
      <c r="F38" s="31">
        <v>0.23400000000000001</v>
      </c>
      <c r="G38" s="95">
        <v>0.23300000000000001</v>
      </c>
      <c r="H38" s="55">
        <v>0.22800000000000001</v>
      </c>
      <c r="I38" s="45">
        <v>0.20499999999999999</v>
      </c>
      <c r="J38" s="22">
        <v>0.192</v>
      </c>
      <c r="K38" s="22">
        <v>0.188</v>
      </c>
      <c r="L38" s="22">
        <v>0.20100000000000001</v>
      </c>
      <c r="M38" s="42">
        <v>0.19800000000000001</v>
      </c>
      <c r="N38" s="45">
        <v>0.184</v>
      </c>
      <c r="O38" s="22">
        <v>0.19</v>
      </c>
      <c r="P38" s="22">
        <v>0.16900000000000001</v>
      </c>
      <c r="Q38" s="95">
        <v>0.20399999999999999</v>
      </c>
      <c r="R38" s="42">
        <v>0.20300000000000001</v>
      </c>
      <c r="S38" s="45">
        <v>0.20499999999999999</v>
      </c>
      <c r="T38" s="22">
        <v>0.17199999999999999</v>
      </c>
      <c r="U38" s="95">
        <v>0.224</v>
      </c>
      <c r="V38" s="95">
        <v>0.222</v>
      </c>
      <c r="W38" s="42">
        <v>0.2</v>
      </c>
      <c r="X38" s="45">
        <v>0.19700000000000001</v>
      </c>
      <c r="Y38" s="22">
        <v>0.19</v>
      </c>
      <c r="Z38" s="22">
        <v>0.193</v>
      </c>
      <c r="AA38" s="22">
        <v>0.19500000000000001</v>
      </c>
      <c r="AB38" s="96">
        <v>0.218</v>
      </c>
      <c r="AC38" s="45">
        <v>0.19</v>
      </c>
      <c r="AD38" s="95">
        <v>0.221</v>
      </c>
      <c r="AE38" s="22">
        <v>0.21099999999999999</v>
      </c>
      <c r="AF38" s="31">
        <v>0.216</v>
      </c>
      <c r="AG38" s="55">
        <v>0.152</v>
      </c>
      <c r="AH38" s="58">
        <v>0.107</v>
      </c>
      <c r="AI38" s="31">
        <v>0.24199999999999999</v>
      </c>
      <c r="AJ38" s="22">
        <v>0.184</v>
      </c>
      <c r="AK38" s="31">
        <v>0.24</v>
      </c>
      <c r="AL38" s="55">
        <v>0.23699999999999999</v>
      </c>
      <c r="AM38" s="45">
        <v>0.17100000000000001</v>
      </c>
      <c r="AN38" s="22">
        <v>0.19900000000000001</v>
      </c>
      <c r="AO38" s="95">
        <v>0.20899999999999999</v>
      </c>
      <c r="AP38" s="22">
        <v>0.189</v>
      </c>
      <c r="AQ38" s="42">
        <v>0.185</v>
      </c>
      <c r="AR38" s="94">
        <v>0.23599999999999999</v>
      </c>
      <c r="AS38" s="22">
        <v>0.2</v>
      </c>
      <c r="AT38" s="95">
        <v>0.22600000000000001</v>
      </c>
      <c r="AU38" s="22">
        <v>0.16600000000000001</v>
      </c>
      <c r="AV38" s="42">
        <v>0.155</v>
      </c>
      <c r="AW38" s="45">
        <v>0.17</v>
      </c>
      <c r="AX38" s="22">
        <v>0.17699999999999999</v>
      </c>
      <c r="AY38" s="22">
        <v>0.20799999999999999</v>
      </c>
      <c r="AZ38" s="22">
        <v>0.19700000000000001</v>
      </c>
      <c r="BA38" s="42">
        <v>0.20300000000000001</v>
      </c>
      <c r="BB38" s="94">
        <v>0.221</v>
      </c>
      <c r="BC38" s="95">
        <v>0.20899999999999999</v>
      </c>
      <c r="BD38" s="22">
        <v>0.20599999999999999</v>
      </c>
      <c r="BE38" s="22">
        <v>0.19600000000000001</v>
      </c>
      <c r="BF38" s="96">
        <v>0.217</v>
      </c>
      <c r="BG38" s="45">
        <v>0.20599999999999999</v>
      </c>
      <c r="BH38" s="95">
        <v>0.223</v>
      </c>
      <c r="BI38" s="22">
        <v>0.217</v>
      </c>
      <c r="BJ38" s="22">
        <v>0.21299999999999999</v>
      </c>
      <c r="BK38" s="42">
        <v>0.21</v>
      </c>
      <c r="BL38" s="45">
        <v>0.2</v>
      </c>
      <c r="BM38" s="42">
        <v>0.217</v>
      </c>
      <c r="BN38" s="167">
        <f t="shared" si="22"/>
        <v>0.20180620155038761</v>
      </c>
      <c r="BO38" s="167">
        <f t="shared" si="23"/>
        <v>0.107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65"/>
      <c r="B39" s="8"/>
      <c r="C39" s="12" t="s">
        <v>14</v>
      </c>
      <c r="D39" s="102">
        <v>0.22500000000000001</v>
      </c>
      <c r="E39" s="98">
        <v>0.216</v>
      </c>
      <c r="F39" s="52">
        <v>0.23599999999999999</v>
      </c>
      <c r="G39" s="39">
        <v>0.20899999999999999</v>
      </c>
      <c r="H39" s="40">
        <v>0.21099999999999999</v>
      </c>
      <c r="I39" s="44">
        <v>0.21</v>
      </c>
      <c r="J39" s="39">
        <v>0.184</v>
      </c>
      <c r="K39" s="39">
        <v>0.20300000000000001</v>
      </c>
      <c r="L39" s="39">
        <v>0.19</v>
      </c>
      <c r="M39" s="40">
        <v>0.193</v>
      </c>
      <c r="N39" s="97">
        <v>0.214</v>
      </c>
      <c r="O39" s="39">
        <v>0.2</v>
      </c>
      <c r="P39" s="39">
        <v>0.16800000000000001</v>
      </c>
      <c r="Q39" s="98">
        <v>0.20799999999999999</v>
      </c>
      <c r="R39" s="40">
        <v>0.191</v>
      </c>
      <c r="S39" s="44">
        <v>0.192</v>
      </c>
      <c r="T39" s="39">
        <v>0.187</v>
      </c>
      <c r="U39" s="98">
        <v>0.219</v>
      </c>
      <c r="V39" s="39">
        <v>0.20899999999999999</v>
      </c>
      <c r="W39" s="53">
        <v>0.186</v>
      </c>
      <c r="X39" s="44">
        <v>0.21099999999999999</v>
      </c>
      <c r="Y39" s="39">
        <v>0.20599999999999999</v>
      </c>
      <c r="Z39" s="39">
        <v>0.16400000000000001</v>
      </c>
      <c r="AA39" s="52">
        <v>0.22900000000000001</v>
      </c>
      <c r="AB39" s="40">
        <v>0.19600000000000001</v>
      </c>
      <c r="AC39" s="57">
        <v>0.22800000000000001</v>
      </c>
      <c r="AD39" s="39">
        <v>0.17699999999999999</v>
      </c>
      <c r="AE39" s="39">
        <v>0.21099999999999999</v>
      </c>
      <c r="AF39" s="39">
        <v>0.19400000000000001</v>
      </c>
      <c r="AG39" s="53">
        <v>0.19600000000000001</v>
      </c>
      <c r="AH39" s="44">
        <v>0.214</v>
      </c>
      <c r="AI39" s="39">
        <v>0.14899999999999999</v>
      </c>
      <c r="AJ39" s="98">
        <v>0.22900000000000001</v>
      </c>
      <c r="AK39" s="39">
        <v>0.186</v>
      </c>
      <c r="AL39" s="40">
        <v>0.20499999999999999</v>
      </c>
      <c r="AM39" s="44">
        <v>0.18</v>
      </c>
      <c r="AN39" s="52">
        <v>0.186</v>
      </c>
      <c r="AO39" s="39">
        <v>0.189</v>
      </c>
      <c r="AP39" s="39">
        <v>0.2</v>
      </c>
      <c r="AQ39" s="99">
        <v>0.22</v>
      </c>
      <c r="AR39" s="44">
        <v>0.20300000000000001</v>
      </c>
      <c r="AS39" s="39">
        <v>0.17499999999999999</v>
      </c>
      <c r="AT39" s="98">
        <v>0.23</v>
      </c>
      <c r="AU39" s="39">
        <v>0.191</v>
      </c>
      <c r="AV39" s="40">
        <v>0.18099999999999999</v>
      </c>
      <c r="AW39" s="44">
        <v>0.19900000000000001</v>
      </c>
      <c r="AX39" s="39">
        <v>0.17699999999999999</v>
      </c>
      <c r="AY39" s="39">
        <v>0.16</v>
      </c>
      <c r="AZ39" s="39">
        <v>0.14799999999999999</v>
      </c>
      <c r="BA39" s="53">
        <v>0.19</v>
      </c>
      <c r="BB39" s="44">
        <v>0.187</v>
      </c>
      <c r="BC39" s="98">
        <v>0.21299999999999999</v>
      </c>
      <c r="BD39" s="39">
        <v>0.20100000000000001</v>
      </c>
      <c r="BE39" s="98" t="s">
        <v>20</v>
      </c>
      <c r="BF39" s="99">
        <v>0.224</v>
      </c>
      <c r="BG39" s="44">
        <v>0.20599999999999999</v>
      </c>
      <c r="BH39" s="52">
        <v>0.22900000000000001</v>
      </c>
      <c r="BI39" s="39">
        <v>0.21099999999999999</v>
      </c>
      <c r="BJ39" s="52">
        <v>0.23300000000000001</v>
      </c>
      <c r="BK39" s="99">
        <v>0.22700000000000001</v>
      </c>
      <c r="BL39" s="97">
        <v>0.224</v>
      </c>
      <c r="BM39" s="40">
        <v>0.20399999999999999</v>
      </c>
      <c r="BN39" s="168">
        <f t="shared" si="22"/>
        <v>0.20376712328767124</v>
      </c>
      <c r="BO39" s="168">
        <f t="shared" si="23"/>
        <v>0.14799999999999999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19</v>
      </c>
      <c r="B40" s="6" t="s">
        <v>9</v>
      </c>
      <c r="C40" s="11" t="s">
        <v>10</v>
      </c>
      <c r="D40" s="48" t="s">
        <v>11</v>
      </c>
      <c r="E40" s="49" t="s">
        <v>11</v>
      </c>
      <c r="F40" s="49" t="s">
        <v>11</v>
      </c>
      <c r="G40" s="49" t="s">
        <v>11</v>
      </c>
      <c r="H40" s="50" t="s">
        <v>11</v>
      </c>
      <c r="I40" s="56" t="s">
        <v>11</v>
      </c>
      <c r="J40" s="49" t="s">
        <v>11</v>
      </c>
      <c r="K40" s="49" t="s">
        <v>11</v>
      </c>
      <c r="L40" s="49" t="s">
        <v>11</v>
      </c>
      <c r="M40" s="50" t="s">
        <v>11</v>
      </c>
      <c r="N40" s="56" t="s">
        <v>11</v>
      </c>
      <c r="O40" s="49" t="s">
        <v>11</v>
      </c>
      <c r="P40" s="49" t="s">
        <v>11</v>
      </c>
      <c r="Q40" s="49" t="s">
        <v>11</v>
      </c>
      <c r="R40" s="50" t="s">
        <v>11</v>
      </c>
      <c r="S40" s="56" t="s">
        <v>11</v>
      </c>
      <c r="T40" s="49" t="s">
        <v>11</v>
      </c>
      <c r="U40" s="49" t="s">
        <v>11</v>
      </c>
      <c r="V40" s="49" t="s">
        <v>11</v>
      </c>
      <c r="W40" s="50" t="s">
        <v>11</v>
      </c>
      <c r="X40" s="56" t="s">
        <v>11</v>
      </c>
      <c r="Y40" s="49" t="s">
        <v>11</v>
      </c>
      <c r="Z40" s="49" t="s">
        <v>11</v>
      </c>
      <c r="AA40" s="49" t="s">
        <v>11</v>
      </c>
      <c r="AB40" s="50" t="s">
        <v>11</v>
      </c>
      <c r="AC40" s="56" t="s">
        <v>11</v>
      </c>
      <c r="AD40" s="49" t="s">
        <v>11</v>
      </c>
      <c r="AE40" s="49" t="s">
        <v>11</v>
      </c>
      <c r="AF40" s="36">
        <v>0.215</v>
      </c>
      <c r="AG40" s="50">
        <v>0.22600000000000001</v>
      </c>
      <c r="AH40" s="56">
        <v>0.22900000000000001</v>
      </c>
      <c r="AI40" s="49">
        <v>0.22500000000000001</v>
      </c>
      <c r="AJ40" s="49">
        <v>0.222</v>
      </c>
      <c r="AK40" s="36">
        <v>0.20200000000000001</v>
      </c>
      <c r="AL40" s="50" t="s">
        <v>11</v>
      </c>
      <c r="AM40" s="56" t="s">
        <v>11</v>
      </c>
      <c r="AN40" s="49" t="s">
        <v>11</v>
      </c>
      <c r="AO40" s="49" t="s">
        <v>11</v>
      </c>
      <c r="AP40" s="49" t="s">
        <v>11</v>
      </c>
      <c r="AQ40" s="50" t="s">
        <v>11</v>
      </c>
      <c r="AR40" s="56" t="s">
        <v>11</v>
      </c>
      <c r="AS40" s="49" t="s">
        <v>11</v>
      </c>
      <c r="AT40" s="49" t="s">
        <v>11</v>
      </c>
      <c r="AU40" s="49" t="s">
        <v>11</v>
      </c>
      <c r="AV40" s="50" t="s">
        <v>11</v>
      </c>
      <c r="AW40" s="56" t="s">
        <v>11</v>
      </c>
      <c r="AX40" s="49" t="s">
        <v>11</v>
      </c>
      <c r="AY40" s="49" t="s">
        <v>11</v>
      </c>
      <c r="AZ40" s="49" t="s">
        <v>11</v>
      </c>
      <c r="BA40" s="50" t="s">
        <v>11</v>
      </c>
      <c r="BB40" s="56" t="s">
        <v>11</v>
      </c>
      <c r="BC40" s="49" t="s">
        <v>11</v>
      </c>
      <c r="BD40" s="49" t="s">
        <v>11</v>
      </c>
      <c r="BE40" s="49" t="s">
        <v>11</v>
      </c>
      <c r="BF40" s="50" t="s">
        <v>11</v>
      </c>
      <c r="BG40" s="56" t="s">
        <v>11</v>
      </c>
      <c r="BH40" s="49" t="s">
        <v>11</v>
      </c>
      <c r="BI40" s="49" t="s">
        <v>11</v>
      </c>
      <c r="BJ40" s="49" t="s">
        <v>11</v>
      </c>
      <c r="BK40" s="50" t="s">
        <v>11</v>
      </c>
      <c r="BL40" s="56" t="s">
        <v>11</v>
      </c>
      <c r="BM40" s="50" t="s">
        <v>11</v>
      </c>
      <c r="BN40" s="166">
        <f t="shared" ref="BN40:BN42" si="24">IFERROR(AVERAGE(D40:BM42),0)</f>
        <v>0.22083333333333335</v>
      </c>
      <c r="BO40" s="166">
        <f t="shared" ref="BO40:BO42" si="25">MIN(D40:BM42)</f>
        <v>0.20200000000000001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65">
        <v>8.3000000000000004E-2</v>
      </c>
      <c r="B41" s="7" t="s">
        <v>12</v>
      </c>
      <c r="C41" s="11" t="s">
        <v>8</v>
      </c>
      <c r="D41" s="54" t="s">
        <v>11</v>
      </c>
      <c r="E41" s="31" t="s">
        <v>11</v>
      </c>
      <c r="F41" s="31" t="s">
        <v>11</v>
      </c>
      <c r="G41" s="31" t="s">
        <v>11</v>
      </c>
      <c r="H41" s="55" t="s">
        <v>11</v>
      </c>
      <c r="I41" s="58" t="s">
        <v>11</v>
      </c>
      <c r="J41" s="31" t="s">
        <v>11</v>
      </c>
      <c r="K41" s="31" t="s">
        <v>11</v>
      </c>
      <c r="L41" s="31" t="s">
        <v>11</v>
      </c>
      <c r="M41" s="55" t="s">
        <v>11</v>
      </c>
      <c r="N41" s="58" t="s">
        <v>11</v>
      </c>
      <c r="O41" s="31" t="s">
        <v>11</v>
      </c>
      <c r="P41" s="31" t="s">
        <v>11</v>
      </c>
      <c r="Q41" s="31" t="s">
        <v>11</v>
      </c>
      <c r="R41" s="55" t="s">
        <v>11</v>
      </c>
      <c r="S41" s="58" t="s">
        <v>11</v>
      </c>
      <c r="T41" s="31" t="s">
        <v>11</v>
      </c>
      <c r="U41" s="31" t="s">
        <v>11</v>
      </c>
      <c r="V41" s="31" t="s">
        <v>11</v>
      </c>
      <c r="W41" s="55" t="s">
        <v>11</v>
      </c>
      <c r="X41" s="58" t="s">
        <v>11</v>
      </c>
      <c r="Y41" s="31" t="s">
        <v>11</v>
      </c>
      <c r="Z41" s="31" t="s">
        <v>11</v>
      </c>
      <c r="AA41" s="31" t="s">
        <v>11</v>
      </c>
      <c r="AB41" s="55" t="s">
        <v>11</v>
      </c>
      <c r="AC41" s="58" t="s">
        <v>11</v>
      </c>
      <c r="AD41" s="31" t="s">
        <v>11</v>
      </c>
      <c r="AE41" s="31" t="s">
        <v>11</v>
      </c>
      <c r="AF41" s="22">
        <v>0.216</v>
      </c>
      <c r="AG41" s="55">
        <v>0.23599999999999999</v>
      </c>
      <c r="AH41" s="58">
        <v>0.23</v>
      </c>
      <c r="AI41" s="31">
        <v>0.214</v>
      </c>
      <c r="AJ41" s="22">
        <v>0.214</v>
      </c>
      <c r="AK41" s="22">
        <v>0.21199999999999999</v>
      </c>
      <c r="AL41" s="55" t="s">
        <v>11</v>
      </c>
      <c r="AM41" s="58" t="s">
        <v>11</v>
      </c>
      <c r="AN41" s="31" t="s">
        <v>11</v>
      </c>
      <c r="AO41" s="31" t="s">
        <v>11</v>
      </c>
      <c r="AP41" s="31" t="s">
        <v>11</v>
      </c>
      <c r="AQ41" s="55" t="s">
        <v>11</v>
      </c>
      <c r="AR41" s="58" t="s">
        <v>11</v>
      </c>
      <c r="AS41" s="31" t="s">
        <v>11</v>
      </c>
      <c r="AT41" s="31" t="s">
        <v>11</v>
      </c>
      <c r="AU41" s="31" t="s">
        <v>11</v>
      </c>
      <c r="AV41" s="55" t="s">
        <v>11</v>
      </c>
      <c r="AW41" s="58" t="s">
        <v>11</v>
      </c>
      <c r="AX41" s="31" t="s">
        <v>11</v>
      </c>
      <c r="AY41" s="31" t="s">
        <v>11</v>
      </c>
      <c r="AZ41" s="31" t="s">
        <v>11</v>
      </c>
      <c r="BA41" s="55" t="s">
        <v>11</v>
      </c>
      <c r="BB41" s="58" t="s">
        <v>11</v>
      </c>
      <c r="BC41" s="31" t="s">
        <v>11</v>
      </c>
      <c r="BD41" s="31" t="s">
        <v>11</v>
      </c>
      <c r="BE41" s="31" t="s">
        <v>11</v>
      </c>
      <c r="BF41" s="55" t="s">
        <v>11</v>
      </c>
      <c r="BG41" s="58" t="s">
        <v>11</v>
      </c>
      <c r="BH41" s="31" t="s">
        <v>11</v>
      </c>
      <c r="BI41" s="31" t="s">
        <v>11</v>
      </c>
      <c r="BJ41" s="31" t="s">
        <v>11</v>
      </c>
      <c r="BK41" s="55" t="s">
        <v>11</v>
      </c>
      <c r="BL41" s="58" t="s">
        <v>11</v>
      </c>
      <c r="BM41" s="55" t="s">
        <v>11</v>
      </c>
      <c r="BN41" s="167">
        <f t="shared" si="24"/>
        <v>0.219</v>
      </c>
      <c r="BO41" s="167">
        <f t="shared" si="25"/>
        <v>0.19500000000000001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65"/>
      <c r="B42" s="8" t="s">
        <v>29</v>
      </c>
      <c r="C42" s="12" t="s">
        <v>14</v>
      </c>
      <c r="D42" s="51" t="s">
        <v>11</v>
      </c>
      <c r="E42" s="52" t="s">
        <v>11</v>
      </c>
      <c r="F42" s="52" t="s">
        <v>11</v>
      </c>
      <c r="G42" s="52" t="s">
        <v>11</v>
      </c>
      <c r="H42" s="53" t="s">
        <v>11</v>
      </c>
      <c r="I42" s="57" t="s">
        <v>11</v>
      </c>
      <c r="J42" s="52" t="s">
        <v>11</v>
      </c>
      <c r="K42" s="52" t="s">
        <v>11</v>
      </c>
      <c r="L42" s="52" t="s">
        <v>11</v>
      </c>
      <c r="M42" s="53" t="s">
        <v>11</v>
      </c>
      <c r="N42" s="57" t="s">
        <v>11</v>
      </c>
      <c r="O42" s="52" t="s">
        <v>11</v>
      </c>
      <c r="P42" s="52" t="s">
        <v>11</v>
      </c>
      <c r="Q42" s="52" t="s">
        <v>11</v>
      </c>
      <c r="R42" s="53" t="s">
        <v>11</v>
      </c>
      <c r="S42" s="57" t="s">
        <v>11</v>
      </c>
      <c r="T42" s="52" t="s">
        <v>11</v>
      </c>
      <c r="U42" s="52" t="s">
        <v>11</v>
      </c>
      <c r="V42" s="52" t="s">
        <v>11</v>
      </c>
      <c r="W42" s="53" t="s">
        <v>11</v>
      </c>
      <c r="X42" s="57" t="s">
        <v>11</v>
      </c>
      <c r="Y42" s="52" t="s">
        <v>11</v>
      </c>
      <c r="Z42" s="52" t="s">
        <v>11</v>
      </c>
      <c r="AA42" s="52" t="s">
        <v>11</v>
      </c>
      <c r="AB42" s="53" t="s">
        <v>11</v>
      </c>
      <c r="AC42" s="57" t="s">
        <v>11</v>
      </c>
      <c r="AD42" s="52" t="s">
        <v>11</v>
      </c>
      <c r="AE42" s="52" t="s">
        <v>11</v>
      </c>
      <c r="AF42" s="39">
        <v>0.22800000000000001</v>
      </c>
      <c r="AG42" s="53">
        <v>0.224</v>
      </c>
      <c r="AH42" s="57">
        <v>0.221</v>
      </c>
      <c r="AI42" s="52">
        <v>0.215</v>
      </c>
      <c r="AJ42" s="39">
        <v>0.222</v>
      </c>
      <c r="AK42" s="52">
        <v>0.224</v>
      </c>
      <c r="AL42" s="53" t="s">
        <v>11</v>
      </c>
      <c r="AM42" s="57" t="s">
        <v>11</v>
      </c>
      <c r="AN42" s="52" t="s">
        <v>11</v>
      </c>
      <c r="AO42" s="52" t="s">
        <v>11</v>
      </c>
      <c r="AP42" s="52" t="s">
        <v>11</v>
      </c>
      <c r="AQ42" s="53" t="s">
        <v>11</v>
      </c>
      <c r="AR42" s="57" t="s">
        <v>11</v>
      </c>
      <c r="AS42" s="52" t="s">
        <v>11</v>
      </c>
      <c r="AT42" s="52" t="s">
        <v>11</v>
      </c>
      <c r="AU42" s="52" t="s">
        <v>11</v>
      </c>
      <c r="AV42" s="53" t="s">
        <v>11</v>
      </c>
      <c r="AW42" s="57" t="s">
        <v>11</v>
      </c>
      <c r="AX42" s="52" t="s">
        <v>11</v>
      </c>
      <c r="AY42" s="52" t="s">
        <v>11</v>
      </c>
      <c r="AZ42" s="52" t="s">
        <v>11</v>
      </c>
      <c r="BA42" s="53" t="s">
        <v>11</v>
      </c>
      <c r="BB42" s="57" t="s">
        <v>11</v>
      </c>
      <c r="BC42" s="52" t="s">
        <v>11</v>
      </c>
      <c r="BD42" s="52" t="s">
        <v>11</v>
      </c>
      <c r="BE42" s="52" t="s">
        <v>11</v>
      </c>
      <c r="BF42" s="53" t="s">
        <v>11</v>
      </c>
      <c r="BG42" s="57" t="s">
        <v>11</v>
      </c>
      <c r="BH42" s="52" t="s">
        <v>11</v>
      </c>
      <c r="BI42" s="52" t="s">
        <v>11</v>
      </c>
      <c r="BJ42" s="52" t="s">
        <v>11</v>
      </c>
      <c r="BK42" s="53" t="s">
        <v>11</v>
      </c>
      <c r="BL42" s="57" t="s">
        <v>11</v>
      </c>
      <c r="BM42" s="53" t="s">
        <v>11</v>
      </c>
      <c r="BN42" s="168">
        <f t="shared" si="24"/>
        <v>0.21961111111111112</v>
      </c>
      <c r="BO42" s="168">
        <f t="shared" si="25"/>
        <v>0.19500000000000001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19</v>
      </c>
      <c r="B43" s="6" t="s">
        <v>15</v>
      </c>
      <c r="C43" s="11" t="s">
        <v>10</v>
      </c>
      <c r="D43" s="48" t="s">
        <v>11</v>
      </c>
      <c r="E43" s="49" t="s">
        <v>11</v>
      </c>
      <c r="F43" s="49" t="s">
        <v>11</v>
      </c>
      <c r="G43" s="49" t="s">
        <v>11</v>
      </c>
      <c r="H43" s="50" t="s">
        <v>11</v>
      </c>
      <c r="I43" s="56" t="s">
        <v>11</v>
      </c>
      <c r="J43" s="49" t="s">
        <v>11</v>
      </c>
      <c r="K43" s="49" t="s">
        <v>11</v>
      </c>
      <c r="L43" s="49" t="s">
        <v>11</v>
      </c>
      <c r="M43" s="50" t="s">
        <v>11</v>
      </c>
      <c r="N43" s="56" t="s">
        <v>11</v>
      </c>
      <c r="O43" s="49" t="s">
        <v>11</v>
      </c>
      <c r="P43" s="49" t="s">
        <v>11</v>
      </c>
      <c r="Q43" s="49" t="s">
        <v>11</v>
      </c>
      <c r="R43" s="50" t="s">
        <v>11</v>
      </c>
      <c r="S43" s="56" t="s">
        <v>11</v>
      </c>
      <c r="T43" s="49" t="s">
        <v>11</v>
      </c>
      <c r="U43" s="49" t="s">
        <v>11</v>
      </c>
      <c r="V43" s="49" t="s">
        <v>11</v>
      </c>
      <c r="W43" s="50" t="s">
        <v>11</v>
      </c>
      <c r="X43" s="56" t="s">
        <v>11</v>
      </c>
      <c r="Y43" s="49" t="s">
        <v>11</v>
      </c>
      <c r="Z43" s="49" t="s">
        <v>11</v>
      </c>
      <c r="AA43" s="49" t="s">
        <v>11</v>
      </c>
      <c r="AB43" s="50" t="s">
        <v>11</v>
      </c>
      <c r="AC43" s="56" t="s">
        <v>11</v>
      </c>
      <c r="AD43" s="49" t="s">
        <v>11</v>
      </c>
      <c r="AE43" s="49" t="s">
        <v>11</v>
      </c>
      <c r="AF43" s="36">
        <v>0.221</v>
      </c>
      <c r="AG43" s="50">
        <v>0.23</v>
      </c>
      <c r="AH43" s="43">
        <v>0.21099999999999999</v>
      </c>
      <c r="AI43" s="49">
        <v>0.217</v>
      </c>
      <c r="AJ43" s="36">
        <v>0.19500000000000001</v>
      </c>
      <c r="AK43" s="36">
        <v>0.21199999999999999</v>
      </c>
      <c r="AL43" s="50" t="s">
        <v>11</v>
      </c>
      <c r="AM43" s="56" t="s">
        <v>11</v>
      </c>
      <c r="AN43" s="49" t="s">
        <v>11</v>
      </c>
      <c r="AO43" s="49" t="s">
        <v>11</v>
      </c>
      <c r="AP43" s="49" t="s">
        <v>11</v>
      </c>
      <c r="AQ43" s="50" t="s">
        <v>11</v>
      </c>
      <c r="AR43" s="56" t="s">
        <v>11</v>
      </c>
      <c r="AS43" s="49" t="s">
        <v>11</v>
      </c>
      <c r="AT43" s="49" t="s">
        <v>11</v>
      </c>
      <c r="AU43" s="49" t="s">
        <v>11</v>
      </c>
      <c r="AV43" s="50" t="s">
        <v>11</v>
      </c>
      <c r="AW43" s="56" t="s">
        <v>11</v>
      </c>
      <c r="AX43" s="49" t="s">
        <v>11</v>
      </c>
      <c r="AY43" s="49" t="s">
        <v>11</v>
      </c>
      <c r="AZ43" s="49" t="s">
        <v>11</v>
      </c>
      <c r="BA43" s="50" t="s">
        <v>11</v>
      </c>
      <c r="BB43" s="56" t="s">
        <v>11</v>
      </c>
      <c r="BC43" s="49" t="s">
        <v>11</v>
      </c>
      <c r="BD43" s="49" t="s">
        <v>11</v>
      </c>
      <c r="BE43" s="49" t="s">
        <v>11</v>
      </c>
      <c r="BF43" s="50" t="s">
        <v>11</v>
      </c>
      <c r="BG43" s="56" t="s">
        <v>11</v>
      </c>
      <c r="BH43" s="49" t="s">
        <v>11</v>
      </c>
      <c r="BI43" s="49" t="s">
        <v>11</v>
      </c>
      <c r="BJ43" s="49" t="s">
        <v>11</v>
      </c>
      <c r="BK43" s="50" t="s">
        <v>11</v>
      </c>
      <c r="BL43" s="56" t="s">
        <v>11</v>
      </c>
      <c r="BM43" s="50" t="s">
        <v>11</v>
      </c>
      <c r="BN43" s="166">
        <f t="shared" ref="BN43:BN45" si="26">IFERROR(AVERAGE(D43:BM45),0)</f>
        <v>0.21838888888888888</v>
      </c>
      <c r="BO43" s="166">
        <f t="shared" ref="BO43:BO45" si="27">MIN(D43:BM45)</f>
        <v>0.19500000000000001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65">
        <v>8.3000000000000004E-2</v>
      </c>
      <c r="B44" s="7" t="s">
        <v>12</v>
      </c>
      <c r="C44" s="11" t="s">
        <v>8</v>
      </c>
      <c r="D44" s="54" t="s">
        <v>11</v>
      </c>
      <c r="E44" s="31" t="s">
        <v>11</v>
      </c>
      <c r="F44" s="31" t="s">
        <v>11</v>
      </c>
      <c r="G44" s="31" t="s">
        <v>11</v>
      </c>
      <c r="H44" s="55" t="s">
        <v>11</v>
      </c>
      <c r="I44" s="58" t="s">
        <v>11</v>
      </c>
      <c r="J44" s="31" t="s">
        <v>11</v>
      </c>
      <c r="K44" s="31" t="s">
        <v>11</v>
      </c>
      <c r="L44" s="31" t="s">
        <v>11</v>
      </c>
      <c r="M44" s="55" t="s">
        <v>11</v>
      </c>
      <c r="N44" s="58" t="s">
        <v>11</v>
      </c>
      <c r="O44" s="31" t="s">
        <v>11</v>
      </c>
      <c r="P44" s="31" t="s">
        <v>11</v>
      </c>
      <c r="Q44" s="31" t="s">
        <v>11</v>
      </c>
      <c r="R44" s="55" t="s">
        <v>11</v>
      </c>
      <c r="S44" s="58" t="s">
        <v>11</v>
      </c>
      <c r="T44" s="31" t="s">
        <v>11</v>
      </c>
      <c r="U44" s="31" t="s">
        <v>11</v>
      </c>
      <c r="V44" s="31" t="s">
        <v>11</v>
      </c>
      <c r="W44" s="55" t="s">
        <v>11</v>
      </c>
      <c r="X44" s="58" t="s">
        <v>11</v>
      </c>
      <c r="Y44" s="31" t="s">
        <v>11</v>
      </c>
      <c r="Z44" s="31" t="s">
        <v>11</v>
      </c>
      <c r="AA44" s="31" t="s">
        <v>11</v>
      </c>
      <c r="AB44" s="55" t="s">
        <v>11</v>
      </c>
      <c r="AC44" s="58" t="s">
        <v>11</v>
      </c>
      <c r="AD44" s="31" t="s">
        <v>11</v>
      </c>
      <c r="AE44" s="31" t="s">
        <v>11</v>
      </c>
      <c r="AF44" s="22">
        <v>0.217</v>
      </c>
      <c r="AG44" s="42">
        <v>0.224</v>
      </c>
      <c r="AH44" s="45">
        <v>0.22600000000000001</v>
      </c>
      <c r="AI44" s="22">
        <v>0.215</v>
      </c>
      <c r="AJ44" s="31">
        <v>0.224</v>
      </c>
      <c r="AK44" s="95">
        <v>0.22700000000000001</v>
      </c>
      <c r="AL44" s="55" t="s">
        <v>11</v>
      </c>
      <c r="AM44" s="58" t="s">
        <v>11</v>
      </c>
      <c r="AN44" s="31" t="s">
        <v>11</v>
      </c>
      <c r="AO44" s="31" t="s">
        <v>11</v>
      </c>
      <c r="AP44" s="31" t="s">
        <v>11</v>
      </c>
      <c r="AQ44" s="55" t="s">
        <v>11</v>
      </c>
      <c r="AR44" s="58" t="s">
        <v>11</v>
      </c>
      <c r="AS44" s="31" t="s">
        <v>11</v>
      </c>
      <c r="AT44" s="31" t="s">
        <v>11</v>
      </c>
      <c r="AU44" s="31" t="s">
        <v>11</v>
      </c>
      <c r="AV44" s="55" t="s">
        <v>11</v>
      </c>
      <c r="AW44" s="58" t="s">
        <v>11</v>
      </c>
      <c r="AX44" s="31" t="s">
        <v>11</v>
      </c>
      <c r="AY44" s="31" t="s">
        <v>11</v>
      </c>
      <c r="AZ44" s="31" t="s">
        <v>11</v>
      </c>
      <c r="BA44" s="55" t="s">
        <v>11</v>
      </c>
      <c r="BB44" s="58" t="s">
        <v>11</v>
      </c>
      <c r="BC44" s="31" t="s">
        <v>11</v>
      </c>
      <c r="BD44" s="31" t="s">
        <v>11</v>
      </c>
      <c r="BE44" s="31" t="s">
        <v>11</v>
      </c>
      <c r="BF44" s="55" t="s">
        <v>11</v>
      </c>
      <c r="BG44" s="58" t="s">
        <v>11</v>
      </c>
      <c r="BH44" s="31" t="s">
        <v>11</v>
      </c>
      <c r="BI44" s="31" t="s">
        <v>11</v>
      </c>
      <c r="BJ44" s="31" t="s">
        <v>11</v>
      </c>
      <c r="BK44" s="55" t="s">
        <v>11</v>
      </c>
      <c r="BL44" s="58" t="s">
        <v>11</v>
      </c>
      <c r="BM44" s="55" t="s">
        <v>11</v>
      </c>
      <c r="BN44" s="167">
        <f t="shared" si="26"/>
        <v>0.22127777777777777</v>
      </c>
      <c r="BO44" s="167">
        <f t="shared" si="27"/>
        <v>0.19500000000000001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65"/>
      <c r="B45" s="8" t="s">
        <v>30</v>
      </c>
      <c r="C45" s="12" t="s">
        <v>14</v>
      </c>
      <c r="D45" s="51" t="s">
        <v>11</v>
      </c>
      <c r="E45" s="52" t="s">
        <v>11</v>
      </c>
      <c r="F45" s="52" t="s">
        <v>11</v>
      </c>
      <c r="G45" s="52" t="s">
        <v>11</v>
      </c>
      <c r="H45" s="53" t="s">
        <v>11</v>
      </c>
      <c r="I45" s="57" t="s">
        <v>11</v>
      </c>
      <c r="J45" s="52" t="s">
        <v>11</v>
      </c>
      <c r="K45" s="52" t="s">
        <v>11</v>
      </c>
      <c r="L45" s="52" t="s">
        <v>11</v>
      </c>
      <c r="M45" s="53" t="s">
        <v>11</v>
      </c>
      <c r="N45" s="57" t="s">
        <v>11</v>
      </c>
      <c r="O45" s="52" t="s">
        <v>11</v>
      </c>
      <c r="P45" s="52" t="s">
        <v>11</v>
      </c>
      <c r="Q45" s="52" t="s">
        <v>11</v>
      </c>
      <c r="R45" s="53" t="s">
        <v>11</v>
      </c>
      <c r="S45" s="57" t="s">
        <v>11</v>
      </c>
      <c r="T45" s="52" t="s">
        <v>11</v>
      </c>
      <c r="U45" s="52" t="s">
        <v>11</v>
      </c>
      <c r="V45" s="52" t="s">
        <v>11</v>
      </c>
      <c r="W45" s="53" t="s">
        <v>11</v>
      </c>
      <c r="X45" s="57" t="s">
        <v>11</v>
      </c>
      <c r="Y45" s="52" t="s">
        <v>11</v>
      </c>
      <c r="Z45" s="52" t="s">
        <v>11</v>
      </c>
      <c r="AA45" s="52" t="s">
        <v>11</v>
      </c>
      <c r="AB45" s="53" t="s">
        <v>11</v>
      </c>
      <c r="AC45" s="57" t="s">
        <v>11</v>
      </c>
      <c r="AD45" s="52" t="s">
        <v>11</v>
      </c>
      <c r="AE45" s="52" t="s">
        <v>11</v>
      </c>
      <c r="AF45" s="98">
        <v>0.23200000000000001</v>
      </c>
      <c r="AG45" s="53">
        <v>0.223</v>
      </c>
      <c r="AH45" s="44">
        <v>0.218</v>
      </c>
      <c r="AI45" s="52">
        <v>0.22900000000000001</v>
      </c>
      <c r="AJ45" s="52">
        <v>0.215</v>
      </c>
      <c r="AK45" s="39">
        <v>0.19500000000000001</v>
      </c>
      <c r="AL45" s="53" t="s">
        <v>11</v>
      </c>
      <c r="AM45" s="57" t="s">
        <v>11</v>
      </c>
      <c r="AN45" s="52" t="s">
        <v>11</v>
      </c>
      <c r="AO45" s="52" t="s">
        <v>11</v>
      </c>
      <c r="AP45" s="52" t="s">
        <v>11</v>
      </c>
      <c r="AQ45" s="53" t="s">
        <v>11</v>
      </c>
      <c r="AR45" s="57" t="s">
        <v>11</v>
      </c>
      <c r="AS45" s="52" t="s">
        <v>11</v>
      </c>
      <c r="AT45" s="52" t="s">
        <v>11</v>
      </c>
      <c r="AU45" s="52" t="s">
        <v>11</v>
      </c>
      <c r="AV45" s="53" t="s">
        <v>11</v>
      </c>
      <c r="AW45" s="57" t="s">
        <v>11</v>
      </c>
      <c r="AX45" s="52" t="s">
        <v>11</v>
      </c>
      <c r="AY45" s="52" t="s">
        <v>11</v>
      </c>
      <c r="AZ45" s="52" t="s">
        <v>11</v>
      </c>
      <c r="BA45" s="53" t="s">
        <v>11</v>
      </c>
      <c r="BB45" s="57" t="s">
        <v>11</v>
      </c>
      <c r="BC45" s="52" t="s">
        <v>11</v>
      </c>
      <c r="BD45" s="52" t="s">
        <v>11</v>
      </c>
      <c r="BE45" s="52" t="s">
        <v>11</v>
      </c>
      <c r="BF45" s="53" t="s">
        <v>11</v>
      </c>
      <c r="BG45" s="57" t="s">
        <v>11</v>
      </c>
      <c r="BH45" s="52" t="s">
        <v>11</v>
      </c>
      <c r="BI45" s="52" t="s">
        <v>11</v>
      </c>
      <c r="BJ45" s="52" t="s">
        <v>11</v>
      </c>
      <c r="BK45" s="53" t="s">
        <v>11</v>
      </c>
      <c r="BL45" s="57" t="s">
        <v>11</v>
      </c>
      <c r="BM45" s="53" t="s">
        <v>11</v>
      </c>
      <c r="BN45" s="168">
        <f t="shared" si="26"/>
        <v>0.22005555555555556</v>
      </c>
      <c r="BO45" s="168">
        <f t="shared" si="27"/>
        <v>0.19500000000000001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19</v>
      </c>
      <c r="B46" s="6" t="s">
        <v>17</v>
      </c>
      <c r="C46" s="11" t="s">
        <v>10</v>
      </c>
      <c r="D46" s="48" t="s">
        <v>11</v>
      </c>
      <c r="E46" s="49" t="s">
        <v>11</v>
      </c>
      <c r="F46" s="49" t="s">
        <v>11</v>
      </c>
      <c r="G46" s="49" t="s">
        <v>11</v>
      </c>
      <c r="H46" s="50" t="s">
        <v>11</v>
      </c>
      <c r="I46" s="56" t="s">
        <v>11</v>
      </c>
      <c r="J46" s="49" t="s">
        <v>11</v>
      </c>
      <c r="K46" s="49" t="s">
        <v>11</v>
      </c>
      <c r="L46" s="49" t="s">
        <v>11</v>
      </c>
      <c r="M46" s="50" t="s">
        <v>11</v>
      </c>
      <c r="N46" s="56" t="s">
        <v>11</v>
      </c>
      <c r="O46" s="49" t="s">
        <v>11</v>
      </c>
      <c r="P46" s="49" t="s">
        <v>11</v>
      </c>
      <c r="Q46" s="49" t="s">
        <v>11</v>
      </c>
      <c r="R46" s="50" t="s">
        <v>11</v>
      </c>
      <c r="S46" s="56" t="s">
        <v>11</v>
      </c>
      <c r="T46" s="49" t="s">
        <v>11</v>
      </c>
      <c r="U46" s="49" t="s">
        <v>11</v>
      </c>
      <c r="V46" s="49" t="s">
        <v>11</v>
      </c>
      <c r="W46" s="50" t="s">
        <v>11</v>
      </c>
      <c r="X46" s="56" t="s">
        <v>11</v>
      </c>
      <c r="Y46" s="49" t="s">
        <v>11</v>
      </c>
      <c r="Z46" s="49" t="s">
        <v>11</v>
      </c>
      <c r="AA46" s="49" t="s">
        <v>11</v>
      </c>
      <c r="AB46" s="50" t="s">
        <v>11</v>
      </c>
      <c r="AC46" s="56" t="s">
        <v>11</v>
      </c>
      <c r="AD46" s="49" t="s">
        <v>11</v>
      </c>
      <c r="AE46" s="49" t="s">
        <v>11</v>
      </c>
      <c r="AF46" s="49">
        <v>0.219</v>
      </c>
      <c r="AG46" s="100">
        <v>0.22</v>
      </c>
      <c r="AH46" s="56">
        <v>0.22700000000000001</v>
      </c>
      <c r="AI46" s="49">
        <v>0.23799999999999999</v>
      </c>
      <c r="AJ46" s="36">
        <v>0.20699999999999999</v>
      </c>
      <c r="AK46" s="93">
        <v>0.22700000000000001</v>
      </c>
      <c r="AL46" s="50" t="s">
        <v>11</v>
      </c>
      <c r="AM46" s="56" t="s">
        <v>11</v>
      </c>
      <c r="AN46" s="49" t="s">
        <v>11</v>
      </c>
      <c r="AO46" s="49" t="s">
        <v>11</v>
      </c>
      <c r="AP46" s="49" t="s">
        <v>11</v>
      </c>
      <c r="AQ46" s="50" t="s">
        <v>11</v>
      </c>
      <c r="AR46" s="56" t="s">
        <v>11</v>
      </c>
      <c r="AS46" s="49" t="s">
        <v>11</v>
      </c>
      <c r="AT46" s="49" t="s">
        <v>11</v>
      </c>
      <c r="AU46" s="49" t="s">
        <v>11</v>
      </c>
      <c r="AV46" s="50" t="s">
        <v>11</v>
      </c>
      <c r="AW46" s="56" t="s">
        <v>11</v>
      </c>
      <c r="AX46" s="49" t="s">
        <v>11</v>
      </c>
      <c r="AY46" s="49" t="s">
        <v>11</v>
      </c>
      <c r="AZ46" s="49" t="s">
        <v>11</v>
      </c>
      <c r="BA46" s="50" t="s">
        <v>11</v>
      </c>
      <c r="BB46" s="56" t="s">
        <v>11</v>
      </c>
      <c r="BC46" s="49" t="s">
        <v>11</v>
      </c>
      <c r="BD46" s="49" t="s">
        <v>11</v>
      </c>
      <c r="BE46" s="49" t="s">
        <v>11</v>
      </c>
      <c r="BF46" s="50" t="s">
        <v>11</v>
      </c>
      <c r="BG46" s="56" t="s">
        <v>11</v>
      </c>
      <c r="BH46" s="49" t="s">
        <v>11</v>
      </c>
      <c r="BI46" s="49" t="s">
        <v>11</v>
      </c>
      <c r="BJ46" s="49" t="s">
        <v>11</v>
      </c>
      <c r="BK46" s="50" t="s">
        <v>11</v>
      </c>
      <c r="BL46" s="56" t="s">
        <v>11</v>
      </c>
      <c r="BM46" s="50" t="s">
        <v>11</v>
      </c>
      <c r="BN46" s="166">
        <f t="shared" ref="BN46:BN48" si="28">IFERROR(AVERAGE(D46:BM48),0)</f>
        <v>0.22144444444444444</v>
      </c>
      <c r="BO46" s="166">
        <f t="shared" ref="BO46:BO48" si="29">MIN(D46:BM48)</f>
        <v>0.20499999999999999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65">
        <v>8.3000000000000004E-2</v>
      </c>
      <c r="B47" s="7" t="s">
        <v>12</v>
      </c>
      <c r="C47" s="11" t="s">
        <v>8</v>
      </c>
      <c r="D47" s="54" t="s">
        <v>11</v>
      </c>
      <c r="E47" s="31" t="s">
        <v>11</v>
      </c>
      <c r="F47" s="31" t="s">
        <v>11</v>
      </c>
      <c r="G47" s="31" t="s">
        <v>11</v>
      </c>
      <c r="H47" s="55" t="s">
        <v>11</v>
      </c>
      <c r="I47" s="58" t="s">
        <v>11</v>
      </c>
      <c r="J47" s="31" t="s">
        <v>11</v>
      </c>
      <c r="K47" s="31" t="s">
        <v>11</v>
      </c>
      <c r="L47" s="31" t="s">
        <v>11</v>
      </c>
      <c r="M47" s="55" t="s">
        <v>11</v>
      </c>
      <c r="N47" s="58" t="s">
        <v>11</v>
      </c>
      <c r="O47" s="31" t="s">
        <v>11</v>
      </c>
      <c r="P47" s="31" t="s">
        <v>11</v>
      </c>
      <c r="Q47" s="31" t="s">
        <v>11</v>
      </c>
      <c r="R47" s="55" t="s">
        <v>11</v>
      </c>
      <c r="S47" s="58" t="s">
        <v>11</v>
      </c>
      <c r="T47" s="31" t="s">
        <v>11</v>
      </c>
      <c r="U47" s="31" t="s">
        <v>11</v>
      </c>
      <c r="V47" s="31" t="s">
        <v>11</v>
      </c>
      <c r="W47" s="55" t="s">
        <v>11</v>
      </c>
      <c r="X47" s="58" t="s">
        <v>11</v>
      </c>
      <c r="Y47" s="31" t="s">
        <v>11</v>
      </c>
      <c r="Z47" s="31" t="s">
        <v>11</v>
      </c>
      <c r="AA47" s="31" t="s">
        <v>11</v>
      </c>
      <c r="AB47" s="55" t="s">
        <v>11</v>
      </c>
      <c r="AC47" s="58" t="s">
        <v>11</v>
      </c>
      <c r="AD47" s="31" t="s">
        <v>11</v>
      </c>
      <c r="AE47" s="31" t="s">
        <v>11</v>
      </c>
      <c r="AF47" s="22">
        <v>0.214</v>
      </c>
      <c r="AG47" s="96">
        <v>0.22600000000000001</v>
      </c>
      <c r="AH47" s="58">
        <v>0.20499999999999999</v>
      </c>
      <c r="AI47" s="31">
        <v>0.22</v>
      </c>
      <c r="AJ47" s="22">
        <v>0.219</v>
      </c>
      <c r="AK47" s="31">
        <v>0.22700000000000001</v>
      </c>
      <c r="AL47" s="55" t="s">
        <v>11</v>
      </c>
      <c r="AM47" s="58" t="s">
        <v>11</v>
      </c>
      <c r="AN47" s="31" t="s">
        <v>11</v>
      </c>
      <c r="AO47" s="31" t="s">
        <v>11</v>
      </c>
      <c r="AP47" s="31" t="s">
        <v>11</v>
      </c>
      <c r="AQ47" s="55" t="s">
        <v>11</v>
      </c>
      <c r="AR47" s="58" t="s">
        <v>11</v>
      </c>
      <c r="AS47" s="31" t="s">
        <v>11</v>
      </c>
      <c r="AT47" s="31" t="s">
        <v>11</v>
      </c>
      <c r="AU47" s="31" t="s">
        <v>11</v>
      </c>
      <c r="AV47" s="55" t="s">
        <v>11</v>
      </c>
      <c r="AW47" s="58" t="s">
        <v>11</v>
      </c>
      <c r="AX47" s="31" t="s">
        <v>11</v>
      </c>
      <c r="AY47" s="31" t="s">
        <v>11</v>
      </c>
      <c r="AZ47" s="31" t="s">
        <v>11</v>
      </c>
      <c r="BA47" s="55" t="s">
        <v>11</v>
      </c>
      <c r="BB47" s="58" t="s">
        <v>11</v>
      </c>
      <c r="BC47" s="31" t="s">
        <v>11</v>
      </c>
      <c r="BD47" s="31" t="s">
        <v>11</v>
      </c>
      <c r="BE47" s="31" t="s">
        <v>11</v>
      </c>
      <c r="BF47" s="55" t="s">
        <v>11</v>
      </c>
      <c r="BG47" s="58" t="s">
        <v>11</v>
      </c>
      <c r="BH47" s="31" t="s">
        <v>11</v>
      </c>
      <c r="BI47" s="31" t="s">
        <v>11</v>
      </c>
      <c r="BJ47" s="31" t="s">
        <v>11</v>
      </c>
      <c r="BK47" s="55" t="s">
        <v>11</v>
      </c>
      <c r="BL47" s="58" t="s">
        <v>11</v>
      </c>
      <c r="BM47" s="55" t="s">
        <v>11</v>
      </c>
      <c r="BN47" s="167">
        <f t="shared" si="28"/>
        <v>0.22144444444444442</v>
      </c>
      <c r="BO47" s="167">
        <f t="shared" si="29"/>
        <v>0.20300000000000001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65"/>
      <c r="B48" s="8" t="s">
        <v>30</v>
      </c>
      <c r="C48" s="12" t="s">
        <v>14</v>
      </c>
      <c r="D48" s="51" t="s">
        <v>11</v>
      </c>
      <c r="E48" s="52" t="s">
        <v>11</v>
      </c>
      <c r="F48" s="52" t="s">
        <v>11</v>
      </c>
      <c r="G48" s="52" t="s">
        <v>11</v>
      </c>
      <c r="H48" s="53" t="s">
        <v>11</v>
      </c>
      <c r="I48" s="57" t="s">
        <v>11</v>
      </c>
      <c r="J48" s="52" t="s">
        <v>11</v>
      </c>
      <c r="K48" s="52" t="s">
        <v>11</v>
      </c>
      <c r="L48" s="52" t="s">
        <v>11</v>
      </c>
      <c r="M48" s="53" t="s">
        <v>11</v>
      </c>
      <c r="N48" s="57" t="s">
        <v>11</v>
      </c>
      <c r="O48" s="52" t="s">
        <v>11</v>
      </c>
      <c r="P48" s="52" t="s">
        <v>11</v>
      </c>
      <c r="Q48" s="52" t="s">
        <v>11</v>
      </c>
      <c r="R48" s="53" t="s">
        <v>11</v>
      </c>
      <c r="S48" s="57" t="s">
        <v>11</v>
      </c>
      <c r="T48" s="52" t="s">
        <v>11</v>
      </c>
      <c r="U48" s="52" t="s">
        <v>11</v>
      </c>
      <c r="V48" s="52" t="s">
        <v>11</v>
      </c>
      <c r="W48" s="53" t="s">
        <v>11</v>
      </c>
      <c r="X48" s="57" t="s">
        <v>11</v>
      </c>
      <c r="Y48" s="52" t="s">
        <v>11</v>
      </c>
      <c r="Z48" s="52" t="s">
        <v>11</v>
      </c>
      <c r="AA48" s="52" t="s">
        <v>11</v>
      </c>
      <c r="AB48" s="53" t="s">
        <v>11</v>
      </c>
      <c r="AC48" s="57" t="s">
        <v>11</v>
      </c>
      <c r="AD48" s="52" t="s">
        <v>11</v>
      </c>
      <c r="AE48" s="52" t="s">
        <v>11</v>
      </c>
      <c r="AF48" s="39">
        <v>0.218</v>
      </c>
      <c r="AG48" s="53">
        <v>0.22500000000000001</v>
      </c>
      <c r="AH48" s="57">
        <v>0.222</v>
      </c>
      <c r="AI48" s="52">
        <v>0.23300000000000001</v>
      </c>
      <c r="AJ48" s="52">
        <v>0.224</v>
      </c>
      <c r="AK48" s="39">
        <v>0.215</v>
      </c>
      <c r="AL48" s="53" t="s">
        <v>11</v>
      </c>
      <c r="AM48" s="57" t="s">
        <v>11</v>
      </c>
      <c r="AN48" s="52" t="s">
        <v>11</v>
      </c>
      <c r="AO48" s="52" t="s">
        <v>11</v>
      </c>
      <c r="AP48" s="52" t="s">
        <v>11</v>
      </c>
      <c r="AQ48" s="53" t="s">
        <v>11</v>
      </c>
      <c r="AR48" s="57" t="s">
        <v>11</v>
      </c>
      <c r="AS48" s="52" t="s">
        <v>11</v>
      </c>
      <c r="AT48" s="52" t="s">
        <v>11</v>
      </c>
      <c r="AU48" s="52" t="s">
        <v>11</v>
      </c>
      <c r="AV48" s="53" t="s">
        <v>11</v>
      </c>
      <c r="AW48" s="57" t="s">
        <v>11</v>
      </c>
      <c r="AX48" s="52" t="s">
        <v>11</v>
      </c>
      <c r="AY48" s="52" t="s">
        <v>11</v>
      </c>
      <c r="AZ48" s="52" t="s">
        <v>11</v>
      </c>
      <c r="BA48" s="53" t="s">
        <v>11</v>
      </c>
      <c r="BB48" s="57" t="s">
        <v>11</v>
      </c>
      <c r="BC48" s="52" t="s">
        <v>11</v>
      </c>
      <c r="BD48" s="52" t="s">
        <v>11</v>
      </c>
      <c r="BE48" s="52" t="s">
        <v>11</v>
      </c>
      <c r="BF48" s="53" t="s">
        <v>11</v>
      </c>
      <c r="BG48" s="57" t="s">
        <v>11</v>
      </c>
      <c r="BH48" s="52" t="s">
        <v>11</v>
      </c>
      <c r="BI48" s="52" t="s">
        <v>11</v>
      </c>
      <c r="BJ48" s="52" t="s">
        <v>11</v>
      </c>
      <c r="BK48" s="53" t="s">
        <v>11</v>
      </c>
      <c r="BL48" s="57" t="s">
        <v>11</v>
      </c>
      <c r="BM48" s="53" t="s">
        <v>11</v>
      </c>
      <c r="BN48" s="168">
        <f t="shared" si="28"/>
        <v>0.22266666666666668</v>
      </c>
      <c r="BO48" s="168">
        <f t="shared" si="29"/>
        <v>0.20300000000000001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19</v>
      </c>
      <c r="B49" s="6" t="s">
        <v>31</v>
      </c>
      <c r="C49" s="11" t="s">
        <v>10</v>
      </c>
      <c r="D49" s="48" t="s">
        <v>11</v>
      </c>
      <c r="E49" s="49" t="s">
        <v>11</v>
      </c>
      <c r="F49" s="49" t="s">
        <v>11</v>
      </c>
      <c r="G49" s="49" t="s">
        <v>11</v>
      </c>
      <c r="H49" s="50" t="s">
        <v>11</v>
      </c>
      <c r="I49" s="56" t="s">
        <v>11</v>
      </c>
      <c r="J49" s="49" t="s">
        <v>11</v>
      </c>
      <c r="K49" s="49" t="s">
        <v>11</v>
      </c>
      <c r="L49" s="49" t="s">
        <v>11</v>
      </c>
      <c r="M49" s="50" t="s">
        <v>11</v>
      </c>
      <c r="N49" s="56" t="s">
        <v>11</v>
      </c>
      <c r="O49" s="49" t="s">
        <v>11</v>
      </c>
      <c r="P49" s="49" t="s">
        <v>11</v>
      </c>
      <c r="Q49" s="49" t="s">
        <v>11</v>
      </c>
      <c r="R49" s="50" t="s">
        <v>11</v>
      </c>
      <c r="S49" s="56" t="s">
        <v>11</v>
      </c>
      <c r="T49" s="49" t="s">
        <v>11</v>
      </c>
      <c r="U49" s="49" t="s">
        <v>11</v>
      </c>
      <c r="V49" s="49" t="s">
        <v>11</v>
      </c>
      <c r="W49" s="50" t="s">
        <v>11</v>
      </c>
      <c r="X49" s="56" t="s">
        <v>11</v>
      </c>
      <c r="Y49" s="49" t="s">
        <v>11</v>
      </c>
      <c r="Z49" s="49" t="s">
        <v>11</v>
      </c>
      <c r="AA49" s="49" t="s">
        <v>11</v>
      </c>
      <c r="AB49" s="50" t="s">
        <v>11</v>
      </c>
      <c r="AC49" s="56" t="s">
        <v>11</v>
      </c>
      <c r="AD49" s="49" t="s">
        <v>11</v>
      </c>
      <c r="AE49" s="49" t="s">
        <v>11</v>
      </c>
      <c r="AF49" s="49">
        <v>0.219</v>
      </c>
      <c r="AG49" s="50">
        <v>0.20300000000000001</v>
      </c>
      <c r="AH49" s="56">
        <v>0.22700000000000001</v>
      </c>
      <c r="AI49" s="49">
        <v>0.24399999999999999</v>
      </c>
      <c r="AJ49" s="49">
        <v>0.23100000000000001</v>
      </c>
      <c r="AK49" s="36">
        <v>0.214</v>
      </c>
      <c r="AL49" s="50" t="s">
        <v>11</v>
      </c>
      <c r="AM49" s="56" t="s">
        <v>11</v>
      </c>
      <c r="AN49" s="49" t="s">
        <v>11</v>
      </c>
      <c r="AO49" s="49" t="s">
        <v>11</v>
      </c>
      <c r="AP49" s="49" t="s">
        <v>11</v>
      </c>
      <c r="AQ49" s="50" t="s">
        <v>11</v>
      </c>
      <c r="AR49" s="56" t="s">
        <v>11</v>
      </c>
      <c r="AS49" s="49" t="s">
        <v>11</v>
      </c>
      <c r="AT49" s="49" t="s">
        <v>11</v>
      </c>
      <c r="AU49" s="49" t="s">
        <v>11</v>
      </c>
      <c r="AV49" s="50" t="s">
        <v>11</v>
      </c>
      <c r="AW49" s="56" t="s">
        <v>11</v>
      </c>
      <c r="AX49" s="49" t="s">
        <v>11</v>
      </c>
      <c r="AY49" s="49" t="s">
        <v>11</v>
      </c>
      <c r="AZ49" s="49" t="s">
        <v>11</v>
      </c>
      <c r="BA49" s="50" t="s">
        <v>11</v>
      </c>
      <c r="BB49" s="56" t="s">
        <v>11</v>
      </c>
      <c r="BC49" s="49" t="s">
        <v>11</v>
      </c>
      <c r="BD49" s="49" t="s">
        <v>11</v>
      </c>
      <c r="BE49" s="49" t="s">
        <v>11</v>
      </c>
      <c r="BF49" s="50" t="s">
        <v>11</v>
      </c>
      <c r="BG49" s="56" t="s">
        <v>11</v>
      </c>
      <c r="BH49" s="49" t="s">
        <v>11</v>
      </c>
      <c r="BI49" s="49" t="s">
        <v>11</v>
      </c>
      <c r="BJ49" s="49" t="s">
        <v>11</v>
      </c>
      <c r="BK49" s="50" t="s">
        <v>11</v>
      </c>
      <c r="BL49" s="56" t="s">
        <v>11</v>
      </c>
      <c r="BM49" s="50" t="s">
        <v>11</v>
      </c>
      <c r="BN49" s="166">
        <f t="shared" ref="BN49:BN51" si="30">IFERROR(AVERAGE(D49:BM51),0)</f>
        <v>0.22111111111111106</v>
      </c>
      <c r="BO49" s="166">
        <f t="shared" ref="BO49:BO51" si="31">MIN(D49:BM51)</f>
        <v>0.20100000000000001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65">
        <v>8.3000000000000004E-2</v>
      </c>
      <c r="B50" s="7" t="s">
        <v>18</v>
      </c>
      <c r="C50" s="11" t="s">
        <v>8</v>
      </c>
      <c r="D50" s="54" t="s">
        <v>11</v>
      </c>
      <c r="E50" s="31" t="s">
        <v>11</v>
      </c>
      <c r="F50" s="31" t="s">
        <v>11</v>
      </c>
      <c r="G50" s="31" t="s">
        <v>11</v>
      </c>
      <c r="H50" s="55" t="s">
        <v>11</v>
      </c>
      <c r="I50" s="58" t="s">
        <v>11</v>
      </c>
      <c r="J50" s="31" t="s">
        <v>11</v>
      </c>
      <c r="K50" s="31" t="s">
        <v>11</v>
      </c>
      <c r="L50" s="31" t="s">
        <v>11</v>
      </c>
      <c r="M50" s="55" t="s">
        <v>11</v>
      </c>
      <c r="N50" s="58" t="s">
        <v>11</v>
      </c>
      <c r="O50" s="31" t="s">
        <v>11</v>
      </c>
      <c r="P50" s="31" t="s">
        <v>11</v>
      </c>
      <c r="Q50" s="31" t="s">
        <v>11</v>
      </c>
      <c r="R50" s="55" t="s">
        <v>11</v>
      </c>
      <c r="S50" s="58" t="s">
        <v>11</v>
      </c>
      <c r="T50" s="31" t="s">
        <v>11</v>
      </c>
      <c r="U50" s="31" t="s">
        <v>11</v>
      </c>
      <c r="V50" s="31" t="s">
        <v>11</v>
      </c>
      <c r="W50" s="55" t="s">
        <v>11</v>
      </c>
      <c r="X50" s="58" t="s">
        <v>11</v>
      </c>
      <c r="Y50" s="31" t="s">
        <v>11</v>
      </c>
      <c r="Z50" s="31" t="s">
        <v>11</v>
      </c>
      <c r="AA50" s="31" t="s">
        <v>11</v>
      </c>
      <c r="AB50" s="55" t="s">
        <v>11</v>
      </c>
      <c r="AC50" s="58" t="s">
        <v>11</v>
      </c>
      <c r="AD50" s="31" t="s">
        <v>11</v>
      </c>
      <c r="AE50" s="31" t="s">
        <v>11</v>
      </c>
      <c r="AF50" s="31">
        <v>0.216</v>
      </c>
      <c r="AG50" s="96">
        <v>0.22600000000000001</v>
      </c>
      <c r="AH50" s="58">
        <v>0.22500000000000001</v>
      </c>
      <c r="AI50" s="31">
        <v>0.24399999999999999</v>
      </c>
      <c r="AJ50" s="22">
        <v>0.21099999999999999</v>
      </c>
      <c r="AK50" s="22">
        <v>0.21099999999999999</v>
      </c>
      <c r="AL50" s="55" t="s">
        <v>11</v>
      </c>
      <c r="AM50" s="58" t="s">
        <v>11</v>
      </c>
      <c r="AN50" s="31" t="s">
        <v>11</v>
      </c>
      <c r="AO50" s="31" t="s">
        <v>11</v>
      </c>
      <c r="AP50" s="31" t="s">
        <v>11</v>
      </c>
      <c r="AQ50" s="55" t="s">
        <v>11</v>
      </c>
      <c r="AR50" s="58" t="s">
        <v>11</v>
      </c>
      <c r="AS50" s="31" t="s">
        <v>11</v>
      </c>
      <c r="AT50" s="31" t="s">
        <v>11</v>
      </c>
      <c r="AU50" s="31" t="s">
        <v>11</v>
      </c>
      <c r="AV50" s="55" t="s">
        <v>11</v>
      </c>
      <c r="AW50" s="58" t="s">
        <v>11</v>
      </c>
      <c r="AX50" s="31" t="s">
        <v>11</v>
      </c>
      <c r="AY50" s="31" t="s">
        <v>11</v>
      </c>
      <c r="AZ50" s="31" t="s">
        <v>11</v>
      </c>
      <c r="BA50" s="55" t="s">
        <v>11</v>
      </c>
      <c r="BB50" s="58" t="s">
        <v>11</v>
      </c>
      <c r="BC50" s="31" t="s">
        <v>11</v>
      </c>
      <c r="BD50" s="31" t="s">
        <v>11</v>
      </c>
      <c r="BE50" s="31" t="s">
        <v>11</v>
      </c>
      <c r="BF50" s="55" t="s">
        <v>11</v>
      </c>
      <c r="BG50" s="58" t="s">
        <v>11</v>
      </c>
      <c r="BH50" s="31" t="s">
        <v>11</v>
      </c>
      <c r="BI50" s="31" t="s">
        <v>11</v>
      </c>
      <c r="BJ50" s="31" t="s">
        <v>11</v>
      </c>
      <c r="BK50" s="55" t="s">
        <v>11</v>
      </c>
      <c r="BL50" s="58" t="s">
        <v>11</v>
      </c>
      <c r="BM50" s="55" t="s">
        <v>11</v>
      </c>
      <c r="BN50" s="167">
        <f t="shared" si="30"/>
        <v>0.21872222222222223</v>
      </c>
      <c r="BO50" s="167">
        <f t="shared" si="31"/>
        <v>0.185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65"/>
      <c r="B51" s="8" t="s">
        <v>30</v>
      </c>
      <c r="C51" s="12" t="s">
        <v>14</v>
      </c>
      <c r="D51" s="51" t="s">
        <v>11</v>
      </c>
      <c r="E51" s="52" t="s">
        <v>11</v>
      </c>
      <c r="F51" s="52" t="s">
        <v>11</v>
      </c>
      <c r="G51" s="52" t="s">
        <v>11</v>
      </c>
      <c r="H51" s="53" t="s">
        <v>11</v>
      </c>
      <c r="I51" s="57" t="s">
        <v>11</v>
      </c>
      <c r="J51" s="52" t="s">
        <v>11</v>
      </c>
      <c r="K51" s="52" t="s">
        <v>11</v>
      </c>
      <c r="L51" s="52" t="s">
        <v>11</v>
      </c>
      <c r="M51" s="53" t="s">
        <v>11</v>
      </c>
      <c r="N51" s="57" t="s">
        <v>11</v>
      </c>
      <c r="O51" s="52" t="s">
        <v>11</v>
      </c>
      <c r="P51" s="52" t="s">
        <v>11</v>
      </c>
      <c r="Q51" s="52" t="s">
        <v>11</v>
      </c>
      <c r="R51" s="53" t="s">
        <v>11</v>
      </c>
      <c r="S51" s="57" t="s">
        <v>11</v>
      </c>
      <c r="T51" s="52" t="s">
        <v>11</v>
      </c>
      <c r="U51" s="52" t="s">
        <v>11</v>
      </c>
      <c r="V51" s="52" t="s">
        <v>11</v>
      </c>
      <c r="W51" s="53" t="s">
        <v>11</v>
      </c>
      <c r="X51" s="57" t="s">
        <v>11</v>
      </c>
      <c r="Y51" s="52" t="s">
        <v>11</v>
      </c>
      <c r="Z51" s="52" t="s">
        <v>11</v>
      </c>
      <c r="AA51" s="52" t="s">
        <v>11</v>
      </c>
      <c r="AB51" s="53" t="s">
        <v>11</v>
      </c>
      <c r="AC51" s="57" t="s">
        <v>11</v>
      </c>
      <c r="AD51" s="52" t="s">
        <v>11</v>
      </c>
      <c r="AE51" s="52" t="s">
        <v>11</v>
      </c>
      <c r="AF51" s="39">
        <v>0.22600000000000001</v>
      </c>
      <c r="AG51" s="40">
        <v>0.20699999999999999</v>
      </c>
      <c r="AH51" s="57">
        <v>0.23300000000000001</v>
      </c>
      <c r="AI51" s="52">
        <v>0.23499999999999999</v>
      </c>
      <c r="AJ51" s="39">
        <v>0.20699999999999999</v>
      </c>
      <c r="AK51" s="39">
        <v>0.20100000000000001</v>
      </c>
      <c r="AL51" s="53" t="s">
        <v>11</v>
      </c>
      <c r="AM51" s="57" t="s">
        <v>11</v>
      </c>
      <c r="AN51" s="52" t="s">
        <v>11</v>
      </c>
      <c r="AO51" s="52" t="s">
        <v>11</v>
      </c>
      <c r="AP51" s="52" t="s">
        <v>11</v>
      </c>
      <c r="AQ51" s="53" t="s">
        <v>11</v>
      </c>
      <c r="AR51" s="57" t="s">
        <v>11</v>
      </c>
      <c r="AS51" s="52" t="s">
        <v>11</v>
      </c>
      <c r="AT51" s="52" t="s">
        <v>11</v>
      </c>
      <c r="AU51" s="52" t="s">
        <v>11</v>
      </c>
      <c r="AV51" s="53" t="s">
        <v>11</v>
      </c>
      <c r="AW51" s="57" t="s">
        <v>11</v>
      </c>
      <c r="AX51" s="52" t="s">
        <v>11</v>
      </c>
      <c r="AY51" s="52" t="s">
        <v>11</v>
      </c>
      <c r="AZ51" s="52" t="s">
        <v>11</v>
      </c>
      <c r="BA51" s="53" t="s">
        <v>11</v>
      </c>
      <c r="BB51" s="57" t="s">
        <v>11</v>
      </c>
      <c r="BC51" s="52" t="s">
        <v>11</v>
      </c>
      <c r="BD51" s="52" t="s">
        <v>11</v>
      </c>
      <c r="BE51" s="52" t="s">
        <v>11</v>
      </c>
      <c r="BF51" s="53" t="s">
        <v>11</v>
      </c>
      <c r="BG51" s="57" t="s">
        <v>11</v>
      </c>
      <c r="BH51" s="52" t="s">
        <v>11</v>
      </c>
      <c r="BI51" s="52" t="s">
        <v>11</v>
      </c>
      <c r="BJ51" s="52" t="s">
        <v>11</v>
      </c>
      <c r="BK51" s="53" t="s">
        <v>11</v>
      </c>
      <c r="BL51" s="57" t="s">
        <v>11</v>
      </c>
      <c r="BM51" s="53" t="s">
        <v>11</v>
      </c>
      <c r="BN51" s="168">
        <f t="shared" si="30"/>
        <v>0.21500000000000005</v>
      </c>
      <c r="BO51" s="168">
        <f t="shared" si="31"/>
        <v>0.185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19</v>
      </c>
      <c r="B52" s="6" t="s">
        <v>32</v>
      </c>
      <c r="C52" s="11" t="s">
        <v>10</v>
      </c>
      <c r="D52" s="48" t="s">
        <v>11</v>
      </c>
      <c r="E52" s="49" t="s">
        <v>11</v>
      </c>
      <c r="F52" s="49" t="s">
        <v>11</v>
      </c>
      <c r="G52" s="49" t="s">
        <v>11</v>
      </c>
      <c r="H52" s="50" t="s">
        <v>11</v>
      </c>
      <c r="I52" s="56" t="s">
        <v>11</v>
      </c>
      <c r="J52" s="49" t="s">
        <v>11</v>
      </c>
      <c r="K52" s="49" t="s">
        <v>11</v>
      </c>
      <c r="L52" s="49" t="s">
        <v>11</v>
      </c>
      <c r="M52" s="50" t="s">
        <v>11</v>
      </c>
      <c r="N52" s="56" t="s">
        <v>11</v>
      </c>
      <c r="O52" s="49" t="s">
        <v>11</v>
      </c>
      <c r="P52" s="49" t="s">
        <v>11</v>
      </c>
      <c r="Q52" s="49" t="s">
        <v>11</v>
      </c>
      <c r="R52" s="50" t="s">
        <v>11</v>
      </c>
      <c r="S52" s="56" t="s">
        <v>11</v>
      </c>
      <c r="T52" s="49" t="s">
        <v>11</v>
      </c>
      <c r="U52" s="49" t="s">
        <v>11</v>
      </c>
      <c r="V52" s="49" t="s">
        <v>11</v>
      </c>
      <c r="W52" s="50" t="s">
        <v>11</v>
      </c>
      <c r="X52" s="56" t="s">
        <v>11</v>
      </c>
      <c r="Y52" s="49" t="s">
        <v>11</v>
      </c>
      <c r="Z52" s="49" t="s">
        <v>11</v>
      </c>
      <c r="AA52" s="49" t="s">
        <v>11</v>
      </c>
      <c r="AB52" s="50" t="s">
        <v>11</v>
      </c>
      <c r="AC52" s="56" t="s">
        <v>11</v>
      </c>
      <c r="AD52" s="49" t="s">
        <v>11</v>
      </c>
      <c r="AE52" s="49" t="s">
        <v>11</v>
      </c>
      <c r="AF52" s="36">
        <v>0.21099999999999999</v>
      </c>
      <c r="AG52" s="100">
        <v>0.223</v>
      </c>
      <c r="AH52" s="43">
        <v>0.216</v>
      </c>
      <c r="AI52" s="93">
        <v>0.23400000000000001</v>
      </c>
      <c r="AJ52" s="49">
        <v>0.22600000000000001</v>
      </c>
      <c r="AK52" s="36">
        <v>0.185</v>
      </c>
      <c r="AL52" s="50" t="s">
        <v>11</v>
      </c>
      <c r="AM52" s="56" t="s">
        <v>11</v>
      </c>
      <c r="AN52" s="49" t="s">
        <v>11</v>
      </c>
      <c r="AO52" s="49" t="s">
        <v>11</v>
      </c>
      <c r="AP52" s="49" t="s">
        <v>11</v>
      </c>
      <c r="AQ52" s="50" t="s">
        <v>11</v>
      </c>
      <c r="AR52" s="56" t="s">
        <v>11</v>
      </c>
      <c r="AS52" s="49" t="s">
        <v>11</v>
      </c>
      <c r="AT52" s="49" t="s">
        <v>11</v>
      </c>
      <c r="AU52" s="49" t="s">
        <v>11</v>
      </c>
      <c r="AV52" s="50" t="s">
        <v>11</v>
      </c>
      <c r="AW52" s="56" t="s">
        <v>11</v>
      </c>
      <c r="AX52" s="49" t="s">
        <v>11</v>
      </c>
      <c r="AY52" s="49" t="s">
        <v>11</v>
      </c>
      <c r="AZ52" s="49" t="s">
        <v>11</v>
      </c>
      <c r="BA52" s="50" t="s">
        <v>11</v>
      </c>
      <c r="BB52" s="56" t="s">
        <v>11</v>
      </c>
      <c r="BC52" s="49" t="s">
        <v>11</v>
      </c>
      <c r="BD52" s="49" t="s">
        <v>11</v>
      </c>
      <c r="BE52" s="49" t="s">
        <v>11</v>
      </c>
      <c r="BF52" s="50" t="s">
        <v>11</v>
      </c>
      <c r="BG52" s="56" t="s">
        <v>11</v>
      </c>
      <c r="BH52" s="49" t="s">
        <v>11</v>
      </c>
      <c r="BI52" s="49" t="s">
        <v>11</v>
      </c>
      <c r="BJ52" s="49" t="s">
        <v>11</v>
      </c>
      <c r="BK52" s="50" t="s">
        <v>11</v>
      </c>
      <c r="BL52" s="56" t="s">
        <v>11</v>
      </c>
      <c r="BM52" s="50" t="s">
        <v>11</v>
      </c>
      <c r="BN52" s="166">
        <f t="shared" ref="BN52:BN54" si="32">IFERROR(AVERAGE(D52:BM54),0)</f>
        <v>0.21605555555555558</v>
      </c>
      <c r="BO52" s="166">
        <f t="shared" ref="BO52:BO54" si="33">MIN(D52:BM54)</f>
        <v>0.185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65">
        <v>8.3000000000000004E-2</v>
      </c>
      <c r="B53" s="7" t="s">
        <v>12</v>
      </c>
      <c r="C53" s="11" t="s">
        <v>8</v>
      </c>
      <c r="D53" s="54" t="s">
        <v>11</v>
      </c>
      <c r="E53" s="31" t="s">
        <v>11</v>
      </c>
      <c r="F53" s="31" t="s">
        <v>11</v>
      </c>
      <c r="G53" s="31" t="s">
        <v>11</v>
      </c>
      <c r="H53" s="55" t="s">
        <v>11</v>
      </c>
      <c r="I53" s="58" t="s">
        <v>11</v>
      </c>
      <c r="J53" s="31" t="s">
        <v>11</v>
      </c>
      <c r="K53" s="31" t="s">
        <v>11</v>
      </c>
      <c r="L53" s="31" t="s">
        <v>11</v>
      </c>
      <c r="M53" s="55" t="s">
        <v>11</v>
      </c>
      <c r="N53" s="58" t="s">
        <v>11</v>
      </c>
      <c r="O53" s="31" t="s">
        <v>11</v>
      </c>
      <c r="P53" s="31" t="s">
        <v>11</v>
      </c>
      <c r="Q53" s="31" t="s">
        <v>11</v>
      </c>
      <c r="R53" s="55" t="s">
        <v>11</v>
      </c>
      <c r="S53" s="58" t="s">
        <v>11</v>
      </c>
      <c r="T53" s="31" t="s">
        <v>11</v>
      </c>
      <c r="U53" s="31" t="s">
        <v>11</v>
      </c>
      <c r="V53" s="31" t="s">
        <v>11</v>
      </c>
      <c r="W53" s="55" t="s">
        <v>11</v>
      </c>
      <c r="X53" s="58" t="s">
        <v>11</v>
      </c>
      <c r="Y53" s="31" t="s">
        <v>11</v>
      </c>
      <c r="Z53" s="31" t="s">
        <v>11</v>
      </c>
      <c r="AA53" s="31" t="s">
        <v>11</v>
      </c>
      <c r="AB53" s="55" t="s">
        <v>11</v>
      </c>
      <c r="AC53" s="58" t="s">
        <v>11</v>
      </c>
      <c r="AD53" s="31" t="s">
        <v>11</v>
      </c>
      <c r="AE53" s="31" t="s">
        <v>11</v>
      </c>
      <c r="AF53" s="22">
        <v>0.217</v>
      </c>
      <c r="AG53" s="42">
        <v>0.19700000000000001</v>
      </c>
      <c r="AH53" s="45">
        <v>0.222</v>
      </c>
      <c r="AI53" s="22">
        <v>0.22800000000000001</v>
      </c>
      <c r="AJ53" s="31">
        <v>0.21199999999999999</v>
      </c>
      <c r="AK53" s="31">
        <v>0.19</v>
      </c>
      <c r="AL53" s="55" t="s">
        <v>11</v>
      </c>
      <c r="AM53" s="58" t="s">
        <v>11</v>
      </c>
      <c r="AN53" s="31" t="s">
        <v>11</v>
      </c>
      <c r="AO53" s="31" t="s">
        <v>11</v>
      </c>
      <c r="AP53" s="31" t="s">
        <v>11</v>
      </c>
      <c r="AQ53" s="55" t="s">
        <v>11</v>
      </c>
      <c r="AR53" s="58" t="s">
        <v>11</v>
      </c>
      <c r="AS53" s="31" t="s">
        <v>11</v>
      </c>
      <c r="AT53" s="31" t="s">
        <v>11</v>
      </c>
      <c r="AU53" s="31" t="s">
        <v>11</v>
      </c>
      <c r="AV53" s="55" t="s">
        <v>11</v>
      </c>
      <c r="AW53" s="58" t="s">
        <v>11</v>
      </c>
      <c r="AX53" s="31" t="s">
        <v>11</v>
      </c>
      <c r="AY53" s="31" t="s">
        <v>11</v>
      </c>
      <c r="AZ53" s="31" t="s">
        <v>11</v>
      </c>
      <c r="BA53" s="55" t="s">
        <v>11</v>
      </c>
      <c r="BB53" s="58" t="s">
        <v>11</v>
      </c>
      <c r="BC53" s="31" t="s">
        <v>11</v>
      </c>
      <c r="BD53" s="31" t="s">
        <v>11</v>
      </c>
      <c r="BE53" s="31" t="s">
        <v>11</v>
      </c>
      <c r="BF53" s="55" t="s">
        <v>11</v>
      </c>
      <c r="BG53" s="58" t="s">
        <v>11</v>
      </c>
      <c r="BH53" s="31" t="s">
        <v>11</v>
      </c>
      <c r="BI53" s="31" t="s">
        <v>11</v>
      </c>
      <c r="BJ53" s="31" t="s">
        <v>11</v>
      </c>
      <c r="BK53" s="55" t="s">
        <v>11</v>
      </c>
      <c r="BL53" s="58" t="s">
        <v>11</v>
      </c>
      <c r="BM53" s="55" t="s">
        <v>11</v>
      </c>
      <c r="BN53" s="167">
        <f t="shared" si="32"/>
        <v>0.20231081081081081</v>
      </c>
      <c r="BO53" s="167">
        <f t="shared" si="33"/>
        <v>0.13500000000000001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65"/>
      <c r="B54" s="8" t="s">
        <v>30</v>
      </c>
      <c r="C54" s="12" t="s">
        <v>14</v>
      </c>
      <c r="D54" s="51" t="s">
        <v>11</v>
      </c>
      <c r="E54" s="52" t="s">
        <v>11</v>
      </c>
      <c r="F54" s="52" t="s">
        <v>11</v>
      </c>
      <c r="G54" s="52" t="s">
        <v>11</v>
      </c>
      <c r="H54" s="53" t="s">
        <v>11</v>
      </c>
      <c r="I54" s="57" t="s">
        <v>11</v>
      </c>
      <c r="J54" s="52" t="s">
        <v>11</v>
      </c>
      <c r="K54" s="52" t="s">
        <v>11</v>
      </c>
      <c r="L54" s="52" t="s">
        <v>11</v>
      </c>
      <c r="M54" s="53" t="s">
        <v>11</v>
      </c>
      <c r="N54" s="57" t="s">
        <v>11</v>
      </c>
      <c r="O54" s="52" t="s">
        <v>11</v>
      </c>
      <c r="P54" s="52" t="s">
        <v>11</v>
      </c>
      <c r="Q54" s="52" t="s">
        <v>11</v>
      </c>
      <c r="R54" s="53" t="s">
        <v>11</v>
      </c>
      <c r="S54" s="57" t="s">
        <v>11</v>
      </c>
      <c r="T54" s="52" t="s">
        <v>11</v>
      </c>
      <c r="U54" s="52" t="s">
        <v>11</v>
      </c>
      <c r="V54" s="52" t="s">
        <v>11</v>
      </c>
      <c r="W54" s="53" t="s">
        <v>11</v>
      </c>
      <c r="X54" s="57" t="s">
        <v>11</v>
      </c>
      <c r="Y54" s="52" t="s">
        <v>11</v>
      </c>
      <c r="Z54" s="52" t="s">
        <v>11</v>
      </c>
      <c r="AA54" s="52" t="s">
        <v>11</v>
      </c>
      <c r="AB54" s="53" t="s">
        <v>11</v>
      </c>
      <c r="AC54" s="57" t="s">
        <v>11</v>
      </c>
      <c r="AD54" s="52" t="s">
        <v>11</v>
      </c>
      <c r="AE54" s="52" t="s">
        <v>11</v>
      </c>
      <c r="AF54" s="98">
        <v>0.23699999999999999</v>
      </c>
      <c r="AG54" s="40">
        <v>0.20100000000000001</v>
      </c>
      <c r="AH54" s="57">
        <v>0.23200000000000001</v>
      </c>
      <c r="AI54" s="52">
        <v>0.24099999999999999</v>
      </c>
      <c r="AJ54" s="39">
        <v>0.20200000000000001</v>
      </c>
      <c r="AK54" s="39">
        <v>0.215</v>
      </c>
      <c r="AL54" s="53" t="s">
        <v>11</v>
      </c>
      <c r="AM54" s="57" t="s">
        <v>11</v>
      </c>
      <c r="AN54" s="52" t="s">
        <v>11</v>
      </c>
      <c r="AO54" s="52" t="s">
        <v>11</v>
      </c>
      <c r="AP54" s="52" t="s">
        <v>11</v>
      </c>
      <c r="AQ54" s="53" t="s">
        <v>11</v>
      </c>
      <c r="AR54" s="57" t="s">
        <v>11</v>
      </c>
      <c r="AS54" s="52" t="s">
        <v>11</v>
      </c>
      <c r="AT54" s="52" t="s">
        <v>11</v>
      </c>
      <c r="AU54" s="52" t="s">
        <v>11</v>
      </c>
      <c r="AV54" s="53" t="s">
        <v>11</v>
      </c>
      <c r="AW54" s="57" t="s">
        <v>11</v>
      </c>
      <c r="AX54" s="52" t="s">
        <v>11</v>
      </c>
      <c r="AY54" s="52" t="s">
        <v>11</v>
      </c>
      <c r="AZ54" s="52" t="s">
        <v>11</v>
      </c>
      <c r="BA54" s="53" t="s">
        <v>11</v>
      </c>
      <c r="BB54" s="57" t="s">
        <v>11</v>
      </c>
      <c r="BC54" s="52" t="s">
        <v>11</v>
      </c>
      <c r="BD54" s="52" t="s">
        <v>11</v>
      </c>
      <c r="BE54" s="52" t="s">
        <v>11</v>
      </c>
      <c r="BF54" s="53" t="s">
        <v>11</v>
      </c>
      <c r="BG54" s="57" t="s">
        <v>11</v>
      </c>
      <c r="BH54" s="52" t="s">
        <v>11</v>
      </c>
      <c r="BI54" s="52" t="s">
        <v>11</v>
      </c>
      <c r="BJ54" s="52" t="s">
        <v>11</v>
      </c>
      <c r="BK54" s="53" t="s">
        <v>11</v>
      </c>
      <c r="BL54" s="57" t="s">
        <v>11</v>
      </c>
      <c r="BM54" s="53" t="s">
        <v>11</v>
      </c>
      <c r="BN54" s="168">
        <f t="shared" si="32"/>
        <v>0.20242187500000008</v>
      </c>
      <c r="BO54" s="168">
        <f t="shared" si="33"/>
        <v>0.13500000000000001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19</v>
      </c>
      <c r="B55" s="6"/>
      <c r="C55" s="11" t="s">
        <v>10</v>
      </c>
      <c r="D55" s="48">
        <v>0.22</v>
      </c>
      <c r="E55" s="36">
        <v>0.13500000000000001</v>
      </c>
      <c r="F55" s="36">
        <v>0.21099999999999999</v>
      </c>
      <c r="G55" s="36">
        <v>0.216</v>
      </c>
      <c r="H55" s="100">
        <v>0.223</v>
      </c>
      <c r="I55" s="43">
        <v>0.21299999999999999</v>
      </c>
      <c r="J55" s="93">
        <v>0.20899999999999999</v>
      </c>
      <c r="K55" s="93">
        <v>0.21199999999999999</v>
      </c>
      <c r="L55" s="93">
        <v>0.221</v>
      </c>
      <c r="M55" s="37">
        <v>0.20899999999999999</v>
      </c>
      <c r="N55" s="43">
        <v>0.191</v>
      </c>
      <c r="O55" s="93">
        <v>0.21299999999999999</v>
      </c>
      <c r="P55" s="36">
        <v>0.161</v>
      </c>
      <c r="Q55" s="36">
        <v>0.19600000000000001</v>
      </c>
      <c r="R55" s="37">
        <v>0.20399999999999999</v>
      </c>
      <c r="S55" s="43">
        <v>0.16</v>
      </c>
      <c r="T55" s="36">
        <v>0.19400000000000001</v>
      </c>
      <c r="U55" s="36">
        <v>0.192</v>
      </c>
      <c r="V55" s="49">
        <v>0.19700000000000001</v>
      </c>
      <c r="W55" s="37">
        <v>0.183</v>
      </c>
      <c r="X55" s="43">
        <v>0.2</v>
      </c>
      <c r="Y55" s="36">
        <v>0.188</v>
      </c>
      <c r="Z55" s="36">
        <v>0.19900000000000001</v>
      </c>
      <c r="AA55" s="36">
        <v>0.2</v>
      </c>
      <c r="AB55" s="100">
        <v>0.20899999999999999</v>
      </c>
      <c r="AC55" s="92">
        <v>0.222</v>
      </c>
      <c r="AD55" s="36">
        <v>0.17499999999999999</v>
      </c>
      <c r="AE55" s="93">
        <v>0.224</v>
      </c>
      <c r="AF55" s="36">
        <v>0.17499999999999999</v>
      </c>
      <c r="AG55" s="37">
        <v>0.20100000000000001</v>
      </c>
      <c r="AH55" s="43">
        <v>0.216</v>
      </c>
      <c r="AI55" s="93">
        <v>0.22800000000000001</v>
      </c>
      <c r="AJ55" s="36">
        <v>0.19700000000000001</v>
      </c>
      <c r="AK55" s="93">
        <v>0.217</v>
      </c>
      <c r="AL55" s="37">
        <v>0.185</v>
      </c>
      <c r="AM55" s="43">
        <v>0.13900000000000001</v>
      </c>
      <c r="AN55" s="36">
        <v>0.19700000000000001</v>
      </c>
      <c r="AO55" s="49">
        <v>0.191</v>
      </c>
      <c r="AP55" s="49">
        <v>0.161</v>
      </c>
      <c r="AQ55" s="100">
        <v>0.20399999999999999</v>
      </c>
      <c r="AR55" s="92">
        <v>0.219</v>
      </c>
      <c r="AS55" s="93">
        <v>0.20599999999999999</v>
      </c>
      <c r="AT55" s="93">
        <v>0.20699999999999999</v>
      </c>
      <c r="AU55" s="36">
        <v>0.19600000000000001</v>
      </c>
      <c r="AV55" s="37">
        <v>0.16700000000000001</v>
      </c>
      <c r="AW55" s="92">
        <v>0.20899999999999999</v>
      </c>
      <c r="AX55" s="93">
        <v>0.216</v>
      </c>
      <c r="AY55" s="36">
        <v>0.191</v>
      </c>
      <c r="AZ55" s="36">
        <v>0.20799999999999999</v>
      </c>
      <c r="BA55" s="100">
        <v>0.218</v>
      </c>
      <c r="BB55" s="56">
        <v>0.22</v>
      </c>
      <c r="BC55" s="36">
        <v>0.189</v>
      </c>
      <c r="BD55" s="36">
        <v>0.19</v>
      </c>
      <c r="BE55" s="36">
        <v>0.17799999999999999</v>
      </c>
      <c r="BF55" s="100">
        <v>0.22600000000000001</v>
      </c>
      <c r="BG55" s="43">
        <v>0.19400000000000001</v>
      </c>
      <c r="BH55" s="93">
        <v>0.22500000000000001</v>
      </c>
      <c r="BI55" s="93">
        <v>0.224</v>
      </c>
      <c r="BJ55" s="49">
        <v>0.19700000000000001</v>
      </c>
      <c r="BK55" s="50">
        <v>0.24299999999999999</v>
      </c>
      <c r="BL55" s="43">
        <v>0.19400000000000001</v>
      </c>
      <c r="BM55" s="50">
        <v>0.17199999999999999</v>
      </c>
      <c r="BN55" s="166">
        <f t="shared" ref="BN55:BN57" si="34">IFERROR(AVERAGE(D55:BM57),0)</f>
        <v>0.2015217391304347</v>
      </c>
      <c r="BO55" s="166">
        <f t="shared" ref="BO55:BO57" si="35">MIN(D55:BM57)</f>
        <v>0.13500000000000001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65">
        <v>8.3000000000000004E-2</v>
      </c>
      <c r="B56" s="7" t="s">
        <v>33</v>
      </c>
      <c r="C56" s="11" t="s">
        <v>8</v>
      </c>
      <c r="D56" s="101">
        <v>0.23</v>
      </c>
      <c r="E56" s="22">
        <v>0.17599999999999999</v>
      </c>
      <c r="F56" s="95">
        <v>0.22</v>
      </c>
      <c r="G56" s="22">
        <v>0.20799999999999999</v>
      </c>
      <c r="H56" s="42">
        <v>0.19600000000000001</v>
      </c>
      <c r="I56" s="45">
        <v>0.214</v>
      </c>
      <c r="J56" s="22">
        <v>0.20799999999999999</v>
      </c>
      <c r="K56" s="95">
        <v>0.221</v>
      </c>
      <c r="L56" s="22">
        <v>0.20399999999999999</v>
      </c>
      <c r="M56" s="42">
        <v>0.21</v>
      </c>
      <c r="N56" s="94">
        <v>0.21299999999999999</v>
      </c>
      <c r="O56" s="95">
        <v>0.221</v>
      </c>
      <c r="P56" s="95" t="s">
        <v>20</v>
      </c>
      <c r="Q56" s="95">
        <v>0.22500000000000001</v>
      </c>
      <c r="R56" s="96">
        <v>0.215</v>
      </c>
      <c r="S56" s="45">
        <v>0.19400000000000001</v>
      </c>
      <c r="T56" s="95">
        <v>0.21199999999999999</v>
      </c>
      <c r="U56" s="22">
        <v>0.184</v>
      </c>
      <c r="V56" s="95">
        <v>0.19700000000000001</v>
      </c>
      <c r="W56" s="42">
        <v>0.183</v>
      </c>
      <c r="X56" s="94">
        <v>0.20599999999999999</v>
      </c>
      <c r="Y56" s="22">
        <v>0.20100000000000001</v>
      </c>
      <c r="Z56" s="22">
        <v>0.19500000000000001</v>
      </c>
      <c r="AA56" s="95">
        <v>0.214</v>
      </c>
      <c r="AB56" s="96">
        <v>0.21199999999999999</v>
      </c>
      <c r="AC56" s="94">
        <v>0.22700000000000001</v>
      </c>
      <c r="AD56" s="22">
        <v>0.183</v>
      </c>
      <c r="AE56" s="22">
        <v>0.18099999999999999</v>
      </c>
      <c r="AF56" s="22">
        <v>0.20399999999999999</v>
      </c>
      <c r="AG56" s="96">
        <v>0.22900000000000001</v>
      </c>
      <c r="AH56" s="45">
        <v>0.20399999999999999</v>
      </c>
      <c r="AI56" s="31">
        <v>0.20699999999999999</v>
      </c>
      <c r="AJ56" s="95">
        <v>0.215</v>
      </c>
      <c r="AK56" s="22">
        <v>0.16700000000000001</v>
      </c>
      <c r="AL56" s="42">
        <v>0.193</v>
      </c>
      <c r="AM56" s="45">
        <v>0.19700000000000001</v>
      </c>
      <c r="AN56" s="31">
        <v>0.189</v>
      </c>
      <c r="AO56" s="22">
        <v>0.187</v>
      </c>
      <c r="AP56" s="22">
        <v>0.19400000000000001</v>
      </c>
      <c r="AQ56" s="42">
        <v>0.19600000000000001</v>
      </c>
      <c r="AR56" s="58">
        <v>0.19700000000000001</v>
      </c>
      <c r="AS56" s="22">
        <v>0.19400000000000001</v>
      </c>
      <c r="AT56" s="22">
        <v>0.193</v>
      </c>
      <c r="AU56" s="22">
        <v>0.2</v>
      </c>
      <c r="AV56" s="42">
        <v>0.17899999999999999</v>
      </c>
      <c r="AW56" s="45">
        <v>0.19900000000000001</v>
      </c>
      <c r="AX56" s="22">
        <v>0.20100000000000001</v>
      </c>
      <c r="AY56" s="22">
        <v>0.20100000000000001</v>
      </c>
      <c r="AZ56" s="31">
        <v>0.217</v>
      </c>
      <c r="BA56" s="42">
        <v>0.193</v>
      </c>
      <c r="BB56" s="45">
        <v>0.2</v>
      </c>
      <c r="BC56" s="95">
        <v>0.22900000000000001</v>
      </c>
      <c r="BD56" s="22">
        <v>0.20100000000000001</v>
      </c>
      <c r="BE56" s="95" t="s">
        <v>20</v>
      </c>
      <c r="BF56" s="42">
        <v>0.187</v>
      </c>
      <c r="BG56" s="45">
        <v>0.20399999999999999</v>
      </c>
      <c r="BH56" s="22">
        <v>0.19500000000000001</v>
      </c>
      <c r="BI56" s="95">
        <v>0.224</v>
      </c>
      <c r="BJ56" s="22">
        <v>0.21099999999999999</v>
      </c>
      <c r="BK56" s="42">
        <v>0.22</v>
      </c>
      <c r="BL56" s="45">
        <v>0.20699999999999999</v>
      </c>
      <c r="BM56" s="55">
        <v>0.221</v>
      </c>
      <c r="BN56" s="167">
        <f t="shared" si="34"/>
        <v>0.20033879781420771</v>
      </c>
      <c r="BO56" s="167">
        <f t="shared" si="35"/>
        <v>0.154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65"/>
      <c r="B57" s="8"/>
      <c r="C57" s="12" t="s">
        <v>14</v>
      </c>
      <c r="D57" s="51">
        <v>0.23200000000000001</v>
      </c>
      <c r="E57" s="39">
        <v>0.186</v>
      </c>
      <c r="F57" s="39">
        <v>0.19600000000000001</v>
      </c>
      <c r="G57" s="39">
        <v>0.20300000000000001</v>
      </c>
      <c r="H57" s="99">
        <v>0.22700000000000001</v>
      </c>
      <c r="I57" s="97">
        <v>0.22500000000000001</v>
      </c>
      <c r="J57" s="98">
        <v>0.217</v>
      </c>
      <c r="K57" s="98">
        <v>0.216</v>
      </c>
      <c r="L57" s="98">
        <v>0.21099999999999999</v>
      </c>
      <c r="M57" s="40">
        <v>0.187</v>
      </c>
      <c r="N57" s="44">
        <v>0.20300000000000001</v>
      </c>
      <c r="O57" s="98">
        <v>0.223</v>
      </c>
      <c r="P57" s="39">
        <v>0.192</v>
      </c>
      <c r="Q57" s="98">
        <v>0.21</v>
      </c>
      <c r="R57" s="99">
        <v>0.21199999999999999</v>
      </c>
      <c r="S57" s="44">
        <v>0.189</v>
      </c>
      <c r="T57" s="98">
        <v>0.20499999999999999</v>
      </c>
      <c r="U57" s="39">
        <v>0.18</v>
      </c>
      <c r="V57" s="98">
        <v>0.218</v>
      </c>
      <c r="W57" s="40">
        <v>0.19400000000000001</v>
      </c>
      <c r="X57" s="97">
        <v>0.218</v>
      </c>
      <c r="Y57" s="39">
        <v>0.193</v>
      </c>
      <c r="Z57" s="39">
        <v>0.19800000000000001</v>
      </c>
      <c r="AA57" s="39">
        <v>0.19600000000000001</v>
      </c>
      <c r="AB57" s="99">
        <v>0.221</v>
      </c>
      <c r="AC57" s="44">
        <v>0.20499999999999999</v>
      </c>
      <c r="AD57" s="39">
        <v>0.17599999999999999</v>
      </c>
      <c r="AE57" s="39">
        <v>0.19400000000000001</v>
      </c>
      <c r="AF57" s="39">
        <v>0.19700000000000001</v>
      </c>
      <c r="AG57" s="40">
        <v>0.19500000000000001</v>
      </c>
      <c r="AH57" s="44">
        <v>0.21099999999999999</v>
      </c>
      <c r="AI57" s="39">
        <v>0.19800000000000001</v>
      </c>
      <c r="AJ57" s="39">
        <v>0.20499999999999999</v>
      </c>
      <c r="AK57" s="98">
        <v>0.223</v>
      </c>
      <c r="AL57" s="40">
        <v>0.186</v>
      </c>
      <c r="AM57" s="44">
        <v>0.154</v>
      </c>
      <c r="AN57" s="52">
        <v>0.19600000000000001</v>
      </c>
      <c r="AO57" s="98">
        <v>0.20499999999999999</v>
      </c>
      <c r="AP57" s="39">
        <v>0.191</v>
      </c>
      <c r="AQ57" s="40">
        <v>0.184</v>
      </c>
      <c r="AR57" s="44">
        <v>0.184</v>
      </c>
      <c r="AS57" s="98">
        <v>0.21</v>
      </c>
      <c r="AT57" s="98">
        <v>0.21099999999999999</v>
      </c>
      <c r="AU57" s="39">
        <v>0.19800000000000001</v>
      </c>
      <c r="AV57" s="40">
        <v>0.17299999999999999</v>
      </c>
      <c r="AW57" s="44">
        <v>0.193</v>
      </c>
      <c r="AX57" s="39">
        <v>0.19500000000000001</v>
      </c>
      <c r="AY57" s="98">
        <v>0.214</v>
      </c>
      <c r="AZ57" s="39">
        <v>0.2</v>
      </c>
      <c r="BA57" s="53">
        <v>0.20100000000000001</v>
      </c>
      <c r="BB57" s="44">
        <v>0.19</v>
      </c>
      <c r="BC57" s="39">
        <v>0.193</v>
      </c>
      <c r="BD57" s="39">
        <v>0.19600000000000001</v>
      </c>
      <c r="BE57" s="39">
        <v>0.19700000000000001</v>
      </c>
      <c r="BF57" s="40">
        <v>0.19</v>
      </c>
      <c r="BG57" s="44">
        <v>0.20499999999999999</v>
      </c>
      <c r="BH57" s="39">
        <v>0.20499999999999999</v>
      </c>
      <c r="BI57" s="39">
        <v>0.19800000000000001</v>
      </c>
      <c r="BJ57" s="39">
        <v>0.2</v>
      </c>
      <c r="BK57" s="99">
        <v>0.224</v>
      </c>
      <c r="BL57" s="44">
        <v>0.21</v>
      </c>
      <c r="BM57" s="53">
        <v>0.23899999999999999</v>
      </c>
      <c r="BN57" s="168">
        <f t="shared" si="34"/>
        <v>0.19748648648648667</v>
      </c>
      <c r="BO57" s="168">
        <f t="shared" si="35"/>
        <v>0.15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19</v>
      </c>
      <c r="B58" s="6"/>
      <c r="C58" s="11" t="s">
        <v>10</v>
      </c>
      <c r="D58" s="35">
        <v>0.17299999999999999</v>
      </c>
      <c r="E58" s="36">
        <v>0.18099999999999999</v>
      </c>
      <c r="F58" s="93">
        <v>0.215</v>
      </c>
      <c r="G58" s="49">
        <v>0.21199999999999999</v>
      </c>
      <c r="H58" s="37">
        <v>0.20300000000000001</v>
      </c>
      <c r="I58" s="43">
        <v>0.2</v>
      </c>
      <c r="J58" s="49">
        <v>0.23100000000000001</v>
      </c>
      <c r="K58" s="93">
        <v>0.21299999999999999</v>
      </c>
      <c r="L58" s="49">
        <v>0.22500000000000001</v>
      </c>
      <c r="M58" s="37">
        <v>0.20200000000000001</v>
      </c>
      <c r="N58" s="43">
        <v>0.20499999999999999</v>
      </c>
      <c r="O58" s="36">
        <v>0.187</v>
      </c>
      <c r="P58" s="93" t="s">
        <v>20</v>
      </c>
      <c r="Q58" s="36">
        <v>0.191</v>
      </c>
      <c r="R58" s="100">
        <v>0.22</v>
      </c>
      <c r="S58" s="56">
        <v>0.22</v>
      </c>
      <c r="T58" s="93">
        <v>0.215</v>
      </c>
      <c r="U58" s="36">
        <v>0.189</v>
      </c>
      <c r="V58" s="93">
        <v>0.21199999999999999</v>
      </c>
      <c r="W58" s="37">
        <v>0.17299999999999999</v>
      </c>
      <c r="X58" s="43">
        <v>0.16800000000000001</v>
      </c>
      <c r="Y58" s="36">
        <v>0.16900000000000001</v>
      </c>
      <c r="Z58" s="36">
        <v>0.185</v>
      </c>
      <c r="AA58" s="36">
        <v>0.16900000000000001</v>
      </c>
      <c r="AB58" s="37">
        <v>0.193</v>
      </c>
      <c r="AC58" s="43">
        <v>0.17699999999999999</v>
      </c>
      <c r="AD58" s="36">
        <v>0.191</v>
      </c>
      <c r="AE58" s="93">
        <v>0.20100000000000001</v>
      </c>
      <c r="AF58" s="36">
        <v>0.17499999999999999</v>
      </c>
      <c r="AG58" s="100">
        <v>0.21199999999999999</v>
      </c>
      <c r="AH58" s="92">
        <v>0.19500000000000001</v>
      </c>
      <c r="AI58" s="36">
        <v>0.184</v>
      </c>
      <c r="AJ58" s="36">
        <v>0.186</v>
      </c>
      <c r="AK58" s="36">
        <v>0.184</v>
      </c>
      <c r="AL58" s="37">
        <v>0.185</v>
      </c>
      <c r="AM58" s="92">
        <v>0.19600000000000001</v>
      </c>
      <c r="AN58" s="36">
        <v>0.192</v>
      </c>
      <c r="AO58" s="36">
        <v>0.19700000000000001</v>
      </c>
      <c r="AP58" s="36">
        <v>0.17399999999999999</v>
      </c>
      <c r="AQ58" s="37">
        <v>0.19900000000000001</v>
      </c>
      <c r="AR58" s="43">
        <v>0.183</v>
      </c>
      <c r="AS58" s="49">
        <v>0.183</v>
      </c>
      <c r="AT58" s="36">
        <v>0.19500000000000001</v>
      </c>
      <c r="AU58" s="93">
        <v>0.2</v>
      </c>
      <c r="AV58" s="37">
        <v>0.17299999999999999</v>
      </c>
      <c r="AW58" s="43">
        <v>0.185</v>
      </c>
      <c r="AX58" s="36">
        <v>0.184</v>
      </c>
      <c r="AY58" s="36">
        <v>0.20100000000000001</v>
      </c>
      <c r="AZ58" s="36">
        <v>0.19</v>
      </c>
      <c r="BA58" s="37">
        <v>0.20200000000000001</v>
      </c>
      <c r="BB58" s="92">
        <v>0.20399999999999999</v>
      </c>
      <c r="BC58" s="36">
        <v>0.19</v>
      </c>
      <c r="BD58" s="36">
        <v>0.19900000000000001</v>
      </c>
      <c r="BE58" s="93">
        <v>0.21099999999999999</v>
      </c>
      <c r="BF58" s="100">
        <v>0.218</v>
      </c>
      <c r="BG58" s="92">
        <v>0.215</v>
      </c>
      <c r="BH58" s="93">
        <v>0.218</v>
      </c>
      <c r="BI58" s="36">
        <v>0.20899999999999999</v>
      </c>
      <c r="BJ58" s="36">
        <v>0.19400000000000001</v>
      </c>
      <c r="BK58" s="37">
        <v>0.20300000000000001</v>
      </c>
      <c r="BL58" s="43">
        <v>0.215</v>
      </c>
      <c r="BM58" s="37">
        <v>0.188</v>
      </c>
      <c r="BN58" s="166">
        <f t="shared" ref="BN58:BN60" si="36">IFERROR(AVERAGE(D58:BM60),0)</f>
        <v>0.19548108108108106</v>
      </c>
      <c r="BO58" s="166">
        <f t="shared" ref="BO58:BO60" si="37">MIN(D58:BM60)</f>
        <v>0.15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65">
        <v>8.3000000000000004E-2</v>
      </c>
      <c r="B59" s="7" t="s">
        <v>34</v>
      </c>
      <c r="C59" s="11" t="s">
        <v>8</v>
      </c>
      <c r="D59" s="41">
        <v>0.20399999999999999</v>
      </c>
      <c r="E59" s="22">
        <v>0.17</v>
      </c>
      <c r="F59" s="95">
        <v>0.21</v>
      </c>
      <c r="G59" s="31">
        <v>0.22600000000000001</v>
      </c>
      <c r="H59" s="96">
        <v>0.222</v>
      </c>
      <c r="I59" s="94">
        <v>0.215</v>
      </c>
      <c r="J59" s="95">
        <v>0.219</v>
      </c>
      <c r="K59" s="22">
        <v>0.20100000000000001</v>
      </c>
      <c r="L59" s="95">
        <v>0.22700000000000001</v>
      </c>
      <c r="M59" s="42">
        <v>0.19900000000000001</v>
      </c>
      <c r="N59" s="94">
        <v>0.20899999999999999</v>
      </c>
      <c r="O59" s="95">
        <v>0.215</v>
      </c>
      <c r="P59" s="22">
        <v>0.19600000000000001</v>
      </c>
      <c r="Q59" s="95">
        <v>0.20799999999999999</v>
      </c>
      <c r="R59" s="42">
        <v>0.19700000000000001</v>
      </c>
      <c r="S59" s="45">
        <v>0.183</v>
      </c>
      <c r="T59" s="22">
        <v>0.185</v>
      </c>
      <c r="U59" s="22">
        <v>0.193</v>
      </c>
      <c r="V59" s="22">
        <v>0.18099999999999999</v>
      </c>
      <c r="W59" s="42">
        <v>0.17</v>
      </c>
      <c r="X59" s="45">
        <v>0.17799999999999999</v>
      </c>
      <c r="Y59" s="22">
        <v>0.16900000000000001</v>
      </c>
      <c r="Z59" s="22">
        <v>0.154</v>
      </c>
      <c r="AA59" s="22">
        <v>0.158</v>
      </c>
      <c r="AB59" s="42">
        <v>0.192</v>
      </c>
      <c r="AC59" s="45">
        <v>0.186</v>
      </c>
      <c r="AD59" s="22">
        <v>0.192</v>
      </c>
      <c r="AE59" s="95">
        <v>0.21299999999999999</v>
      </c>
      <c r="AF59" s="22">
        <v>0.151</v>
      </c>
      <c r="AG59" s="42">
        <v>0.15</v>
      </c>
      <c r="AH59" s="94">
        <v>0.219</v>
      </c>
      <c r="AI59" s="22">
        <v>0.17299999999999999</v>
      </c>
      <c r="AJ59" s="22">
        <v>0.17799999999999999</v>
      </c>
      <c r="AK59" s="22">
        <v>0.19900000000000001</v>
      </c>
      <c r="AL59" s="42">
        <v>0.191</v>
      </c>
      <c r="AM59" s="45">
        <v>0.19600000000000001</v>
      </c>
      <c r="AN59" s="95">
        <v>0.20899999999999999</v>
      </c>
      <c r="AO59" s="95">
        <v>0.21199999999999999</v>
      </c>
      <c r="AP59" s="22">
        <v>0.158</v>
      </c>
      <c r="AQ59" s="96">
        <v>0.20799999999999999</v>
      </c>
      <c r="AR59" s="45">
        <v>0.189</v>
      </c>
      <c r="AS59" s="95">
        <v>0.20599999999999999</v>
      </c>
      <c r="AT59" s="95">
        <v>0.20899999999999999</v>
      </c>
      <c r="AU59" s="22">
        <v>0.153</v>
      </c>
      <c r="AV59" s="96">
        <v>0.2</v>
      </c>
      <c r="AW59" s="45">
        <v>0.17899999999999999</v>
      </c>
      <c r="AX59" s="22">
        <v>0.191</v>
      </c>
      <c r="AY59" s="22">
        <v>0.189</v>
      </c>
      <c r="AZ59" s="22">
        <v>0.20100000000000001</v>
      </c>
      <c r="BA59" s="42">
        <v>0.188</v>
      </c>
      <c r="BB59" s="45">
        <v>0.20100000000000001</v>
      </c>
      <c r="BC59" s="22">
        <v>0.18099999999999999</v>
      </c>
      <c r="BD59" s="22">
        <v>0.185</v>
      </c>
      <c r="BE59" s="95">
        <v>0.22</v>
      </c>
      <c r="BF59" s="42">
        <v>0.19700000000000001</v>
      </c>
      <c r="BG59" s="94">
        <v>0.214</v>
      </c>
      <c r="BH59" s="22">
        <v>0.2</v>
      </c>
      <c r="BI59" s="22">
        <v>0.21099999999999999</v>
      </c>
      <c r="BJ59" s="22">
        <v>0.21299999999999999</v>
      </c>
      <c r="BK59" s="96">
        <v>0.222</v>
      </c>
      <c r="BL59" s="94">
        <v>0.214</v>
      </c>
      <c r="BM59" s="42">
        <v>0.19900000000000001</v>
      </c>
      <c r="BN59" s="167">
        <f t="shared" si="36"/>
        <v>0.19524193548387092</v>
      </c>
      <c r="BO59" s="167">
        <f t="shared" si="37"/>
        <v>0.15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65"/>
      <c r="B60" s="8"/>
      <c r="C60" s="12" t="s">
        <v>14</v>
      </c>
      <c r="D60" s="38">
        <v>0.191</v>
      </c>
      <c r="E60" s="39">
        <v>0.16400000000000001</v>
      </c>
      <c r="F60" s="98">
        <v>0.21099999999999999</v>
      </c>
      <c r="G60" s="98">
        <v>0.217</v>
      </c>
      <c r="H60" s="40">
        <v>0.19700000000000001</v>
      </c>
      <c r="I60" s="97">
        <v>0.221</v>
      </c>
      <c r="J60" s="39">
        <v>0.20699999999999999</v>
      </c>
      <c r="K60" s="98">
        <v>0.224</v>
      </c>
      <c r="L60" s="98">
        <v>0.214</v>
      </c>
      <c r="M60" s="99">
        <v>0.20899999999999999</v>
      </c>
      <c r="N60" s="44">
        <v>0.19600000000000001</v>
      </c>
      <c r="O60" s="98">
        <v>0.214</v>
      </c>
      <c r="P60" s="39">
        <v>0.17899999999999999</v>
      </c>
      <c r="Q60" s="98">
        <v>0.217</v>
      </c>
      <c r="R60" s="40">
        <v>0.2</v>
      </c>
      <c r="S60" s="44">
        <v>0.192</v>
      </c>
      <c r="T60" s="39">
        <v>0.17799999999999999</v>
      </c>
      <c r="U60" s="39">
        <v>0.184</v>
      </c>
      <c r="V60" s="39">
        <v>0.19500000000000001</v>
      </c>
      <c r="W60" s="40">
        <v>0.20200000000000001</v>
      </c>
      <c r="X60" s="97">
        <v>0.20899999999999999</v>
      </c>
      <c r="Y60" s="39">
        <v>0.17699999999999999</v>
      </c>
      <c r="Z60" s="39">
        <v>0.18099999999999999</v>
      </c>
      <c r="AA60" s="39">
        <v>0.17699999999999999</v>
      </c>
      <c r="AB60" s="40">
        <v>0.188</v>
      </c>
      <c r="AC60" s="44">
        <v>0.182</v>
      </c>
      <c r="AD60" s="39">
        <v>0.19400000000000001</v>
      </c>
      <c r="AE60" s="39">
        <v>0.192</v>
      </c>
      <c r="AF60" s="39">
        <v>0.17199999999999999</v>
      </c>
      <c r="AG60" s="40">
        <v>0.16200000000000001</v>
      </c>
      <c r="AH60" s="44">
        <v>0.19700000000000001</v>
      </c>
      <c r="AI60" s="39">
        <v>0.16800000000000001</v>
      </c>
      <c r="AJ60" s="39">
        <v>0.192</v>
      </c>
      <c r="AK60" s="39">
        <v>0.20200000000000001</v>
      </c>
      <c r="AL60" s="40">
        <v>0.17799999999999999</v>
      </c>
      <c r="AM60" s="44">
        <v>0.191</v>
      </c>
      <c r="AN60" s="39">
        <v>0.19900000000000001</v>
      </c>
      <c r="AO60" s="98">
        <v>0.20599999999999999</v>
      </c>
      <c r="AP60" s="39">
        <v>0.19400000000000001</v>
      </c>
      <c r="AQ60" s="40">
        <v>0.17299999999999999</v>
      </c>
      <c r="AR60" s="44">
        <v>0.184</v>
      </c>
      <c r="AS60" s="39">
        <v>0.17199999999999999</v>
      </c>
      <c r="AT60" s="39">
        <v>0.183</v>
      </c>
      <c r="AU60" s="39">
        <v>0.158</v>
      </c>
      <c r="AV60" s="40">
        <v>0.19700000000000001</v>
      </c>
      <c r="AW60" s="97">
        <v>0.20499999999999999</v>
      </c>
      <c r="AX60" s="98">
        <v>0.214</v>
      </c>
      <c r="AY60" s="39">
        <v>0.193</v>
      </c>
      <c r="AZ60" s="39">
        <v>0.189</v>
      </c>
      <c r="BA60" s="40">
        <v>0.19600000000000001</v>
      </c>
      <c r="BB60" s="97">
        <v>0.20599999999999999</v>
      </c>
      <c r="BC60" s="98">
        <v>0.218</v>
      </c>
      <c r="BD60" s="39">
        <v>0.192</v>
      </c>
      <c r="BE60" s="98">
        <v>0.22</v>
      </c>
      <c r="BF60" s="40">
        <v>0.19800000000000001</v>
      </c>
      <c r="BG60" s="57">
        <v>0.22500000000000001</v>
      </c>
      <c r="BH60" s="39">
        <v>0.20300000000000001</v>
      </c>
      <c r="BI60" s="39">
        <v>0.20599999999999999</v>
      </c>
      <c r="BJ60" s="39">
        <v>0.20200000000000001</v>
      </c>
      <c r="BK60" s="40">
        <v>0.218</v>
      </c>
      <c r="BL60" s="44">
        <v>0.19900000000000001</v>
      </c>
      <c r="BM60" s="40">
        <v>0.20300000000000001</v>
      </c>
      <c r="BN60" s="168">
        <f t="shared" si="36"/>
        <v>0.19453763440860214</v>
      </c>
      <c r="BO60" s="168">
        <f t="shared" si="37"/>
        <v>0.14099999999999999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19</v>
      </c>
      <c r="B61" s="6"/>
      <c r="C61" s="11" t="s">
        <v>10</v>
      </c>
      <c r="D61" s="35">
        <v>0.2</v>
      </c>
      <c r="E61" s="36">
        <v>0.16600000000000001</v>
      </c>
      <c r="F61" s="36">
        <v>0.20200000000000001</v>
      </c>
      <c r="G61" s="49">
        <v>0.214</v>
      </c>
      <c r="H61" s="37">
        <v>0.19900000000000001</v>
      </c>
      <c r="I61" s="43">
        <v>0.17799999999999999</v>
      </c>
      <c r="J61" s="36">
        <v>0.20499999999999999</v>
      </c>
      <c r="K61" s="36">
        <v>0.19500000000000001</v>
      </c>
      <c r="L61" s="36">
        <v>0.19400000000000001</v>
      </c>
      <c r="M61" s="100">
        <v>0.21199999999999999</v>
      </c>
      <c r="N61" s="92">
        <v>0.215</v>
      </c>
      <c r="O61" s="36">
        <v>0.17499999999999999</v>
      </c>
      <c r="P61" s="36">
        <v>0.184</v>
      </c>
      <c r="Q61" s="93">
        <v>0.20699999999999999</v>
      </c>
      <c r="R61" s="37">
        <v>0.20300000000000001</v>
      </c>
      <c r="S61" s="43">
        <v>0.19400000000000001</v>
      </c>
      <c r="T61" s="93">
        <v>0.20699999999999999</v>
      </c>
      <c r="U61" s="36">
        <v>0.19500000000000001</v>
      </c>
      <c r="V61" s="36">
        <v>0.17499999999999999</v>
      </c>
      <c r="W61" s="37">
        <v>0.17599999999999999</v>
      </c>
      <c r="X61" s="43">
        <v>0.17899999999999999</v>
      </c>
      <c r="Y61" s="36">
        <v>0.185</v>
      </c>
      <c r="Z61" s="93">
        <v>0.21099999999999999</v>
      </c>
      <c r="AA61" s="36">
        <v>0.183</v>
      </c>
      <c r="AB61" s="100">
        <v>0.20499999999999999</v>
      </c>
      <c r="AC61" s="43">
        <v>0.19400000000000001</v>
      </c>
      <c r="AD61" s="36">
        <v>0.17399999999999999</v>
      </c>
      <c r="AE61" s="36">
        <v>0.16200000000000001</v>
      </c>
      <c r="AF61" s="36">
        <v>0.192</v>
      </c>
      <c r="AG61" s="37">
        <v>0.19</v>
      </c>
      <c r="AH61" s="43">
        <v>0.188</v>
      </c>
      <c r="AI61" s="36">
        <v>0.16800000000000001</v>
      </c>
      <c r="AJ61" s="36">
        <v>0.19</v>
      </c>
      <c r="AK61" s="36">
        <v>0.192</v>
      </c>
      <c r="AL61" s="37">
        <v>0.189</v>
      </c>
      <c r="AM61" s="43">
        <v>0.19400000000000001</v>
      </c>
      <c r="AN61" s="36">
        <v>0.188</v>
      </c>
      <c r="AO61" s="36">
        <v>0.193</v>
      </c>
      <c r="AP61" s="36">
        <v>0.19600000000000001</v>
      </c>
      <c r="AQ61" s="37">
        <v>0.19800000000000001</v>
      </c>
      <c r="AR61" s="43">
        <v>0.19400000000000001</v>
      </c>
      <c r="AS61" s="36">
        <v>0.19600000000000001</v>
      </c>
      <c r="AT61" s="36">
        <v>0.19600000000000001</v>
      </c>
      <c r="AU61" s="93">
        <v>0.21199999999999999</v>
      </c>
      <c r="AV61" s="37">
        <v>0.183</v>
      </c>
      <c r="AW61" s="92">
        <v>0.20499999999999999</v>
      </c>
      <c r="AX61" s="93">
        <v>0.22500000000000001</v>
      </c>
      <c r="AY61" s="93">
        <v>0.21</v>
      </c>
      <c r="AZ61" s="93">
        <v>0.20499999999999999</v>
      </c>
      <c r="BA61" s="100">
        <v>0.20799999999999999</v>
      </c>
      <c r="BB61" s="43">
        <v>0.19700000000000001</v>
      </c>
      <c r="BC61" s="93">
        <v>0.20899999999999999</v>
      </c>
      <c r="BD61" s="36">
        <v>0.19800000000000001</v>
      </c>
      <c r="BE61" s="36">
        <v>0.20100000000000001</v>
      </c>
      <c r="BF61" s="37">
        <v>0.19400000000000001</v>
      </c>
      <c r="BG61" s="43">
        <v>0.20200000000000001</v>
      </c>
      <c r="BH61" s="36">
        <v>0.19900000000000001</v>
      </c>
      <c r="BI61" s="36">
        <v>0.20499999999999999</v>
      </c>
      <c r="BJ61" s="36">
        <v>0.20100000000000001</v>
      </c>
      <c r="BK61" s="37">
        <v>0.19</v>
      </c>
      <c r="BL61" s="43">
        <v>0.19</v>
      </c>
      <c r="BM61" s="100">
        <v>0.223</v>
      </c>
      <c r="BN61" s="166">
        <f t="shared" ref="BN61:BN63" si="38">IFERROR(AVERAGE(D61:BM63),0)</f>
        <v>0.19282065217391312</v>
      </c>
      <c r="BO61" s="166">
        <f t="shared" ref="BO61:BO63" si="39">MIN(D61:BM63)</f>
        <v>0.128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65">
        <v>8.3000000000000004E-2</v>
      </c>
      <c r="B62" s="7" t="s">
        <v>35</v>
      </c>
      <c r="C62" s="11" t="s">
        <v>8</v>
      </c>
      <c r="D62" s="101">
        <v>0.217</v>
      </c>
      <c r="E62" s="22">
        <v>0.192</v>
      </c>
      <c r="F62" s="22">
        <v>0.20599999999999999</v>
      </c>
      <c r="G62" s="95">
        <v>0.218</v>
      </c>
      <c r="H62" s="42">
        <v>0.20200000000000001</v>
      </c>
      <c r="I62" s="94">
        <v>0.216</v>
      </c>
      <c r="J62" s="22">
        <v>0.20699999999999999</v>
      </c>
      <c r="K62" s="95">
        <v>0.219</v>
      </c>
      <c r="L62" s="95">
        <v>0.21199999999999999</v>
      </c>
      <c r="M62" s="42">
        <v>0.19800000000000001</v>
      </c>
      <c r="N62" s="45">
        <v>0.20699999999999999</v>
      </c>
      <c r="O62" s="22">
        <v>0.20300000000000001</v>
      </c>
      <c r="P62" s="22">
        <v>0.193</v>
      </c>
      <c r="Q62" s="22">
        <v>0.19900000000000001</v>
      </c>
      <c r="R62" s="42">
        <v>0.193</v>
      </c>
      <c r="S62" s="45">
        <v>0.17499999999999999</v>
      </c>
      <c r="T62" s="22">
        <v>0.182</v>
      </c>
      <c r="U62" s="22">
        <v>0.19600000000000001</v>
      </c>
      <c r="V62" s="22">
        <v>0.19400000000000001</v>
      </c>
      <c r="W62" s="42">
        <v>0.17199999999999999</v>
      </c>
      <c r="X62" s="45">
        <v>0.188</v>
      </c>
      <c r="Y62" s="22">
        <v>0.16500000000000001</v>
      </c>
      <c r="Z62" s="22">
        <v>0.188</v>
      </c>
      <c r="AA62" s="95">
        <v>0.2</v>
      </c>
      <c r="AB62" s="42">
        <v>0.16900000000000001</v>
      </c>
      <c r="AC62" s="94">
        <v>0.20799999999999999</v>
      </c>
      <c r="AD62" s="22">
        <v>0.14099999999999999</v>
      </c>
      <c r="AE62" s="95">
        <v>0.20399999999999999</v>
      </c>
      <c r="AF62" s="22">
        <v>0.186</v>
      </c>
      <c r="AG62" s="42">
        <v>0.15</v>
      </c>
      <c r="AH62" s="45">
        <v>0.19500000000000001</v>
      </c>
      <c r="AI62" s="22">
        <v>0.158</v>
      </c>
      <c r="AJ62" s="22">
        <v>0.18</v>
      </c>
      <c r="AK62" s="22">
        <v>0.192</v>
      </c>
      <c r="AL62" s="42">
        <v>0.186</v>
      </c>
      <c r="AM62" s="45">
        <v>0.16900000000000001</v>
      </c>
      <c r="AN62" s="22">
        <v>0.18</v>
      </c>
      <c r="AO62" s="22">
        <v>0.19600000000000001</v>
      </c>
      <c r="AP62" s="22">
        <v>0.19400000000000001</v>
      </c>
      <c r="AQ62" s="42">
        <v>0.189</v>
      </c>
      <c r="AR62" s="45">
        <v>0.17699999999999999</v>
      </c>
      <c r="AS62" s="22">
        <v>0.17599999999999999</v>
      </c>
      <c r="AT62" s="95">
        <v>0.20499999999999999</v>
      </c>
      <c r="AU62" s="22">
        <v>0.161</v>
      </c>
      <c r="AV62" s="42">
        <v>0.18099999999999999</v>
      </c>
      <c r="AW62" s="94">
        <v>0.22</v>
      </c>
      <c r="AX62" s="22">
        <v>0.189</v>
      </c>
      <c r="AY62" s="22">
        <v>0.19500000000000001</v>
      </c>
      <c r="AZ62" s="95">
        <v>0.21</v>
      </c>
      <c r="BA62" s="96">
        <v>0.21299999999999999</v>
      </c>
      <c r="BB62" s="94">
        <v>0.216</v>
      </c>
      <c r="BC62" s="22">
        <v>0.187</v>
      </c>
      <c r="BD62" s="22">
        <v>0.19800000000000001</v>
      </c>
      <c r="BE62" s="22">
        <v>0.19</v>
      </c>
      <c r="BF62" s="42">
        <v>0.19800000000000001</v>
      </c>
      <c r="BG62" s="45">
        <v>0.19400000000000001</v>
      </c>
      <c r="BH62" s="22">
        <v>0.193</v>
      </c>
      <c r="BI62" s="22">
        <v>0.20100000000000001</v>
      </c>
      <c r="BJ62" s="22">
        <v>0.20899999999999999</v>
      </c>
      <c r="BK62" s="42">
        <v>0.20799999999999999</v>
      </c>
      <c r="BL62" s="45">
        <v>0.188</v>
      </c>
      <c r="BM62" s="42">
        <v>0.19900000000000001</v>
      </c>
      <c r="BN62" s="167">
        <f t="shared" si="38"/>
        <v>0.19373770491803266</v>
      </c>
      <c r="BO62" s="167">
        <f t="shared" si="39"/>
        <v>0.128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65"/>
      <c r="B63" s="8"/>
      <c r="C63" s="12" t="s">
        <v>14</v>
      </c>
      <c r="D63" s="102" t="s">
        <v>20</v>
      </c>
      <c r="E63" s="98" t="s">
        <v>20</v>
      </c>
      <c r="F63" s="98">
        <v>0.216</v>
      </c>
      <c r="G63" s="98">
        <v>0.21299999999999999</v>
      </c>
      <c r="H63" s="40">
        <v>0.20599999999999999</v>
      </c>
      <c r="I63" s="44">
        <v>0.20100000000000001</v>
      </c>
      <c r="J63" s="98">
        <v>0.214</v>
      </c>
      <c r="K63" s="98">
        <v>0.20799999999999999</v>
      </c>
      <c r="L63" s="39">
        <v>0.19900000000000001</v>
      </c>
      <c r="M63" s="40">
        <v>0.192</v>
      </c>
      <c r="N63" s="44">
        <v>0.2</v>
      </c>
      <c r="O63" s="98">
        <v>0.21299999999999999</v>
      </c>
      <c r="P63" s="98">
        <v>0.20599999999999999</v>
      </c>
      <c r="Q63" s="39">
        <v>0.19900000000000001</v>
      </c>
      <c r="R63" s="40">
        <v>0.19600000000000001</v>
      </c>
      <c r="S63" s="44">
        <v>0.187</v>
      </c>
      <c r="T63" s="98">
        <v>0.20499999999999999</v>
      </c>
      <c r="U63" s="39">
        <v>0.189</v>
      </c>
      <c r="V63" s="39">
        <v>0.17699999999999999</v>
      </c>
      <c r="W63" s="40">
        <v>0.193</v>
      </c>
      <c r="X63" s="44">
        <v>0.17299999999999999</v>
      </c>
      <c r="Y63" s="39">
        <v>0.16300000000000001</v>
      </c>
      <c r="Z63" s="39">
        <v>0.17799999999999999</v>
      </c>
      <c r="AA63" s="98">
        <v>0.218</v>
      </c>
      <c r="AB63" s="40">
        <v>0.17299999999999999</v>
      </c>
      <c r="AC63" s="44">
        <v>0.16700000000000001</v>
      </c>
      <c r="AD63" s="39">
        <v>0.16700000000000001</v>
      </c>
      <c r="AE63" s="39">
        <v>0.192</v>
      </c>
      <c r="AF63" s="39">
        <v>0.16500000000000001</v>
      </c>
      <c r="AG63" s="40">
        <v>0.14199999999999999</v>
      </c>
      <c r="AH63" s="44">
        <v>0.17499999999999999</v>
      </c>
      <c r="AI63" s="39">
        <v>0.128</v>
      </c>
      <c r="AJ63" s="39">
        <v>0.17799999999999999</v>
      </c>
      <c r="AK63" s="39">
        <v>0.191</v>
      </c>
      <c r="AL63" s="40">
        <v>0.161</v>
      </c>
      <c r="AM63" s="44">
        <v>0.186</v>
      </c>
      <c r="AN63" s="39">
        <v>0.17399999999999999</v>
      </c>
      <c r="AO63" s="39">
        <v>0.17399999999999999</v>
      </c>
      <c r="AP63" s="39">
        <v>0.183</v>
      </c>
      <c r="AQ63" s="40">
        <v>0.19700000000000001</v>
      </c>
      <c r="AR63" s="44">
        <v>0.184</v>
      </c>
      <c r="AS63" s="39">
        <v>0.189</v>
      </c>
      <c r="AT63" s="39">
        <v>0.16500000000000001</v>
      </c>
      <c r="AU63" s="98">
        <v>0.215</v>
      </c>
      <c r="AV63" s="99">
        <v>0.20599999999999999</v>
      </c>
      <c r="AW63" s="97">
        <v>0.21099999999999999</v>
      </c>
      <c r="AX63" s="39">
        <v>0.17100000000000001</v>
      </c>
      <c r="AY63" s="39">
        <v>0.19600000000000001</v>
      </c>
      <c r="AZ63" s="98">
        <v>0.214</v>
      </c>
      <c r="BA63" s="40">
        <v>0.186</v>
      </c>
      <c r="BB63" s="97">
        <v>0.215</v>
      </c>
      <c r="BC63" s="39">
        <v>0.188</v>
      </c>
      <c r="BD63" s="39">
        <v>0.187</v>
      </c>
      <c r="BE63" s="39">
        <v>0.19400000000000001</v>
      </c>
      <c r="BF63" s="40">
        <v>0.188</v>
      </c>
      <c r="BG63" s="44">
        <v>0.19400000000000001</v>
      </c>
      <c r="BH63" s="39">
        <v>0.19500000000000001</v>
      </c>
      <c r="BI63" s="39">
        <v>0.20799999999999999</v>
      </c>
      <c r="BJ63" s="39">
        <v>0.21199999999999999</v>
      </c>
      <c r="BK63" s="40">
        <v>0.21</v>
      </c>
      <c r="BL63" s="44">
        <v>0.20399999999999999</v>
      </c>
      <c r="BM63" s="40">
        <v>0.191</v>
      </c>
      <c r="BN63" s="168">
        <f t="shared" si="38"/>
        <v>0.19492349726775957</v>
      </c>
      <c r="BO63" s="168">
        <f t="shared" si="39"/>
        <v>0.128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19</v>
      </c>
      <c r="B64" s="6"/>
      <c r="C64" s="11" t="s">
        <v>10</v>
      </c>
      <c r="D64" s="48">
        <v>0.23699999999999999</v>
      </c>
      <c r="E64" s="49">
        <v>0.255</v>
      </c>
      <c r="F64" s="36">
        <v>0.18099999999999999</v>
      </c>
      <c r="G64" s="49">
        <v>0.187</v>
      </c>
      <c r="H64" s="37">
        <v>0.19400000000000001</v>
      </c>
      <c r="I64" s="56">
        <v>0.23</v>
      </c>
      <c r="J64" s="49">
        <v>0.23</v>
      </c>
      <c r="K64" s="93">
        <v>0.224</v>
      </c>
      <c r="L64" s="36">
        <v>0.21299999999999999</v>
      </c>
      <c r="M64" s="100">
        <v>0.21099999999999999</v>
      </c>
      <c r="N64" s="43">
        <v>0.20399999999999999</v>
      </c>
      <c r="O64" s="36">
        <v>0.20300000000000001</v>
      </c>
      <c r="P64" s="93">
        <v>0.23499999999999999</v>
      </c>
      <c r="Q64" s="36">
        <v>0.20399999999999999</v>
      </c>
      <c r="R64" s="37">
        <v>0.214</v>
      </c>
      <c r="S64" s="43">
        <v>0.17699999999999999</v>
      </c>
      <c r="T64" s="36">
        <v>0.19400000000000001</v>
      </c>
      <c r="U64" s="36">
        <v>0.20300000000000001</v>
      </c>
      <c r="V64" s="36">
        <v>0.19600000000000001</v>
      </c>
      <c r="W64" s="37">
        <v>0.19</v>
      </c>
      <c r="X64" s="43">
        <v>0.2</v>
      </c>
      <c r="Y64" s="36">
        <v>0.20499999999999999</v>
      </c>
      <c r="Z64" s="36">
        <v>0.186</v>
      </c>
      <c r="AA64" s="36">
        <v>0.19600000000000001</v>
      </c>
      <c r="AB64" s="37">
        <v>0.20100000000000001</v>
      </c>
      <c r="AC64" s="56">
        <v>0.19800000000000001</v>
      </c>
      <c r="AD64" s="93">
        <v>0.219</v>
      </c>
      <c r="AE64" s="36">
        <v>0.20300000000000001</v>
      </c>
      <c r="AF64" s="36">
        <v>0.193</v>
      </c>
      <c r="AG64" s="37">
        <v>0.189</v>
      </c>
      <c r="AH64" s="56">
        <v>0.20100000000000001</v>
      </c>
      <c r="AI64" s="36">
        <v>0.19400000000000001</v>
      </c>
      <c r="AJ64" s="36">
        <v>0.16500000000000001</v>
      </c>
      <c r="AK64" s="36">
        <v>0.20499999999999999</v>
      </c>
      <c r="AL64" s="37">
        <v>0.20899999999999999</v>
      </c>
      <c r="AM64" s="43">
        <v>0.16</v>
      </c>
      <c r="AN64" s="93">
        <v>0.21199999999999999</v>
      </c>
      <c r="AO64" s="93" t="s">
        <v>20</v>
      </c>
      <c r="AP64" s="36">
        <v>0.18</v>
      </c>
      <c r="AQ64" s="37">
        <v>0.186</v>
      </c>
      <c r="AR64" s="43">
        <v>0.17399999999999999</v>
      </c>
      <c r="AS64" s="36">
        <v>0.185</v>
      </c>
      <c r="AT64" s="36">
        <v>0.191</v>
      </c>
      <c r="AU64" s="36">
        <v>0.18099999999999999</v>
      </c>
      <c r="AV64" s="37">
        <v>0.18099999999999999</v>
      </c>
      <c r="AW64" s="43">
        <v>0.183</v>
      </c>
      <c r="AX64" s="36">
        <v>0.192</v>
      </c>
      <c r="AY64" s="36">
        <v>0.193</v>
      </c>
      <c r="AZ64" s="36">
        <v>0.191</v>
      </c>
      <c r="BA64" s="37">
        <v>0.182</v>
      </c>
      <c r="BB64" s="43">
        <v>0.185</v>
      </c>
      <c r="BC64" s="36">
        <v>0.186</v>
      </c>
      <c r="BD64" s="36">
        <v>0.20100000000000001</v>
      </c>
      <c r="BE64" s="36">
        <v>0.13900000000000001</v>
      </c>
      <c r="BF64" s="37">
        <v>0.19800000000000001</v>
      </c>
      <c r="BG64" s="43">
        <v>0.184</v>
      </c>
      <c r="BH64" s="93">
        <v>0.20499999999999999</v>
      </c>
      <c r="BI64" s="93">
        <v>0.217</v>
      </c>
      <c r="BJ64" s="36">
        <v>0.193</v>
      </c>
      <c r="BK64" s="37">
        <v>0.20699999999999999</v>
      </c>
      <c r="BL64" s="43">
        <v>0.20200000000000001</v>
      </c>
      <c r="BM64" s="50">
        <v>0.23100000000000001</v>
      </c>
      <c r="BN64" s="166">
        <f t="shared" ref="BN64:BN66" si="40">IFERROR(AVERAGE(D64:BM66),0)</f>
        <v>0.19648913043478258</v>
      </c>
      <c r="BO64" s="166">
        <f t="shared" ref="BO64:BO66" si="41">MIN(D64:BM66)</f>
        <v>0.13700000000000001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65">
        <v>8.3000000000000004E-2</v>
      </c>
      <c r="B65" s="7" t="s">
        <v>36</v>
      </c>
      <c r="C65" s="11" t="s">
        <v>8</v>
      </c>
      <c r="D65" s="41">
        <v>0.185</v>
      </c>
      <c r="E65" s="22">
        <v>0.17699999999999999</v>
      </c>
      <c r="F65" s="95">
        <v>0.20399999999999999</v>
      </c>
      <c r="G65" s="31">
        <v>0.23100000000000001</v>
      </c>
      <c r="H65" s="42">
        <v>0.20599999999999999</v>
      </c>
      <c r="I65" s="45">
        <v>0.20599999999999999</v>
      </c>
      <c r="J65" s="31">
        <v>0.23200000000000001</v>
      </c>
      <c r="K65" s="22">
        <v>0.20799999999999999</v>
      </c>
      <c r="L65" s="22">
        <v>0.189</v>
      </c>
      <c r="M65" s="96">
        <v>0.20899999999999999</v>
      </c>
      <c r="N65" s="94">
        <v>0.21099999999999999</v>
      </c>
      <c r="O65" s="95">
        <v>0.21</v>
      </c>
      <c r="P65" s="22">
        <v>0.20300000000000001</v>
      </c>
      <c r="Q65" s="95">
        <v>0.21199999999999999</v>
      </c>
      <c r="R65" s="42">
        <v>0.20599999999999999</v>
      </c>
      <c r="S65" s="94">
        <v>0.21299999999999999</v>
      </c>
      <c r="T65" s="22">
        <v>0.19800000000000001</v>
      </c>
      <c r="U65" s="95">
        <v>0.20699999999999999</v>
      </c>
      <c r="V65" s="22">
        <v>0.186</v>
      </c>
      <c r="W65" s="42">
        <v>0.19</v>
      </c>
      <c r="X65" s="94">
        <v>0.19700000000000001</v>
      </c>
      <c r="Y65" s="95">
        <v>0.22</v>
      </c>
      <c r="Z65" s="95">
        <v>0.19600000000000001</v>
      </c>
      <c r="AA65" s="22">
        <v>0.19500000000000001</v>
      </c>
      <c r="AB65" s="96">
        <v>0.20499999999999999</v>
      </c>
      <c r="AC65" s="45">
        <v>0.187</v>
      </c>
      <c r="AD65" s="95">
        <v>0.217</v>
      </c>
      <c r="AE65" s="95">
        <v>0.214</v>
      </c>
      <c r="AF65" s="95">
        <v>0.19600000000000001</v>
      </c>
      <c r="AG65" s="42">
        <v>0.13900000000000001</v>
      </c>
      <c r="AH65" s="94">
        <v>0.185</v>
      </c>
      <c r="AI65" s="22">
        <v>0.187</v>
      </c>
      <c r="AJ65" s="22">
        <v>0.189</v>
      </c>
      <c r="AK65" s="95">
        <v>0.17899999999999999</v>
      </c>
      <c r="AL65" s="96">
        <v>0.21299999999999999</v>
      </c>
      <c r="AM65" s="45">
        <v>0.189</v>
      </c>
      <c r="AN65" s="95">
        <v>0.216</v>
      </c>
      <c r="AO65" s="22">
        <v>0.184</v>
      </c>
      <c r="AP65" s="22">
        <v>0.17599999999999999</v>
      </c>
      <c r="AQ65" s="96">
        <v>0.214</v>
      </c>
      <c r="AR65" s="94">
        <v>0.21299999999999999</v>
      </c>
      <c r="AS65" s="22">
        <v>0.16</v>
      </c>
      <c r="AT65" s="22">
        <v>0.191</v>
      </c>
      <c r="AU65" s="95">
        <v>0.214</v>
      </c>
      <c r="AV65" s="42">
        <v>0.182</v>
      </c>
      <c r="AW65" s="94">
        <v>0.192</v>
      </c>
      <c r="AX65" s="22">
        <v>0.184</v>
      </c>
      <c r="AY65" s="22">
        <v>0.161</v>
      </c>
      <c r="AZ65" s="95">
        <v>0.214</v>
      </c>
      <c r="BA65" s="42">
        <v>0.182</v>
      </c>
      <c r="BB65" s="45">
        <v>0.193</v>
      </c>
      <c r="BC65" s="22">
        <v>0.188</v>
      </c>
      <c r="BD65" s="22">
        <v>0.19400000000000001</v>
      </c>
      <c r="BE65" s="22">
        <v>0.13700000000000001</v>
      </c>
      <c r="BF65" s="42">
        <v>0.20399999999999999</v>
      </c>
      <c r="BG65" s="45">
        <v>0.17399999999999999</v>
      </c>
      <c r="BH65" s="22">
        <v>0.19900000000000001</v>
      </c>
      <c r="BI65" s="22">
        <v>0.20399999999999999</v>
      </c>
      <c r="BJ65" s="22">
        <v>0.21099999999999999</v>
      </c>
      <c r="BK65" s="42">
        <v>0.214</v>
      </c>
      <c r="BL65" s="45">
        <v>0.191</v>
      </c>
      <c r="BM65" s="42">
        <v>0.18099999999999999</v>
      </c>
      <c r="BN65" s="167">
        <f t="shared" si="40"/>
        <v>0.20025683060109298</v>
      </c>
      <c r="BO65" s="167">
        <f t="shared" si="41"/>
        <v>0.13500000000000001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65"/>
      <c r="B66" s="8"/>
      <c r="C66" s="12" t="s">
        <v>14</v>
      </c>
      <c r="D66" s="102" t="s">
        <v>20</v>
      </c>
      <c r="E66" s="98">
        <v>0.191</v>
      </c>
      <c r="F66" s="39">
        <v>0.193</v>
      </c>
      <c r="G66" s="52">
        <v>0.21</v>
      </c>
      <c r="H66" s="40">
        <v>0.20300000000000001</v>
      </c>
      <c r="I66" s="97">
        <v>0.20599999999999999</v>
      </c>
      <c r="J66" s="39">
        <v>0.19900000000000001</v>
      </c>
      <c r="K66" s="98">
        <v>0.217</v>
      </c>
      <c r="L66" s="39">
        <v>0.20200000000000001</v>
      </c>
      <c r="M66" s="99">
        <v>0.22</v>
      </c>
      <c r="N66" s="97">
        <v>0.224</v>
      </c>
      <c r="O66" s="98">
        <v>0.20599999999999999</v>
      </c>
      <c r="P66" s="98">
        <v>0.214</v>
      </c>
      <c r="Q66" s="39">
        <v>0.192</v>
      </c>
      <c r="R66" s="99">
        <v>0.20899999999999999</v>
      </c>
      <c r="S66" s="97">
        <v>0.19900000000000001</v>
      </c>
      <c r="T66" s="98">
        <v>0.186</v>
      </c>
      <c r="U66" s="39">
        <v>0.193</v>
      </c>
      <c r="V66" s="98">
        <v>0.189</v>
      </c>
      <c r="W66" s="99">
        <v>0.19700000000000001</v>
      </c>
      <c r="X66" s="97">
        <v>0.20799999999999999</v>
      </c>
      <c r="Y66" s="98">
        <v>0.20200000000000001</v>
      </c>
      <c r="Z66" s="39">
        <v>0.19</v>
      </c>
      <c r="AA66" s="98">
        <v>0.19800000000000001</v>
      </c>
      <c r="AB66" s="99">
        <v>0.19800000000000001</v>
      </c>
      <c r="AC66" s="97">
        <v>0.2</v>
      </c>
      <c r="AD66" s="98">
        <v>0.21099999999999999</v>
      </c>
      <c r="AE66" s="98">
        <v>0.218</v>
      </c>
      <c r="AF66" s="98">
        <v>0.21299999999999999</v>
      </c>
      <c r="AG66" s="40">
        <v>0.187</v>
      </c>
      <c r="AH66" s="97">
        <v>0.20499999999999999</v>
      </c>
      <c r="AI66" s="98">
        <v>0.217</v>
      </c>
      <c r="AJ66" s="39">
        <v>0.153</v>
      </c>
      <c r="AK66" s="98">
        <v>0.20399999999999999</v>
      </c>
      <c r="AL66" s="99">
        <v>0.2</v>
      </c>
      <c r="AM66" s="44">
        <v>0.151</v>
      </c>
      <c r="AN66" s="39">
        <v>0.17299999999999999</v>
      </c>
      <c r="AO66" s="39">
        <v>0.16300000000000001</v>
      </c>
      <c r="AP66" s="39">
        <v>0.17100000000000001</v>
      </c>
      <c r="AQ66" s="99">
        <v>0.19800000000000001</v>
      </c>
      <c r="AR66" s="97">
        <v>0.20100000000000001</v>
      </c>
      <c r="AS66" s="39">
        <v>0.16900000000000001</v>
      </c>
      <c r="AT66" s="98">
        <v>0.20300000000000001</v>
      </c>
      <c r="AU66" s="39">
        <v>0.182</v>
      </c>
      <c r="AV66" s="40">
        <v>0.18</v>
      </c>
      <c r="AW66" s="44">
        <v>0.182</v>
      </c>
      <c r="AX66" s="39">
        <v>0.2</v>
      </c>
      <c r="AY66" s="39">
        <v>0.192</v>
      </c>
      <c r="AZ66" s="39">
        <v>0.186</v>
      </c>
      <c r="BA66" s="40">
        <v>0.18099999999999999</v>
      </c>
      <c r="BB66" s="44">
        <v>0.19</v>
      </c>
      <c r="BC66" s="39">
        <v>0.19</v>
      </c>
      <c r="BD66" s="39">
        <v>0.17100000000000001</v>
      </c>
      <c r="BE66" s="39">
        <v>0.16400000000000001</v>
      </c>
      <c r="BF66" s="40">
        <v>0.20599999999999999</v>
      </c>
      <c r="BG66" s="44">
        <v>0.20499999999999999</v>
      </c>
      <c r="BH66" s="39">
        <v>0.20300000000000001</v>
      </c>
      <c r="BI66" s="39">
        <v>0.20399999999999999</v>
      </c>
      <c r="BJ66" s="39">
        <v>0.20799999999999999</v>
      </c>
      <c r="BK66" s="40">
        <v>0.20599999999999999</v>
      </c>
      <c r="BL66" s="44">
        <v>0.19</v>
      </c>
      <c r="BM66" s="40">
        <v>0.182</v>
      </c>
      <c r="BN66" s="168">
        <f t="shared" si="40"/>
        <v>0.20302762430939217</v>
      </c>
      <c r="BO66" s="168">
        <f t="shared" si="41"/>
        <v>0.13500000000000001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19</v>
      </c>
      <c r="B67" s="6"/>
      <c r="C67" s="11" t="s">
        <v>10</v>
      </c>
      <c r="D67" s="48">
        <v>0.246</v>
      </c>
      <c r="E67" s="36">
        <v>0.20300000000000001</v>
      </c>
      <c r="F67" s="36">
        <v>0.193</v>
      </c>
      <c r="G67" s="93">
        <v>0.23200000000000001</v>
      </c>
      <c r="H67" s="100">
        <v>0.214</v>
      </c>
      <c r="I67" s="43">
        <v>0.20699999999999999</v>
      </c>
      <c r="J67" s="36">
        <v>0.193</v>
      </c>
      <c r="K67" s="36">
        <v>0.19600000000000001</v>
      </c>
      <c r="L67" s="49">
        <v>0.22800000000000001</v>
      </c>
      <c r="M67" s="100">
        <v>0.216</v>
      </c>
      <c r="N67" s="92">
        <v>0.222</v>
      </c>
      <c r="O67" s="93">
        <v>0.23100000000000001</v>
      </c>
      <c r="P67" s="93" t="s">
        <v>20</v>
      </c>
      <c r="Q67" s="36">
        <v>0.193</v>
      </c>
      <c r="R67" s="37">
        <v>0.20899999999999999</v>
      </c>
      <c r="S67" s="43">
        <v>0.187</v>
      </c>
      <c r="T67" s="93">
        <v>0.217</v>
      </c>
      <c r="U67" s="36">
        <v>0.20699999999999999</v>
      </c>
      <c r="V67" s="93">
        <v>0.214</v>
      </c>
      <c r="W67" s="37">
        <v>0.20599999999999999</v>
      </c>
      <c r="X67" s="92">
        <v>0.223</v>
      </c>
      <c r="Y67" s="93">
        <v>0.20899999999999999</v>
      </c>
      <c r="Z67" s="36">
        <v>0.2</v>
      </c>
      <c r="AA67" s="36">
        <v>0.21099999999999999</v>
      </c>
      <c r="AB67" s="37">
        <v>0.2</v>
      </c>
      <c r="AC67" s="43">
        <v>0.21</v>
      </c>
      <c r="AD67" s="36">
        <v>0.21099999999999999</v>
      </c>
      <c r="AE67" s="93">
        <v>0.218</v>
      </c>
      <c r="AF67" s="36">
        <v>0.18099999999999999</v>
      </c>
      <c r="AG67" s="100">
        <v>0.222</v>
      </c>
      <c r="AH67" s="56">
        <v>0.23400000000000001</v>
      </c>
      <c r="AI67" s="36">
        <v>0.13500000000000001</v>
      </c>
      <c r="AJ67" s="93">
        <v>0.223</v>
      </c>
      <c r="AK67" s="49">
        <v>0.218</v>
      </c>
      <c r="AL67" s="50">
        <v>0.24399999999999999</v>
      </c>
      <c r="AM67" s="92">
        <v>0.22</v>
      </c>
      <c r="AN67" s="36">
        <v>0.20300000000000001</v>
      </c>
      <c r="AO67" s="93">
        <v>0.245</v>
      </c>
      <c r="AP67" s="93" t="s">
        <v>20</v>
      </c>
      <c r="AQ67" s="50">
        <v>0.23</v>
      </c>
      <c r="AR67" s="43">
        <v>0.186</v>
      </c>
      <c r="AS67" s="93">
        <v>0.21</v>
      </c>
      <c r="AT67" s="93">
        <v>0.214</v>
      </c>
      <c r="AU67" s="36">
        <v>0.19</v>
      </c>
      <c r="AV67" s="37">
        <v>0.193</v>
      </c>
      <c r="AW67" s="43">
        <v>0.19500000000000001</v>
      </c>
      <c r="AX67" s="93">
        <v>0.21199999999999999</v>
      </c>
      <c r="AY67" s="93">
        <v>0.20899999999999999</v>
      </c>
      <c r="AZ67" s="93">
        <v>0.219</v>
      </c>
      <c r="BA67" s="37">
        <v>0.2</v>
      </c>
      <c r="BB67" s="43">
        <v>0.20799999999999999</v>
      </c>
      <c r="BC67" s="93">
        <v>0.21299999999999999</v>
      </c>
      <c r="BD67" s="93">
        <v>0.214</v>
      </c>
      <c r="BE67" s="36">
        <v>0.185</v>
      </c>
      <c r="BF67" s="37">
        <v>0.2</v>
      </c>
      <c r="BG67" s="43">
        <v>0.188</v>
      </c>
      <c r="BH67" s="36">
        <v>0.20499999999999999</v>
      </c>
      <c r="BI67" s="36">
        <v>0.186</v>
      </c>
      <c r="BJ67" s="93">
        <v>0.217</v>
      </c>
      <c r="BK67" s="100">
        <v>0.217</v>
      </c>
      <c r="BL67" s="92">
        <v>0.23200000000000001</v>
      </c>
      <c r="BM67" s="100">
        <v>0.23400000000000001</v>
      </c>
      <c r="BN67" s="166">
        <f t="shared" ref="BN67:BN69" si="42">IFERROR(AVERAGE(D67:BM69),0)</f>
        <v>0.20287150837988835</v>
      </c>
      <c r="BO67" s="166">
        <f t="shared" ref="BO67:BO69" si="43">MIN(D67:BM69)</f>
        <v>0.11700000000000001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65">
        <v>8.3000000000000004E-2</v>
      </c>
      <c r="B68" s="7" t="s">
        <v>37</v>
      </c>
      <c r="C68" s="11" t="s">
        <v>8</v>
      </c>
      <c r="D68" s="41">
        <v>0.19500000000000001</v>
      </c>
      <c r="E68" s="22">
        <v>0.17100000000000001</v>
      </c>
      <c r="F68" s="95">
        <v>0.215</v>
      </c>
      <c r="G68" s="22">
        <v>0.216</v>
      </c>
      <c r="H68" s="42">
        <v>0.20799999999999999</v>
      </c>
      <c r="I68" s="45">
        <v>0.21099999999999999</v>
      </c>
      <c r="J68" s="22">
        <v>0.20399999999999999</v>
      </c>
      <c r="K68" s="95">
        <v>0.223</v>
      </c>
      <c r="L68" s="22">
        <v>0.21099999999999999</v>
      </c>
      <c r="M68" s="42">
        <v>0.19700000000000001</v>
      </c>
      <c r="N68" s="45">
        <v>0.19400000000000001</v>
      </c>
      <c r="O68" s="22">
        <v>0.19400000000000001</v>
      </c>
      <c r="P68" s="95" t="s">
        <v>20</v>
      </c>
      <c r="Q68" s="22">
        <v>0.19500000000000001</v>
      </c>
      <c r="R68" s="96">
        <v>0.20799999999999999</v>
      </c>
      <c r="S68" s="94">
        <v>0.20599999999999999</v>
      </c>
      <c r="T68" s="22">
        <v>0.18099999999999999</v>
      </c>
      <c r="U68" s="95">
        <v>0.20899999999999999</v>
      </c>
      <c r="V68" s="95">
        <v>0.2</v>
      </c>
      <c r="W68" s="96">
        <v>0.216</v>
      </c>
      <c r="X68" s="94">
        <v>0.21299999999999999</v>
      </c>
      <c r="Y68" s="95">
        <v>0.20300000000000001</v>
      </c>
      <c r="Z68" s="95">
        <v>0.20799999999999999</v>
      </c>
      <c r="AA68" s="95">
        <v>0.20399999999999999</v>
      </c>
      <c r="AB68" s="42">
        <v>0.19500000000000001</v>
      </c>
      <c r="AC68" s="94">
        <v>0.22</v>
      </c>
      <c r="AD68" s="95">
        <v>0.218</v>
      </c>
      <c r="AE68" s="95">
        <v>0.21</v>
      </c>
      <c r="AF68" s="95">
        <v>0.20200000000000001</v>
      </c>
      <c r="AG68" s="96">
        <v>0.20499999999999999</v>
      </c>
      <c r="AH68" s="94">
        <v>0.224</v>
      </c>
      <c r="AI68" s="31">
        <v>0.22800000000000001</v>
      </c>
      <c r="AJ68" s="95">
        <v>0.20399999999999999</v>
      </c>
      <c r="AK68" s="31">
        <v>0.24299999999999999</v>
      </c>
      <c r="AL68" s="96">
        <v>0.222</v>
      </c>
      <c r="AM68" s="94">
        <v>0.20699999999999999</v>
      </c>
      <c r="AN68" s="22">
        <v>0.20100000000000001</v>
      </c>
      <c r="AO68" s="22">
        <v>0.19900000000000001</v>
      </c>
      <c r="AP68" s="95">
        <v>0.222</v>
      </c>
      <c r="AQ68" s="42">
        <v>0.19400000000000001</v>
      </c>
      <c r="AR68" s="45">
        <v>0.19</v>
      </c>
      <c r="AS68" s="95">
        <v>0.21099999999999999</v>
      </c>
      <c r="AT68" s="22">
        <v>0.20699999999999999</v>
      </c>
      <c r="AU68" s="95">
        <v>0.20100000000000001</v>
      </c>
      <c r="AV68" s="55">
        <v>0.22800000000000001</v>
      </c>
      <c r="AW68" s="94">
        <v>0.20799999999999999</v>
      </c>
      <c r="AX68" s="95">
        <v>0.217</v>
      </c>
      <c r="AY68" s="95">
        <v>0.22</v>
      </c>
      <c r="AZ68" s="22">
        <v>0.19900000000000001</v>
      </c>
      <c r="BA68" s="42">
        <v>0.192</v>
      </c>
      <c r="BB68" s="45">
        <v>0.19</v>
      </c>
      <c r="BC68" s="22">
        <v>0.17599999999999999</v>
      </c>
      <c r="BD68" s="22">
        <v>0.18</v>
      </c>
      <c r="BE68" s="22">
        <v>0.161</v>
      </c>
      <c r="BF68" s="42">
        <v>0.193</v>
      </c>
      <c r="BG68" s="45">
        <v>0.185</v>
      </c>
      <c r="BH68" s="22">
        <v>0.20599999999999999</v>
      </c>
      <c r="BI68" s="22">
        <v>0.20499999999999999</v>
      </c>
      <c r="BJ68" s="22">
        <v>0.20200000000000001</v>
      </c>
      <c r="BK68" s="42">
        <v>0.21299999999999999</v>
      </c>
      <c r="BL68" s="45">
        <v>0.20499999999999999</v>
      </c>
      <c r="BM68" s="96" t="s">
        <v>20</v>
      </c>
      <c r="BN68" s="167">
        <f t="shared" si="42"/>
        <v>0.2006077348066298</v>
      </c>
      <c r="BO68" s="167">
        <f t="shared" si="43"/>
        <v>0.11700000000000001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65"/>
      <c r="B69" s="8"/>
      <c r="C69" s="12" t="s">
        <v>14</v>
      </c>
      <c r="D69" s="102">
        <v>0.21</v>
      </c>
      <c r="E69" s="98">
        <v>0.23899999999999999</v>
      </c>
      <c r="F69" s="98">
        <v>0.22</v>
      </c>
      <c r="G69" s="39">
        <v>0.20100000000000001</v>
      </c>
      <c r="H69" s="99">
        <v>0.215</v>
      </c>
      <c r="I69" s="44">
        <v>0.19600000000000001</v>
      </c>
      <c r="J69" s="39">
        <v>0.2</v>
      </c>
      <c r="K69" s="39">
        <v>0.20300000000000001</v>
      </c>
      <c r="L69" s="98">
        <v>0.22500000000000001</v>
      </c>
      <c r="M69" s="40">
        <v>0.19800000000000001</v>
      </c>
      <c r="N69" s="97">
        <v>0.20799999999999999</v>
      </c>
      <c r="O69" s="98">
        <v>0.214</v>
      </c>
      <c r="P69" s="98" t="s">
        <v>20</v>
      </c>
      <c r="Q69" s="98">
        <v>0.19900000000000001</v>
      </c>
      <c r="R69" s="99">
        <v>0.20699999999999999</v>
      </c>
      <c r="S69" s="97">
        <v>0.20699999999999999</v>
      </c>
      <c r="T69" s="39">
        <v>0.17399999999999999</v>
      </c>
      <c r="U69" s="39">
        <v>0.187</v>
      </c>
      <c r="V69" s="98">
        <v>0.20799999999999999</v>
      </c>
      <c r="W69" s="99">
        <v>0.20399999999999999</v>
      </c>
      <c r="X69" s="44">
        <v>0.19900000000000001</v>
      </c>
      <c r="Y69" s="98">
        <v>0.20200000000000001</v>
      </c>
      <c r="Z69" s="98">
        <v>0.21099999999999999</v>
      </c>
      <c r="AA69" s="98">
        <v>0.20100000000000001</v>
      </c>
      <c r="AB69" s="99">
        <v>0.20799999999999999</v>
      </c>
      <c r="AC69" s="44">
        <v>0.187</v>
      </c>
      <c r="AD69" s="98">
        <v>0.21</v>
      </c>
      <c r="AE69" s="98">
        <v>0.20499999999999999</v>
      </c>
      <c r="AF69" s="98">
        <v>0.23100000000000001</v>
      </c>
      <c r="AG69" s="53">
        <v>0.23300000000000001</v>
      </c>
      <c r="AH69" s="44">
        <v>0.16800000000000001</v>
      </c>
      <c r="AI69" s="98">
        <v>0.20699999999999999</v>
      </c>
      <c r="AJ69" s="98">
        <v>0.21299999999999999</v>
      </c>
      <c r="AK69" s="39">
        <v>0.184</v>
      </c>
      <c r="AL69" s="40">
        <v>0.191</v>
      </c>
      <c r="AM69" s="97">
        <v>0.21</v>
      </c>
      <c r="AN69" s="98">
        <v>0.20399999999999999</v>
      </c>
      <c r="AO69" s="98" t="s">
        <v>20</v>
      </c>
      <c r="AP69" s="39">
        <v>0.19800000000000001</v>
      </c>
      <c r="AQ69" s="99">
        <v>0.217</v>
      </c>
      <c r="AR69" s="44">
        <v>0.182</v>
      </c>
      <c r="AS69" s="39">
        <v>0.16800000000000001</v>
      </c>
      <c r="AT69" s="39">
        <v>0.16700000000000001</v>
      </c>
      <c r="AU69" s="39">
        <v>0.17599999999999999</v>
      </c>
      <c r="AV69" s="40">
        <v>0.11700000000000001</v>
      </c>
      <c r="AW69" s="44">
        <v>0.159</v>
      </c>
      <c r="AX69" s="39">
        <v>0.159</v>
      </c>
      <c r="AY69" s="39">
        <v>0.128</v>
      </c>
      <c r="AZ69" s="39">
        <v>0.14799999999999999</v>
      </c>
      <c r="BA69" s="40">
        <v>0.14699999999999999</v>
      </c>
      <c r="BB69" s="44">
        <v>0.17599999999999999</v>
      </c>
      <c r="BC69" s="39">
        <v>0.16600000000000001</v>
      </c>
      <c r="BD69" s="39">
        <v>0.17799999999999999</v>
      </c>
      <c r="BE69" s="98">
        <v>0.217</v>
      </c>
      <c r="BF69" s="40">
        <v>0.16400000000000001</v>
      </c>
      <c r="BG69" s="44">
        <v>0.16200000000000001</v>
      </c>
      <c r="BH69" s="39">
        <v>0.183</v>
      </c>
      <c r="BI69" s="39">
        <v>0.20599999999999999</v>
      </c>
      <c r="BJ69" s="98">
        <v>0.215</v>
      </c>
      <c r="BK69" s="99">
        <v>0.224</v>
      </c>
      <c r="BL69" s="97">
        <v>0.23499999999999999</v>
      </c>
      <c r="BM69" s="99" t="s">
        <v>20</v>
      </c>
      <c r="BN69" s="168">
        <f t="shared" si="42"/>
        <v>0.19887777777777771</v>
      </c>
      <c r="BO69" s="168">
        <f t="shared" si="43"/>
        <v>0.1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19</v>
      </c>
      <c r="B70" s="6"/>
      <c r="C70" s="11" t="s">
        <v>10</v>
      </c>
      <c r="D70" s="103">
        <v>0.21299999999999999</v>
      </c>
      <c r="E70" s="93">
        <v>0.248</v>
      </c>
      <c r="F70" s="36">
        <v>0.21299999999999999</v>
      </c>
      <c r="G70" s="93">
        <v>0.21199999999999999</v>
      </c>
      <c r="H70" s="37">
        <v>0.19900000000000001</v>
      </c>
      <c r="I70" s="92">
        <v>0.20899999999999999</v>
      </c>
      <c r="J70" s="36">
        <v>0.17599999999999999</v>
      </c>
      <c r="K70" s="36">
        <v>0.192</v>
      </c>
      <c r="L70" s="36">
        <v>0.19700000000000001</v>
      </c>
      <c r="M70" s="37">
        <v>0.2</v>
      </c>
      <c r="N70" s="43">
        <v>0.20300000000000001</v>
      </c>
      <c r="O70" s="36">
        <v>0.187</v>
      </c>
      <c r="P70" s="36">
        <v>0.192</v>
      </c>
      <c r="Q70" s="36">
        <v>0.19500000000000001</v>
      </c>
      <c r="R70" s="37">
        <v>0.20399999999999999</v>
      </c>
      <c r="S70" s="43">
        <v>0.192</v>
      </c>
      <c r="T70" s="36">
        <v>0.18</v>
      </c>
      <c r="U70" s="36">
        <v>0.19600000000000001</v>
      </c>
      <c r="V70" s="93">
        <v>0.20599999999999999</v>
      </c>
      <c r="W70" s="100">
        <v>0.20799999999999999</v>
      </c>
      <c r="X70" s="92">
        <v>0.219</v>
      </c>
      <c r="Y70" s="93">
        <v>0.20599999999999999</v>
      </c>
      <c r="Z70" s="36">
        <v>0.19500000000000001</v>
      </c>
      <c r="AA70" s="36">
        <v>0.20499999999999999</v>
      </c>
      <c r="AB70" s="37">
        <v>0.20599999999999999</v>
      </c>
      <c r="AC70" s="92">
        <v>0.214</v>
      </c>
      <c r="AD70" s="36">
        <v>0.215</v>
      </c>
      <c r="AE70" s="93">
        <v>0.217</v>
      </c>
      <c r="AF70" s="36">
        <v>0.20200000000000001</v>
      </c>
      <c r="AG70" s="100">
        <v>0.215</v>
      </c>
      <c r="AH70" s="43">
        <v>0.21099999999999999</v>
      </c>
      <c r="AI70" s="93">
        <v>0.21199999999999999</v>
      </c>
      <c r="AJ70" s="36">
        <v>0.216</v>
      </c>
      <c r="AK70" s="93">
        <v>0.24199999999999999</v>
      </c>
      <c r="AL70" s="37">
        <v>0.19800000000000001</v>
      </c>
      <c r="AM70" s="43">
        <v>0.20599999999999999</v>
      </c>
      <c r="AN70" s="49">
        <v>0.23699999999999999</v>
      </c>
      <c r="AO70" s="36">
        <v>0.21099999999999999</v>
      </c>
      <c r="AP70" s="49">
        <v>0.20899999999999999</v>
      </c>
      <c r="AQ70" s="100">
        <v>0.21099999999999999</v>
      </c>
      <c r="AR70" s="56">
        <v>0.21099999999999999</v>
      </c>
      <c r="AS70" s="36">
        <v>0.21099999999999999</v>
      </c>
      <c r="AT70" s="49">
        <v>0.216</v>
      </c>
      <c r="AU70" s="49">
        <v>0.217</v>
      </c>
      <c r="AV70" s="50">
        <v>0.21199999999999999</v>
      </c>
      <c r="AW70" s="43">
        <v>0.20200000000000001</v>
      </c>
      <c r="AX70" s="49">
        <v>0.21299999999999999</v>
      </c>
      <c r="AY70" s="36">
        <v>0.20799999999999999</v>
      </c>
      <c r="AZ70" s="93">
        <v>0.21299999999999999</v>
      </c>
      <c r="BA70" s="37">
        <v>0.20499999999999999</v>
      </c>
      <c r="BB70" s="43">
        <v>0.193</v>
      </c>
      <c r="BC70" s="36">
        <v>0.17799999999999999</v>
      </c>
      <c r="BD70" s="36">
        <v>0.18</v>
      </c>
      <c r="BE70" s="36">
        <v>0.16200000000000001</v>
      </c>
      <c r="BF70" s="37">
        <v>0.19600000000000001</v>
      </c>
      <c r="BG70" s="92">
        <v>0.23100000000000001</v>
      </c>
      <c r="BH70" s="36">
        <v>0.152</v>
      </c>
      <c r="BI70" s="36">
        <v>0.17299999999999999</v>
      </c>
      <c r="BJ70" s="36">
        <v>0.182</v>
      </c>
      <c r="BK70" s="37">
        <v>0.156</v>
      </c>
      <c r="BL70" s="43">
        <v>0.19400000000000001</v>
      </c>
      <c r="BM70" s="100">
        <v>0.2</v>
      </c>
      <c r="BN70" s="166">
        <f t="shared" ref="BN70:BN72" si="44">IFERROR(AVERAGE(D70:BM72),0)</f>
        <v>0.19543956043956043</v>
      </c>
      <c r="BO70" s="166">
        <f t="shared" ref="BO70:BO72" si="45">MIN(D70:BM72)</f>
        <v>8.5999999999999993E-2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65">
        <v>8.3000000000000004E-2</v>
      </c>
      <c r="B71" s="7" t="s">
        <v>38</v>
      </c>
      <c r="C71" s="11" t="s">
        <v>8</v>
      </c>
      <c r="D71" s="101">
        <v>0.21199999999999999</v>
      </c>
      <c r="E71" s="95" t="s">
        <v>20</v>
      </c>
      <c r="F71" s="95">
        <v>0.217</v>
      </c>
      <c r="G71" s="22">
        <v>0.21099999999999999</v>
      </c>
      <c r="H71" s="42">
        <v>0.19700000000000001</v>
      </c>
      <c r="I71" s="45">
        <v>0.2</v>
      </c>
      <c r="J71" s="22">
        <v>0.19900000000000001</v>
      </c>
      <c r="K71" s="22">
        <v>0.20300000000000001</v>
      </c>
      <c r="L71" s="22">
        <v>0.19700000000000001</v>
      </c>
      <c r="M71" s="96">
        <v>0.20200000000000001</v>
      </c>
      <c r="N71" s="94">
        <v>0.20300000000000001</v>
      </c>
      <c r="O71" s="22">
        <v>0.193</v>
      </c>
      <c r="P71" s="22">
        <v>0.19400000000000001</v>
      </c>
      <c r="Q71" s="22">
        <v>0.20100000000000001</v>
      </c>
      <c r="R71" s="42">
        <v>0.20200000000000001</v>
      </c>
      <c r="S71" s="45">
        <v>0.19600000000000001</v>
      </c>
      <c r="T71" s="22">
        <v>0.192</v>
      </c>
      <c r="U71" s="95">
        <v>0.20899999999999999</v>
      </c>
      <c r="V71" s="22">
        <v>0.19700000000000001</v>
      </c>
      <c r="W71" s="42">
        <v>0.2</v>
      </c>
      <c r="X71" s="94">
        <v>0.20499999999999999</v>
      </c>
      <c r="Y71" s="22">
        <v>0.20300000000000001</v>
      </c>
      <c r="Z71" s="95">
        <v>0.20899999999999999</v>
      </c>
      <c r="AA71" s="95">
        <v>0.20599999999999999</v>
      </c>
      <c r="AB71" s="42">
        <v>0.193</v>
      </c>
      <c r="AC71" s="58">
        <v>0.214</v>
      </c>
      <c r="AD71" s="95">
        <v>0.245</v>
      </c>
      <c r="AE71" s="95">
        <v>0.21</v>
      </c>
      <c r="AF71" s="22">
        <v>0.20399999999999999</v>
      </c>
      <c r="AG71" s="96">
        <v>0.24399999999999999</v>
      </c>
      <c r="AH71" s="45">
        <v>0.2</v>
      </c>
      <c r="AI71" s="95" t="s">
        <v>20</v>
      </c>
      <c r="AJ71" s="95" t="s">
        <v>20</v>
      </c>
      <c r="AK71" s="95">
        <v>0.247</v>
      </c>
      <c r="AL71" s="96">
        <v>0.19900000000000001</v>
      </c>
      <c r="AM71" s="94">
        <v>0.23599999999999999</v>
      </c>
      <c r="AN71" s="31">
        <v>0.214</v>
      </c>
      <c r="AO71" s="22">
        <v>0.19400000000000001</v>
      </c>
      <c r="AP71" s="22">
        <v>0.17799999999999999</v>
      </c>
      <c r="AQ71" s="42">
        <v>0.184</v>
      </c>
      <c r="AR71" s="94">
        <v>0.222</v>
      </c>
      <c r="AS71" s="95">
        <v>0.218</v>
      </c>
      <c r="AT71" s="95">
        <v>0.24299999999999999</v>
      </c>
      <c r="AU71" s="95">
        <v>0.21</v>
      </c>
      <c r="AV71" s="42">
        <v>0.155</v>
      </c>
      <c r="AW71" s="58">
        <v>0.20300000000000001</v>
      </c>
      <c r="AX71" s="22">
        <v>0.193</v>
      </c>
      <c r="AY71" s="22">
        <v>0.186</v>
      </c>
      <c r="AZ71" s="22">
        <v>0.16200000000000001</v>
      </c>
      <c r="BA71" s="96">
        <v>0.21199999999999999</v>
      </c>
      <c r="BB71" s="45">
        <v>0.16</v>
      </c>
      <c r="BC71" s="95">
        <v>0.214</v>
      </c>
      <c r="BD71" s="22">
        <v>0.16500000000000001</v>
      </c>
      <c r="BE71" s="95">
        <v>0.22800000000000001</v>
      </c>
      <c r="BF71" s="42">
        <v>0.16900000000000001</v>
      </c>
      <c r="BG71" s="45">
        <v>0.1</v>
      </c>
      <c r="BH71" s="22">
        <v>0.182</v>
      </c>
      <c r="BI71" s="22">
        <v>0.156</v>
      </c>
      <c r="BJ71" s="22">
        <v>0.183</v>
      </c>
      <c r="BK71" s="42">
        <v>0.17100000000000001</v>
      </c>
      <c r="BL71" s="45">
        <v>0.2</v>
      </c>
      <c r="BM71" s="42">
        <v>0.21099999999999999</v>
      </c>
      <c r="BN71" s="167">
        <f t="shared" si="44"/>
        <v>0.19276190476190472</v>
      </c>
      <c r="BO71" s="167">
        <f t="shared" si="45"/>
        <v>8.5999999999999993E-2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65"/>
      <c r="B72" s="8"/>
      <c r="C72" s="12" t="s">
        <v>14</v>
      </c>
      <c r="D72" s="102" t="s">
        <v>20</v>
      </c>
      <c r="E72" s="98">
        <v>0.217</v>
      </c>
      <c r="F72" s="98">
        <v>0.215</v>
      </c>
      <c r="G72" s="39">
        <v>0.19700000000000001</v>
      </c>
      <c r="H72" s="40">
        <v>0.19500000000000001</v>
      </c>
      <c r="I72" s="44">
        <v>0.191</v>
      </c>
      <c r="J72" s="39">
        <v>0.187</v>
      </c>
      <c r="K72" s="39">
        <v>0.189</v>
      </c>
      <c r="L72" s="39">
        <v>0.19</v>
      </c>
      <c r="M72" s="40">
        <v>0.182</v>
      </c>
      <c r="N72" s="44">
        <v>0.187</v>
      </c>
      <c r="O72" s="98">
        <v>0.193</v>
      </c>
      <c r="P72" s="98">
        <v>0.22500000000000001</v>
      </c>
      <c r="Q72" s="39">
        <v>0.17899999999999999</v>
      </c>
      <c r="R72" s="99">
        <v>0.23</v>
      </c>
      <c r="S72" s="44">
        <v>0.19</v>
      </c>
      <c r="T72" s="39">
        <v>0.185</v>
      </c>
      <c r="U72" s="39">
        <v>0.183</v>
      </c>
      <c r="V72" s="39">
        <v>0.184</v>
      </c>
      <c r="W72" s="99">
        <v>0.19</v>
      </c>
      <c r="X72" s="97">
        <v>0.214</v>
      </c>
      <c r="Y72" s="39">
        <v>0.19500000000000001</v>
      </c>
      <c r="Z72" s="98">
        <v>0.23499999999999999</v>
      </c>
      <c r="AA72" s="39">
        <v>0.17799999999999999</v>
      </c>
      <c r="AB72" s="40">
        <v>0.191</v>
      </c>
      <c r="AC72" s="57">
        <v>0.20599999999999999</v>
      </c>
      <c r="AD72" s="98">
        <v>0.20699999999999999</v>
      </c>
      <c r="AE72" s="39">
        <v>0.20599999999999999</v>
      </c>
      <c r="AF72" s="39">
        <v>0.17499999999999999</v>
      </c>
      <c r="AG72" s="99">
        <v>0.20599999999999999</v>
      </c>
      <c r="AH72" s="44">
        <v>0.193</v>
      </c>
      <c r="AI72" s="98">
        <v>0.21299999999999999</v>
      </c>
      <c r="AJ72" s="39">
        <v>0.191</v>
      </c>
      <c r="AK72" s="98">
        <v>0.23699999999999999</v>
      </c>
      <c r="AL72" s="99">
        <v>0.193</v>
      </c>
      <c r="AM72" s="97">
        <v>0.21199999999999999</v>
      </c>
      <c r="AN72" s="98">
        <v>0.19400000000000001</v>
      </c>
      <c r="AO72" s="39">
        <v>0.19700000000000001</v>
      </c>
      <c r="AP72" s="39">
        <v>0.19400000000000001</v>
      </c>
      <c r="AQ72" s="99">
        <v>0.21299999999999999</v>
      </c>
      <c r="AR72" s="44">
        <v>0.13900000000000001</v>
      </c>
      <c r="AS72" s="98">
        <v>0.22500000000000001</v>
      </c>
      <c r="AT72" s="39">
        <v>0.129</v>
      </c>
      <c r="AU72" s="39">
        <v>0.156</v>
      </c>
      <c r="AV72" s="99">
        <v>0.20300000000000001</v>
      </c>
      <c r="AW72" s="44">
        <v>0.127</v>
      </c>
      <c r="AX72" s="98">
        <v>0.2</v>
      </c>
      <c r="AY72" s="98">
        <v>0.218</v>
      </c>
      <c r="AZ72" s="98">
        <v>0.17499999999999999</v>
      </c>
      <c r="BA72" s="99">
        <v>0.17499999999999999</v>
      </c>
      <c r="BB72" s="44">
        <v>0.128</v>
      </c>
      <c r="BC72" s="39">
        <v>0.14599999999999999</v>
      </c>
      <c r="BD72" s="39">
        <v>0.11600000000000001</v>
      </c>
      <c r="BE72" s="39">
        <v>0.11700000000000001</v>
      </c>
      <c r="BF72" s="40">
        <v>0.114</v>
      </c>
      <c r="BG72" s="44">
        <v>8.5999999999999993E-2</v>
      </c>
      <c r="BH72" s="39">
        <v>0.13100000000000001</v>
      </c>
      <c r="BI72" s="39">
        <v>0.151</v>
      </c>
      <c r="BJ72" s="98">
        <v>0.24299999999999999</v>
      </c>
      <c r="BK72" s="40">
        <v>0.18099999999999999</v>
      </c>
      <c r="BL72" s="97">
        <v>0.214</v>
      </c>
      <c r="BM72" s="40">
        <v>0.11</v>
      </c>
      <c r="BN72" s="168">
        <f t="shared" si="44"/>
        <v>0.18812328767123296</v>
      </c>
      <c r="BO72" s="168">
        <f t="shared" si="45"/>
        <v>8.5999999999999993E-2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19</v>
      </c>
      <c r="B73" s="6" t="s">
        <v>9</v>
      </c>
      <c r="C73" s="11" t="s">
        <v>10</v>
      </c>
      <c r="D73" s="48" t="s">
        <v>11</v>
      </c>
      <c r="E73" s="49" t="s">
        <v>11</v>
      </c>
      <c r="F73" s="49" t="s">
        <v>11</v>
      </c>
      <c r="G73" s="49" t="s">
        <v>11</v>
      </c>
      <c r="H73" s="50" t="s">
        <v>11</v>
      </c>
      <c r="I73" s="56" t="s">
        <v>11</v>
      </c>
      <c r="J73" s="49" t="s">
        <v>11</v>
      </c>
      <c r="K73" s="49" t="s">
        <v>11</v>
      </c>
      <c r="L73" s="49" t="s">
        <v>11</v>
      </c>
      <c r="M73" s="50" t="s">
        <v>11</v>
      </c>
      <c r="N73" s="56" t="s">
        <v>11</v>
      </c>
      <c r="O73" s="49" t="s">
        <v>11</v>
      </c>
      <c r="P73" s="49" t="s">
        <v>11</v>
      </c>
      <c r="Q73" s="49" t="s">
        <v>11</v>
      </c>
      <c r="R73" s="50" t="s">
        <v>11</v>
      </c>
      <c r="S73" s="56" t="s">
        <v>11</v>
      </c>
      <c r="T73" s="49" t="s">
        <v>11</v>
      </c>
      <c r="U73" s="49" t="s">
        <v>11</v>
      </c>
      <c r="V73" s="49" t="s">
        <v>11</v>
      </c>
      <c r="W73" s="50" t="s">
        <v>11</v>
      </c>
      <c r="X73" s="56" t="s">
        <v>11</v>
      </c>
      <c r="Y73" s="49" t="s">
        <v>11</v>
      </c>
      <c r="Z73" s="49" t="s">
        <v>11</v>
      </c>
      <c r="AA73" s="49" t="s">
        <v>11</v>
      </c>
      <c r="AB73" s="50" t="s">
        <v>11</v>
      </c>
      <c r="AC73" s="56" t="s">
        <v>11</v>
      </c>
      <c r="AD73" s="49" t="s">
        <v>11</v>
      </c>
      <c r="AE73" s="49" t="s">
        <v>11</v>
      </c>
      <c r="AF73" s="49" t="s">
        <v>11</v>
      </c>
      <c r="AG73" s="100">
        <v>0.21099999999999999</v>
      </c>
      <c r="AH73" s="43">
        <v>0.21199999999999999</v>
      </c>
      <c r="AI73" s="49">
        <v>0.23400000000000001</v>
      </c>
      <c r="AJ73" s="36">
        <v>0.19800000000000001</v>
      </c>
      <c r="AK73" s="93">
        <v>0.217</v>
      </c>
      <c r="AL73" s="100">
        <v>0.22</v>
      </c>
      <c r="AM73" s="56" t="s">
        <v>11</v>
      </c>
      <c r="AN73" s="49" t="s">
        <v>11</v>
      </c>
      <c r="AO73" s="49" t="s">
        <v>11</v>
      </c>
      <c r="AP73" s="49" t="s">
        <v>11</v>
      </c>
      <c r="AQ73" s="50" t="s">
        <v>11</v>
      </c>
      <c r="AR73" s="56" t="s">
        <v>11</v>
      </c>
      <c r="AS73" s="49" t="s">
        <v>11</v>
      </c>
      <c r="AT73" s="49" t="s">
        <v>11</v>
      </c>
      <c r="AU73" s="49" t="s">
        <v>11</v>
      </c>
      <c r="AV73" s="50" t="s">
        <v>11</v>
      </c>
      <c r="AW73" s="56" t="s">
        <v>11</v>
      </c>
      <c r="AX73" s="49" t="s">
        <v>11</v>
      </c>
      <c r="AY73" s="49" t="s">
        <v>11</v>
      </c>
      <c r="AZ73" s="49" t="s">
        <v>11</v>
      </c>
      <c r="BA73" s="50" t="s">
        <v>11</v>
      </c>
      <c r="BB73" s="56" t="s">
        <v>11</v>
      </c>
      <c r="BC73" s="49" t="s">
        <v>11</v>
      </c>
      <c r="BD73" s="49" t="s">
        <v>11</v>
      </c>
      <c r="BE73" s="49" t="s">
        <v>11</v>
      </c>
      <c r="BF73" s="50" t="s">
        <v>11</v>
      </c>
      <c r="BG73" s="56" t="s">
        <v>11</v>
      </c>
      <c r="BH73" s="49" t="s">
        <v>11</v>
      </c>
      <c r="BI73" s="49" t="s">
        <v>11</v>
      </c>
      <c r="BJ73" s="49" t="s">
        <v>11</v>
      </c>
      <c r="BK73" s="50" t="s">
        <v>11</v>
      </c>
      <c r="BL73" s="56" t="s">
        <v>11</v>
      </c>
      <c r="BM73" s="50" t="s">
        <v>11</v>
      </c>
      <c r="BN73" s="166">
        <f t="shared" ref="BN73:BN75" si="46">IFERROR(AVERAGE(D73:BM75),0)</f>
        <v>0.20666666666666669</v>
      </c>
      <c r="BO73" s="166">
        <f t="shared" ref="BO73:BO75" si="47">MIN(D73:BM75)</f>
        <v>0.17499999999999999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65">
        <v>8.3000000000000004E-2</v>
      </c>
      <c r="B74" s="7" t="s">
        <v>12</v>
      </c>
      <c r="C74" s="11" t="s">
        <v>8</v>
      </c>
      <c r="D74" s="54" t="s">
        <v>11</v>
      </c>
      <c r="E74" s="31" t="s">
        <v>11</v>
      </c>
      <c r="F74" s="31" t="s">
        <v>11</v>
      </c>
      <c r="G74" s="31" t="s">
        <v>11</v>
      </c>
      <c r="H74" s="55" t="s">
        <v>11</v>
      </c>
      <c r="I74" s="58" t="s">
        <v>11</v>
      </c>
      <c r="J74" s="31" t="s">
        <v>11</v>
      </c>
      <c r="K74" s="31" t="s">
        <v>11</v>
      </c>
      <c r="L74" s="31" t="s">
        <v>11</v>
      </c>
      <c r="M74" s="55" t="s">
        <v>11</v>
      </c>
      <c r="N74" s="58" t="s">
        <v>11</v>
      </c>
      <c r="O74" s="31" t="s">
        <v>11</v>
      </c>
      <c r="P74" s="31" t="s">
        <v>11</v>
      </c>
      <c r="Q74" s="31" t="s">
        <v>11</v>
      </c>
      <c r="R74" s="55" t="s">
        <v>11</v>
      </c>
      <c r="S74" s="58" t="s">
        <v>11</v>
      </c>
      <c r="T74" s="31" t="s">
        <v>11</v>
      </c>
      <c r="U74" s="31" t="s">
        <v>11</v>
      </c>
      <c r="V74" s="31" t="s">
        <v>11</v>
      </c>
      <c r="W74" s="55" t="s">
        <v>11</v>
      </c>
      <c r="X74" s="58" t="s">
        <v>11</v>
      </c>
      <c r="Y74" s="31" t="s">
        <v>11</v>
      </c>
      <c r="Z74" s="31" t="s">
        <v>11</v>
      </c>
      <c r="AA74" s="31" t="s">
        <v>11</v>
      </c>
      <c r="AB74" s="55" t="s">
        <v>11</v>
      </c>
      <c r="AC74" s="58" t="s">
        <v>11</v>
      </c>
      <c r="AD74" s="31" t="s">
        <v>11</v>
      </c>
      <c r="AE74" s="31" t="s">
        <v>11</v>
      </c>
      <c r="AF74" s="31" t="s">
        <v>11</v>
      </c>
      <c r="AG74" s="96">
        <v>0.20799999999999999</v>
      </c>
      <c r="AH74" s="45">
        <v>0.191</v>
      </c>
      <c r="AI74" s="22">
        <v>0.20499999999999999</v>
      </c>
      <c r="AJ74" s="22">
        <v>0.187</v>
      </c>
      <c r="AK74" s="22">
        <v>0.20499999999999999</v>
      </c>
      <c r="AL74" s="42">
        <v>0.20200000000000001</v>
      </c>
      <c r="AM74" s="58" t="s">
        <v>11</v>
      </c>
      <c r="AN74" s="31" t="s">
        <v>11</v>
      </c>
      <c r="AO74" s="31" t="s">
        <v>11</v>
      </c>
      <c r="AP74" s="31" t="s">
        <v>11</v>
      </c>
      <c r="AQ74" s="55" t="s">
        <v>11</v>
      </c>
      <c r="AR74" s="58" t="s">
        <v>11</v>
      </c>
      <c r="AS74" s="31" t="s">
        <v>11</v>
      </c>
      <c r="AT74" s="31" t="s">
        <v>11</v>
      </c>
      <c r="AU74" s="31" t="s">
        <v>11</v>
      </c>
      <c r="AV74" s="55" t="s">
        <v>11</v>
      </c>
      <c r="AW74" s="58" t="s">
        <v>11</v>
      </c>
      <c r="AX74" s="31" t="s">
        <v>11</v>
      </c>
      <c r="AY74" s="31" t="s">
        <v>11</v>
      </c>
      <c r="AZ74" s="31" t="s">
        <v>11</v>
      </c>
      <c r="BA74" s="55" t="s">
        <v>11</v>
      </c>
      <c r="BB74" s="58" t="s">
        <v>11</v>
      </c>
      <c r="BC74" s="31" t="s">
        <v>11</v>
      </c>
      <c r="BD74" s="31" t="s">
        <v>11</v>
      </c>
      <c r="BE74" s="31" t="s">
        <v>11</v>
      </c>
      <c r="BF74" s="55" t="s">
        <v>11</v>
      </c>
      <c r="BG74" s="58" t="s">
        <v>11</v>
      </c>
      <c r="BH74" s="31" t="s">
        <v>11</v>
      </c>
      <c r="BI74" s="31" t="s">
        <v>11</v>
      </c>
      <c r="BJ74" s="31" t="s">
        <v>11</v>
      </c>
      <c r="BK74" s="55" t="s">
        <v>11</v>
      </c>
      <c r="BL74" s="58" t="s">
        <v>11</v>
      </c>
      <c r="BM74" s="55" t="s">
        <v>11</v>
      </c>
      <c r="BN74" s="167">
        <f t="shared" si="46"/>
        <v>0.20572222222222225</v>
      </c>
      <c r="BO74" s="167">
        <f t="shared" si="47"/>
        <v>0.17499999999999999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65"/>
      <c r="B75" s="8" t="s">
        <v>39</v>
      </c>
      <c r="C75" s="12" t="s">
        <v>14</v>
      </c>
      <c r="D75" s="51" t="s">
        <v>11</v>
      </c>
      <c r="E75" s="52" t="s">
        <v>11</v>
      </c>
      <c r="F75" s="52" t="s">
        <v>11</v>
      </c>
      <c r="G75" s="52" t="s">
        <v>11</v>
      </c>
      <c r="H75" s="53" t="s">
        <v>11</v>
      </c>
      <c r="I75" s="57" t="s">
        <v>11</v>
      </c>
      <c r="J75" s="52" t="s">
        <v>11</v>
      </c>
      <c r="K75" s="52" t="s">
        <v>11</v>
      </c>
      <c r="L75" s="52" t="s">
        <v>11</v>
      </c>
      <c r="M75" s="53" t="s">
        <v>11</v>
      </c>
      <c r="N75" s="57" t="s">
        <v>11</v>
      </c>
      <c r="O75" s="52" t="s">
        <v>11</v>
      </c>
      <c r="P75" s="52" t="s">
        <v>11</v>
      </c>
      <c r="Q75" s="52" t="s">
        <v>11</v>
      </c>
      <c r="R75" s="53" t="s">
        <v>11</v>
      </c>
      <c r="S75" s="57" t="s">
        <v>11</v>
      </c>
      <c r="T75" s="52" t="s">
        <v>11</v>
      </c>
      <c r="U75" s="52" t="s">
        <v>11</v>
      </c>
      <c r="V75" s="52" t="s">
        <v>11</v>
      </c>
      <c r="W75" s="53" t="s">
        <v>11</v>
      </c>
      <c r="X75" s="57" t="s">
        <v>11</v>
      </c>
      <c r="Y75" s="52" t="s">
        <v>11</v>
      </c>
      <c r="Z75" s="52" t="s">
        <v>11</v>
      </c>
      <c r="AA75" s="52" t="s">
        <v>11</v>
      </c>
      <c r="AB75" s="53" t="s">
        <v>11</v>
      </c>
      <c r="AC75" s="57" t="s">
        <v>11</v>
      </c>
      <c r="AD75" s="52" t="s">
        <v>11</v>
      </c>
      <c r="AE75" s="52" t="s">
        <v>11</v>
      </c>
      <c r="AF75" s="52" t="s">
        <v>11</v>
      </c>
      <c r="AG75" s="40">
        <v>0.17499999999999999</v>
      </c>
      <c r="AH75" s="44">
        <v>0.17699999999999999</v>
      </c>
      <c r="AI75" s="52">
        <v>0.23200000000000001</v>
      </c>
      <c r="AJ75" s="98">
        <v>0.23200000000000001</v>
      </c>
      <c r="AK75" s="52">
        <v>0.221</v>
      </c>
      <c r="AL75" s="40">
        <v>0.193</v>
      </c>
      <c r="AM75" s="57" t="s">
        <v>11</v>
      </c>
      <c r="AN75" s="52" t="s">
        <v>11</v>
      </c>
      <c r="AO75" s="52" t="s">
        <v>11</v>
      </c>
      <c r="AP75" s="52" t="s">
        <v>11</v>
      </c>
      <c r="AQ75" s="53" t="s">
        <v>11</v>
      </c>
      <c r="AR75" s="57" t="s">
        <v>11</v>
      </c>
      <c r="AS75" s="52" t="s">
        <v>11</v>
      </c>
      <c r="AT75" s="52" t="s">
        <v>11</v>
      </c>
      <c r="AU75" s="52" t="s">
        <v>11</v>
      </c>
      <c r="AV75" s="53" t="s">
        <v>11</v>
      </c>
      <c r="AW75" s="57" t="s">
        <v>11</v>
      </c>
      <c r="AX75" s="52" t="s">
        <v>11</v>
      </c>
      <c r="AY75" s="52" t="s">
        <v>11</v>
      </c>
      <c r="AZ75" s="52" t="s">
        <v>11</v>
      </c>
      <c r="BA75" s="53" t="s">
        <v>11</v>
      </c>
      <c r="BB75" s="57" t="s">
        <v>11</v>
      </c>
      <c r="BC75" s="52" t="s">
        <v>11</v>
      </c>
      <c r="BD75" s="52" t="s">
        <v>11</v>
      </c>
      <c r="BE75" s="52" t="s">
        <v>11</v>
      </c>
      <c r="BF75" s="53" t="s">
        <v>11</v>
      </c>
      <c r="BG75" s="57" t="s">
        <v>11</v>
      </c>
      <c r="BH75" s="52" t="s">
        <v>11</v>
      </c>
      <c r="BI75" s="52" t="s">
        <v>11</v>
      </c>
      <c r="BJ75" s="52" t="s">
        <v>11</v>
      </c>
      <c r="BK75" s="53" t="s">
        <v>11</v>
      </c>
      <c r="BL75" s="57" t="s">
        <v>11</v>
      </c>
      <c r="BM75" s="53" t="s">
        <v>11</v>
      </c>
      <c r="BN75" s="168">
        <f t="shared" si="46"/>
        <v>0.21116666666666667</v>
      </c>
      <c r="BO75" s="168">
        <f t="shared" si="47"/>
        <v>0.17499999999999999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19</v>
      </c>
      <c r="B76" s="6" t="s">
        <v>15</v>
      </c>
      <c r="C76" s="11" t="s">
        <v>10</v>
      </c>
      <c r="D76" s="48" t="s">
        <v>11</v>
      </c>
      <c r="E76" s="49" t="s">
        <v>11</v>
      </c>
      <c r="F76" s="49" t="s">
        <v>11</v>
      </c>
      <c r="G76" s="49" t="s">
        <v>11</v>
      </c>
      <c r="H76" s="50" t="s">
        <v>11</v>
      </c>
      <c r="I76" s="56" t="s">
        <v>11</v>
      </c>
      <c r="J76" s="49" t="s">
        <v>11</v>
      </c>
      <c r="K76" s="49" t="s">
        <v>11</v>
      </c>
      <c r="L76" s="49" t="s">
        <v>11</v>
      </c>
      <c r="M76" s="50" t="s">
        <v>11</v>
      </c>
      <c r="N76" s="56" t="s">
        <v>11</v>
      </c>
      <c r="O76" s="49" t="s">
        <v>11</v>
      </c>
      <c r="P76" s="49" t="s">
        <v>11</v>
      </c>
      <c r="Q76" s="49" t="s">
        <v>11</v>
      </c>
      <c r="R76" s="50" t="s">
        <v>11</v>
      </c>
      <c r="S76" s="56" t="s">
        <v>11</v>
      </c>
      <c r="T76" s="49" t="s">
        <v>11</v>
      </c>
      <c r="U76" s="49" t="s">
        <v>11</v>
      </c>
      <c r="V76" s="49" t="s">
        <v>11</v>
      </c>
      <c r="W76" s="50" t="s">
        <v>11</v>
      </c>
      <c r="X76" s="56" t="s">
        <v>11</v>
      </c>
      <c r="Y76" s="49" t="s">
        <v>11</v>
      </c>
      <c r="Z76" s="49" t="s">
        <v>11</v>
      </c>
      <c r="AA76" s="49" t="s">
        <v>11</v>
      </c>
      <c r="AB76" s="50" t="s">
        <v>11</v>
      </c>
      <c r="AC76" s="56" t="s">
        <v>11</v>
      </c>
      <c r="AD76" s="49" t="s">
        <v>11</v>
      </c>
      <c r="AE76" s="49" t="s">
        <v>11</v>
      </c>
      <c r="AF76" s="49" t="s">
        <v>11</v>
      </c>
      <c r="AG76" s="37">
        <v>0.21099999999999999</v>
      </c>
      <c r="AH76" s="92">
        <v>0.221</v>
      </c>
      <c r="AI76" s="36">
        <v>0.217</v>
      </c>
      <c r="AJ76" s="36">
        <v>0.21</v>
      </c>
      <c r="AK76" s="49">
        <v>0.20300000000000001</v>
      </c>
      <c r="AL76" s="50">
        <v>0.21299999999999999</v>
      </c>
      <c r="AM76" s="56" t="s">
        <v>11</v>
      </c>
      <c r="AN76" s="49" t="s">
        <v>11</v>
      </c>
      <c r="AO76" s="49" t="s">
        <v>11</v>
      </c>
      <c r="AP76" s="49" t="s">
        <v>11</v>
      </c>
      <c r="AQ76" s="50" t="s">
        <v>11</v>
      </c>
      <c r="AR76" s="56" t="s">
        <v>11</v>
      </c>
      <c r="AS76" s="49" t="s">
        <v>11</v>
      </c>
      <c r="AT76" s="49" t="s">
        <v>11</v>
      </c>
      <c r="AU76" s="49" t="s">
        <v>11</v>
      </c>
      <c r="AV76" s="50" t="s">
        <v>11</v>
      </c>
      <c r="AW76" s="56" t="s">
        <v>11</v>
      </c>
      <c r="AX76" s="49" t="s">
        <v>11</v>
      </c>
      <c r="AY76" s="49" t="s">
        <v>11</v>
      </c>
      <c r="AZ76" s="49" t="s">
        <v>11</v>
      </c>
      <c r="BA76" s="50" t="s">
        <v>11</v>
      </c>
      <c r="BB76" s="56" t="s">
        <v>11</v>
      </c>
      <c r="BC76" s="49" t="s">
        <v>11</v>
      </c>
      <c r="BD76" s="49" t="s">
        <v>11</v>
      </c>
      <c r="BE76" s="49" t="s">
        <v>11</v>
      </c>
      <c r="BF76" s="50" t="s">
        <v>11</v>
      </c>
      <c r="BG76" s="56" t="s">
        <v>11</v>
      </c>
      <c r="BH76" s="49" t="s">
        <v>11</v>
      </c>
      <c r="BI76" s="49" t="s">
        <v>11</v>
      </c>
      <c r="BJ76" s="49" t="s">
        <v>11</v>
      </c>
      <c r="BK76" s="50" t="s">
        <v>11</v>
      </c>
      <c r="BL76" s="56" t="s">
        <v>11</v>
      </c>
      <c r="BM76" s="50" t="s">
        <v>11</v>
      </c>
      <c r="BN76" s="166">
        <f t="shared" ref="BN76:BN78" si="48">IFERROR(AVERAGE(D76:BM78),0)</f>
        <v>0.2023888888888889</v>
      </c>
      <c r="BO76" s="166">
        <f t="shared" ref="BO76:BO78" si="49">MIN(D76:BM78)</f>
        <v>0.161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65">
        <v>8.3000000000000004E-2</v>
      </c>
      <c r="B77" s="7" t="s">
        <v>12</v>
      </c>
      <c r="C77" s="11" t="s">
        <v>8</v>
      </c>
      <c r="D77" s="54" t="s">
        <v>11</v>
      </c>
      <c r="E77" s="31" t="s">
        <v>11</v>
      </c>
      <c r="F77" s="31" t="s">
        <v>11</v>
      </c>
      <c r="G77" s="31" t="s">
        <v>11</v>
      </c>
      <c r="H77" s="55" t="s">
        <v>11</v>
      </c>
      <c r="I77" s="58" t="s">
        <v>11</v>
      </c>
      <c r="J77" s="31" t="s">
        <v>11</v>
      </c>
      <c r="K77" s="31" t="s">
        <v>11</v>
      </c>
      <c r="L77" s="31" t="s">
        <v>11</v>
      </c>
      <c r="M77" s="55" t="s">
        <v>11</v>
      </c>
      <c r="N77" s="58" t="s">
        <v>11</v>
      </c>
      <c r="O77" s="31" t="s">
        <v>11</v>
      </c>
      <c r="P77" s="31" t="s">
        <v>11</v>
      </c>
      <c r="Q77" s="31" t="s">
        <v>11</v>
      </c>
      <c r="R77" s="55" t="s">
        <v>11</v>
      </c>
      <c r="S77" s="58" t="s">
        <v>11</v>
      </c>
      <c r="T77" s="31" t="s">
        <v>11</v>
      </c>
      <c r="U77" s="31" t="s">
        <v>11</v>
      </c>
      <c r="V77" s="31" t="s">
        <v>11</v>
      </c>
      <c r="W77" s="55" t="s">
        <v>11</v>
      </c>
      <c r="X77" s="58" t="s">
        <v>11</v>
      </c>
      <c r="Y77" s="31" t="s">
        <v>11</v>
      </c>
      <c r="Z77" s="31" t="s">
        <v>11</v>
      </c>
      <c r="AA77" s="31" t="s">
        <v>11</v>
      </c>
      <c r="AB77" s="55" t="s">
        <v>11</v>
      </c>
      <c r="AC77" s="58" t="s">
        <v>11</v>
      </c>
      <c r="AD77" s="31" t="s">
        <v>11</v>
      </c>
      <c r="AE77" s="31" t="s">
        <v>11</v>
      </c>
      <c r="AF77" s="31" t="s">
        <v>11</v>
      </c>
      <c r="AG77" s="42">
        <v>0.19600000000000001</v>
      </c>
      <c r="AH77" s="94">
        <v>0.20599999999999999</v>
      </c>
      <c r="AI77" s="22">
        <v>0.20300000000000001</v>
      </c>
      <c r="AJ77" s="95">
        <v>0.255</v>
      </c>
      <c r="AK77" s="95">
        <v>0.23300000000000001</v>
      </c>
      <c r="AL77" s="96">
        <v>0.20300000000000001</v>
      </c>
      <c r="AM77" s="58" t="s">
        <v>11</v>
      </c>
      <c r="AN77" s="31" t="s">
        <v>11</v>
      </c>
      <c r="AO77" s="31" t="s">
        <v>11</v>
      </c>
      <c r="AP77" s="31" t="s">
        <v>11</v>
      </c>
      <c r="AQ77" s="55" t="s">
        <v>11</v>
      </c>
      <c r="AR77" s="58" t="s">
        <v>11</v>
      </c>
      <c r="AS77" s="31" t="s">
        <v>11</v>
      </c>
      <c r="AT77" s="31" t="s">
        <v>11</v>
      </c>
      <c r="AU77" s="31" t="s">
        <v>11</v>
      </c>
      <c r="AV77" s="55" t="s">
        <v>11</v>
      </c>
      <c r="AW77" s="58" t="s">
        <v>11</v>
      </c>
      <c r="AX77" s="31" t="s">
        <v>11</v>
      </c>
      <c r="AY77" s="31" t="s">
        <v>11</v>
      </c>
      <c r="AZ77" s="31" t="s">
        <v>11</v>
      </c>
      <c r="BA77" s="55" t="s">
        <v>11</v>
      </c>
      <c r="BB77" s="58" t="s">
        <v>11</v>
      </c>
      <c r="BC77" s="31" t="s">
        <v>11</v>
      </c>
      <c r="BD77" s="31" t="s">
        <v>11</v>
      </c>
      <c r="BE77" s="31" t="s">
        <v>11</v>
      </c>
      <c r="BF77" s="55" t="s">
        <v>11</v>
      </c>
      <c r="BG77" s="58" t="s">
        <v>11</v>
      </c>
      <c r="BH77" s="31" t="s">
        <v>11</v>
      </c>
      <c r="BI77" s="31" t="s">
        <v>11</v>
      </c>
      <c r="BJ77" s="31" t="s">
        <v>11</v>
      </c>
      <c r="BK77" s="55" t="s">
        <v>11</v>
      </c>
      <c r="BL77" s="58" t="s">
        <v>11</v>
      </c>
      <c r="BM77" s="55" t="s">
        <v>11</v>
      </c>
      <c r="BN77" s="167">
        <f t="shared" si="48"/>
        <v>0.20102739726027385</v>
      </c>
      <c r="BO77" s="167">
        <f t="shared" si="49"/>
        <v>0.161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65"/>
      <c r="B78" s="8" t="s">
        <v>39</v>
      </c>
      <c r="C78" s="12" t="s">
        <v>14</v>
      </c>
      <c r="D78" s="51" t="s">
        <v>11</v>
      </c>
      <c r="E78" s="52" t="s">
        <v>11</v>
      </c>
      <c r="F78" s="52" t="s">
        <v>11</v>
      </c>
      <c r="G78" s="52" t="s">
        <v>11</v>
      </c>
      <c r="H78" s="53" t="s">
        <v>11</v>
      </c>
      <c r="I78" s="57" t="s">
        <v>11</v>
      </c>
      <c r="J78" s="52" t="s">
        <v>11</v>
      </c>
      <c r="K78" s="52" t="s">
        <v>11</v>
      </c>
      <c r="L78" s="52" t="s">
        <v>11</v>
      </c>
      <c r="M78" s="53" t="s">
        <v>11</v>
      </c>
      <c r="N78" s="57" t="s">
        <v>11</v>
      </c>
      <c r="O78" s="52" t="s">
        <v>11</v>
      </c>
      <c r="P78" s="52" t="s">
        <v>11</v>
      </c>
      <c r="Q78" s="52" t="s">
        <v>11</v>
      </c>
      <c r="R78" s="53" t="s">
        <v>11</v>
      </c>
      <c r="S78" s="57" t="s">
        <v>11</v>
      </c>
      <c r="T78" s="52" t="s">
        <v>11</v>
      </c>
      <c r="U78" s="52" t="s">
        <v>11</v>
      </c>
      <c r="V78" s="52" t="s">
        <v>11</v>
      </c>
      <c r="W78" s="53" t="s">
        <v>11</v>
      </c>
      <c r="X78" s="57" t="s">
        <v>11</v>
      </c>
      <c r="Y78" s="52" t="s">
        <v>11</v>
      </c>
      <c r="Z78" s="52" t="s">
        <v>11</v>
      </c>
      <c r="AA78" s="52" t="s">
        <v>11</v>
      </c>
      <c r="AB78" s="53" t="s">
        <v>11</v>
      </c>
      <c r="AC78" s="57" t="s">
        <v>11</v>
      </c>
      <c r="AD78" s="52" t="s">
        <v>11</v>
      </c>
      <c r="AE78" s="52" t="s">
        <v>11</v>
      </c>
      <c r="AF78" s="52" t="s">
        <v>11</v>
      </c>
      <c r="AG78" s="40">
        <v>0.19900000000000001</v>
      </c>
      <c r="AH78" s="44">
        <v>0.17799999999999999</v>
      </c>
      <c r="AI78" s="39">
        <v>0.192</v>
      </c>
      <c r="AJ78" s="39">
        <v>0.161</v>
      </c>
      <c r="AK78" s="39">
        <v>0.17</v>
      </c>
      <c r="AL78" s="40">
        <v>0.17199999999999999</v>
      </c>
      <c r="AM78" s="57" t="s">
        <v>11</v>
      </c>
      <c r="AN78" s="52" t="s">
        <v>11</v>
      </c>
      <c r="AO78" s="52" t="s">
        <v>11</v>
      </c>
      <c r="AP78" s="52" t="s">
        <v>11</v>
      </c>
      <c r="AQ78" s="53" t="s">
        <v>11</v>
      </c>
      <c r="AR78" s="57" t="s">
        <v>11</v>
      </c>
      <c r="AS78" s="52" t="s">
        <v>11</v>
      </c>
      <c r="AT78" s="52" t="s">
        <v>11</v>
      </c>
      <c r="AU78" s="52" t="s">
        <v>11</v>
      </c>
      <c r="AV78" s="53" t="s">
        <v>11</v>
      </c>
      <c r="AW78" s="57" t="s">
        <v>11</v>
      </c>
      <c r="AX78" s="52" t="s">
        <v>11</v>
      </c>
      <c r="AY78" s="52" t="s">
        <v>11</v>
      </c>
      <c r="AZ78" s="52" t="s">
        <v>11</v>
      </c>
      <c r="BA78" s="53" t="s">
        <v>11</v>
      </c>
      <c r="BB78" s="57" t="s">
        <v>11</v>
      </c>
      <c r="BC78" s="52" t="s">
        <v>11</v>
      </c>
      <c r="BD78" s="52" t="s">
        <v>11</v>
      </c>
      <c r="BE78" s="52" t="s">
        <v>11</v>
      </c>
      <c r="BF78" s="53" t="s">
        <v>11</v>
      </c>
      <c r="BG78" s="57" t="s">
        <v>11</v>
      </c>
      <c r="BH78" s="52" t="s">
        <v>11</v>
      </c>
      <c r="BI78" s="52" t="s">
        <v>11</v>
      </c>
      <c r="BJ78" s="52" t="s">
        <v>11</v>
      </c>
      <c r="BK78" s="53" t="s">
        <v>11</v>
      </c>
      <c r="BL78" s="57" t="s">
        <v>11</v>
      </c>
      <c r="BM78" s="53" t="s">
        <v>11</v>
      </c>
      <c r="BN78" s="168">
        <f t="shared" si="48"/>
        <v>0.19613953488372088</v>
      </c>
      <c r="BO78" s="168">
        <f t="shared" si="49"/>
        <v>0.13100000000000001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19</v>
      </c>
      <c r="B79" s="6"/>
      <c r="C79" s="11" t="s">
        <v>10</v>
      </c>
      <c r="D79" s="48" t="s">
        <v>20</v>
      </c>
      <c r="E79" s="36">
        <v>0.16500000000000001</v>
      </c>
      <c r="F79" s="36">
        <v>0.2</v>
      </c>
      <c r="G79" s="36">
        <v>0.20300000000000001</v>
      </c>
      <c r="H79" s="37">
        <v>0.193</v>
      </c>
      <c r="I79" s="43">
        <v>0.2</v>
      </c>
      <c r="J79" s="36">
        <v>0.2</v>
      </c>
      <c r="K79" s="36">
        <v>0.20499999999999999</v>
      </c>
      <c r="L79" s="36">
        <v>0.20499999999999999</v>
      </c>
      <c r="M79" s="37">
        <v>0.184</v>
      </c>
      <c r="N79" s="43">
        <v>0.19800000000000001</v>
      </c>
      <c r="O79" s="36">
        <v>0.20499999999999999</v>
      </c>
      <c r="P79" s="36">
        <v>0.188</v>
      </c>
      <c r="Q79" s="36">
        <v>0.20499999999999999</v>
      </c>
      <c r="R79" s="37">
        <v>0.20100000000000001</v>
      </c>
      <c r="S79" s="43">
        <v>0.19400000000000001</v>
      </c>
      <c r="T79" s="36">
        <v>0.20599999999999999</v>
      </c>
      <c r="U79" s="36">
        <v>0.2</v>
      </c>
      <c r="V79" s="36">
        <v>0.217</v>
      </c>
      <c r="W79" s="37">
        <v>0.20399999999999999</v>
      </c>
      <c r="X79" s="43">
        <v>0.19900000000000001</v>
      </c>
      <c r="Y79" s="93">
        <v>0.21199999999999999</v>
      </c>
      <c r="Z79" s="93">
        <v>0.214</v>
      </c>
      <c r="AA79" s="36">
        <v>0.214</v>
      </c>
      <c r="AB79" s="100">
        <v>0.20899999999999999</v>
      </c>
      <c r="AC79" s="43">
        <v>0.21099999999999999</v>
      </c>
      <c r="AD79" s="36">
        <v>0.20799999999999999</v>
      </c>
      <c r="AE79" s="36">
        <v>0.20799999999999999</v>
      </c>
      <c r="AF79" s="36">
        <v>0.20300000000000001</v>
      </c>
      <c r="AG79" s="100">
        <v>0.20599999999999999</v>
      </c>
      <c r="AH79" s="43">
        <v>0.20499999999999999</v>
      </c>
      <c r="AI79" s="36">
        <v>0.214</v>
      </c>
      <c r="AJ79" s="93">
        <v>0.20899999999999999</v>
      </c>
      <c r="AK79" s="49">
        <v>0.21299999999999999</v>
      </c>
      <c r="AL79" s="50">
        <v>0.224</v>
      </c>
      <c r="AM79" s="92">
        <v>0.21</v>
      </c>
      <c r="AN79" s="49">
        <v>0.216</v>
      </c>
      <c r="AO79" s="36">
        <v>0.20399999999999999</v>
      </c>
      <c r="AP79" s="93">
        <v>0.219</v>
      </c>
      <c r="AQ79" s="50">
        <v>0.20499999999999999</v>
      </c>
      <c r="AR79" s="43">
        <v>0.18099999999999999</v>
      </c>
      <c r="AS79" s="36">
        <v>0.186</v>
      </c>
      <c r="AT79" s="36">
        <v>0.20599999999999999</v>
      </c>
      <c r="AU79" s="36">
        <v>0.18</v>
      </c>
      <c r="AV79" s="37">
        <v>0.17100000000000001</v>
      </c>
      <c r="AW79" s="43">
        <v>0.18099999999999999</v>
      </c>
      <c r="AX79" s="93">
        <v>0.20100000000000001</v>
      </c>
      <c r="AY79" s="93">
        <v>0.21299999999999999</v>
      </c>
      <c r="AZ79" s="36">
        <v>0.19900000000000001</v>
      </c>
      <c r="BA79" s="37">
        <v>0.2</v>
      </c>
      <c r="BB79" s="92">
        <v>0.218</v>
      </c>
      <c r="BC79" s="36">
        <v>0.192</v>
      </c>
      <c r="BD79" s="49">
        <v>0.221</v>
      </c>
      <c r="BE79" s="93">
        <v>0.19700000000000001</v>
      </c>
      <c r="BF79" s="37">
        <v>0.193</v>
      </c>
      <c r="BG79" s="43">
        <v>0.17100000000000001</v>
      </c>
      <c r="BH79" s="36">
        <v>0.186</v>
      </c>
      <c r="BI79" s="36">
        <v>0.184</v>
      </c>
      <c r="BJ79" s="49">
        <v>0.24199999999999999</v>
      </c>
      <c r="BK79" s="100">
        <v>0.21099999999999999</v>
      </c>
      <c r="BL79" s="43">
        <v>0.193</v>
      </c>
      <c r="BM79" s="37">
        <v>0.20499999999999999</v>
      </c>
      <c r="BN79" s="166">
        <f t="shared" ref="BN79:BN81" si="50">IFERROR(AVERAGE(D79:BM81),0)</f>
        <v>0.1953641304347826</v>
      </c>
      <c r="BO79" s="166">
        <f t="shared" ref="BO79:BO81" si="51">MIN(D79:BM81)</f>
        <v>5.8999999999999997E-2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65">
        <v>8.3000000000000004E-2</v>
      </c>
      <c r="B80" s="7" t="s">
        <v>40</v>
      </c>
      <c r="C80" s="11" t="s">
        <v>8</v>
      </c>
      <c r="D80" s="41">
        <v>0.20200000000000001</v>
      </c>
      <c r="E80" s="22">
        <v>0.20899999999999999</v>
      </c>
      <c r="F80" s="22">
        <v>0.21199999999999999</v>
      </c>
      <c r="G80" s="31">
        <v>0.22500000000000001</v>
      </c>
      <c r="H80" s="42">
        <v>0.20100000000000001</v>
      </c>
      <c r="I80" s="45">
        <v>0.20200000000000001</v>
      </c>
      <c r="J80" s="22">
        <v>0.20200000000000001</v>
      </c>
      <c r="K80" s="22">
        <v>0.20300000000000001</v>
      </c>
      <c r="L80" s="95">
        <v>0.2</v>
      </c>
      <c r="M80" s="42">
        <v>0.189</v>
      </c>
      <c r="N80" s="45">
        <v>0.19600000000000001</v>
      </c>
      <c r="O80" s="22">
        <v>0.19</v>
      </c>
      <c r="P80" s="95">
        <v>0.20799999999999999</v>
      </c>
      <c r="Q80" s="22">
        <v>0.185</v>
      </c>
      <c r="R80" s="42">
        <v>0.21199999999999999</v>
      </c>
      <c r="S80" s="45">
        <v>0.19900000000000001</v>
      </c>
      <c r="T80" s="22">
        <v>0.191</v>
      </c>
      <c r="U80" s="22">
        <v>0.19400000000000001</v>
      </c>
      <c r="V80" s="22">
        <v>0.187</v>
      </c>
      <c r="W80" s="42">
        <v>0.191</v>
      </c>
      <c r="X80" s="45">
        <v>0.183</v>
      </c>
      <c r="Y80" s="22">
        <v>0.19600000000000001</v>
      </c>
      <c r="Z80" s="22">
        <v>0.20399999999999999</v>
      </c>
      <c r="AA80" s="22">
        <v>0.19400000000000001</v>
      </c>
      <c r="AB80" s="42">
        <v>0.184</v>
      </c>
      <c r="AC80" s="45">
        <v>0.188</v>
      </c>
      <c r="AD80" s="22">
        <v>0.19800000000000001</v>
      </c>
      <c r="AE80" s="95">
        <v>0.20399999999999999</v>
      </c>
      <c r="AF80" s="22">
        <v>0.20100000000000001</v>
      </c>
      <c r="AG80" s="42">
        <v>0.19900000000000001</v>
      </c>
      <c r="AH80" s="94">
        <v>0.21</v>
      </c>
      <c r="AI80" s="22">
        <v>0.215</v>
      </c>
      <c r="AJ80" s="22">
        <v>0.20899999999999999</v>
      </c>
      <c r="AK80" s="22">
        <v>0.13100000000000001</v>
      </c>
      <c r="AL80" s="42">
        <v>0.19</v>
      </c>
      <c r="AM80" s="45">
        <v>0.16200000000000001</v>
      </c>
      <c r="AN80" s="22">
        <v>0.188</v>
      </c>
      <c r="AO80" s="95">
        <v>0.21199999999999999</v>
      </c>
      <c r="AP80" s="95">
        <v>0.21099999999999999</v>
      </c>
      <c r="AQ80" s="42">
        <v>0.17299999999999999</v>
      </c>
      <c r="AR80" s="45">
        <v>0.188</v>
      </c>
      <c r="AS80" s="22">
        <v>0.19900000000000001</v>
      </c>
      <c r="AT80" s="95">
        <v>0.19800000000000001</v>
      </c>
      <c r="AU80" s="22">
        <v>0.188</v>
      </c>
      <c r="AV80" s="42">
        <v>0.19700000000000001</v>
      </c>
      <c r="AW80" s="45">
        <v>0.18099999999999999</v>
      </c>
      <c r="AX80" s="95">
        <v>0.188</v>
      </c>
      <c r="AY80" s="95">
        <v>0.19</v>
      </c>
      <c r="AZ80" s="22">
        <v>0.182</v>
      </c>
      <c r="BA80" s="42">
        <v>0.17199999999999999</v>
      </c>
      <c r="BB80" s="45">
        <v>0.183</v>
      </c>
      <c r="BC80" s="22">
        <v>0.161</v>
      </c>
      <c r="BD80" s="22">
        <v>0.189</v>
      </c>
      <c r="BE80" s="95">
        <v>0.191</v>
      </c>
      <c r="BF80" s="42">
        <v>0.16900000000000001</v>
      </c>
      <c r="BG80" s="45">
        <v>0.152</v>
      </c>
      <c r="BH80" s="95">
        <v>0.191</v>
      </c>
      <c r="BI80" s="22">
        <v>0.17899999999999999</v>
      </c>
      <c r="BJ80" s="22">
        <v>0.161</v>
      </c>
      <c r="BK80" s="42">
        <v>0.17399999999999999</v>
      </c>
      <c r="BL80" s="94">
        <v>0.219</v>
      </c>
      <c r="BM80" s="42">
        <v>0.221</v>
      </c>
      <c r="BN80" s="167">
        <f t="shared" si="50"/>
        <v>0.1932248062015505</v>
      </c>
      <c r="BO80" s="167">
        <f t="shared" si="51"/>
        <v>5.8999999999999997E-2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65"/>
      <c r="B81" s="8"/>
      <c r="C81" s="12" t="s">
        <v>14</v>
      </c>
      <c r="D81" s="51" t="s">
        <v>20</v>
      </c>
      <c r="E81" s="39">
        <v>0.214</v>
      </c>
      <c r="F81" s="39">
        <v>0.189</v>
      </c>
      <c r="G81" s="52">
        <v>0.20499999999999999</v>
      </c>
      <c r="H81" s="40">
        <v>0.20399999999999999</v>
      </c>
      <c r="I81" s="44">
        <v>0.192</v>
      </c>
      <c r="J81" s="98">
        <v>0.20899999999999999</v>
      </c>
      <c r="K81" s="39">
        <v>0.192</v>
      </c>
      <c r="L81" s="39">
        <v>0.185</v>
      </c>
      <c r="M81" s="40">
        <v>0.191</v>
      </c>
      <c r="N81" s="44">
        <v>0.192</v>
      </c>
      <c r="O81" s="39">
        <v>0.19400000000000001</v>
      </c>
      <c r="P81" s="39">
        <v>0.19500000000000001</v>
      </c>
      <c r="Q81" s="39">
        <v>0.19900000000000001</v>
      </c>
      <c r="R81" s="40">
        <v>0.20399999999999999</v>
      </c>
      <c r="S81" s="44">
        <v>0.19800000000000001</v>
      </c>
      <c r="T81" s="39">
        <v>0.19700000000000001</v>
      </c>
      <c r="U81" s="98">
        <v>0.218</v>
      </c>
      <c r="V81" s="39">
        <v>0.189</v>
      </c>
      <c r="W81" s="40">
        <v>0.191</v>
      </c>
      <c r="X81" s="44">
        <v>0.188</v>
      </c>
      <c r="Y81" s="98">
        <v>0.20499999999999999</v>
      </c>
      <c r="Z81" s="98">
        <v>0.20799999999999999</v>
      </c>
      <c r="AA81" s="39">
        <v>0.19900000000000001</v>
      </c>
      <c r="AB81" s="99">
        <v>0.20100000000000001</v>
      </c>
      <c r="AC81" s="44">
        <v>0.19</v>
      </c>
      <c r="AD81" s="39">
        <v>0.20300000000000001</v>
      </c>
      <c r="AE81" s="98">
        <v>0.20399999999999999</v>
      </c>
      <c r="AF81" s="98">
        <v>0.21299999999999999</v>
      </c>
      <c r="AG81" s="99">
        <v>0.217</v>
      </c>
      <c r="AH81" s="97">
        <v>0.221</v>
      </c>
      <c r="AI81" s="39">
        <v>0.19700000000000001</v>
      </c>
      <c r="AJ81" s="39">
        <v>0.21299999999999999</v>
      </c>
      <c r="AK81" s="98">
        <v>0.20699999999999999</v>
      </c>
      <c r="AL81" s="40">
        <v>0.157</v>
      </c>
      <c r="AM81" s="97">
        <v>0.20699999999999999</v>
      </c>
      <c r="AN81" s="98">
        <v>0.218</v>
      </c>
      <c r="AO81" s="52">
        <v>0.219</v>
      </c>
      <c r="AP81" s="98">
        <v>0.20699999999999999</v>
      </c>
      <c r="AQ81" s="99">
        <v>0.19700000000000001</v>
      </c>
      <c r="AR81" s="97">
        <v>0.192</v>
      </c>
      <c r="AS81" s="98">
        <v>0.20100000000000001</v>
      </c>
      <c r="AT81" s="98">
        <v>0.19600000000000001</v>
      </c>
      <c r="AU81" s="39">
        <v>0.17699999999999999</v>
      </c>
      <c r="AV81" s="40">
        <v>0.17299999999999999</v>
      </c>
      <c r="AW81" s="97">
        <v>0.19700000000000001</v>
      </c>
      <c r="AX81" s="39">
        <v>0.17199999999999999</v>
      </c>
      <c r="AY81" s="98">
        <v>0.187</v>
      </c>
      <c r="AZ81" s="98">
        <v>0.187</v>
      </c>
      <c r="BA81" s="40">
        <v>0.17599999999999999</v>
      </c>
      <c r="BB81" s="97">
        <v>0.184</v>
      </c>
      <c r="BC81" s="39">
        <v>0.154</v>
      </c>
      <c r="BD81" s="39">
        <v>0.14299999999999999</v>
      </c>
      <c r="BE81" s="98">
        <v>0.21299999999999999</v>
      </c>
      <c r="BF81" s="40">
        <v>0.13800000000000001</v>
      </c>
      <c r="BG81" s="44">
        <v>0.14799999999999999</v>
      </c>
      <c r="BH81" s="39">
        <v>0.16200000000000001</v>
      </c>
      <c r="BI81" s="39">
        <v>0.159</v>
      </c>
      <c r="BJ81" s="52">
        <v>0.23899999999999999</v>
      </c>
      <c r="BK81" s="99">
        <v>0.216</v>
      </c>
      <c r="BL81" s="44">
        <v>5.8999999999999997E-2</v>
      </c>
      <c r="BM81" s="40">
        <v>0.215</v>
      </c>
      <c r="BN81" s="168">
        <f t="shared" si="50"/>
        <v>0.19524657534246573</v>
      </c>
      <c r="BO81" s="168">
        <f t="shared" si="51"/>
        <v>5.8999999999999997E-2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19</v>
      </c>
      <c r="B82" s="6" t="s">
        <v>17</v>
      </c>
      <c r="C82" s="11" t="s">
        <v>10</v>
      </c>
      <c r="D82" s="48" t="s">
        <v>11</v>
      </c>
      <c r="E82" s="49" t="s">
        <v>11</v>
      </c>
      <c r="F82" s="49" t="s">
        <v>11</v>
      </c>
      <c r="G82" s="49" t="s">
        <v>11</v>
      </c>
      <c r="H82" s="50" t="s">
        <v>11</v>
      </c>
      <c r="I82" s="56" t="s">
        <v>11</v>
      </c>
      <c r="J82" s="49" t="s">
        <v>11</v>
      </c>
      <c r="K82" s="49" t="s">
        <v>11</v>
      </c>
      <c r="L82" s="49" t="s">
        <v>11</v>
      </c>
      <c r="M82" s="50" t="s">
        <v>11</v>
      </c>
      <c r="N82" s="56" t="s">
        <v>11</v>
      </c>
      <c r="O82" s="49" t="s">
        <v>11</v>
      </c>
      <c r="P82" s="49" t="s">
        <v>11</v>
      </c>
      <c r="Q82" s="49" t="s">
        <v>11</v>
      </c>
      <c r="R82" s="50" t="s">
        <v>11</v>
      </c>
      <c r="S82" s="56" t="s">
        <v>11</v>
      </c>
      <c r="T82" s="49" t="s">
        <v>11</v>
      </c>
      <c r="U82" s="49" t="s">
        <v>11</v>
      </c>
      <c r="V82" s="49" t="s">
        <v>11</v>
      </c>
      <c r="W82" s="50" t="s">
        <v>11</v>
      </c>
      <c r="X82" s="56" t="s">
        <v>11</v>
      </c>
      <c r="Y82" s="49" t="s">
        <v>11</v>
      </c>
      <c r="Z82" s="49" t="s">
        <v>11</v>
      </c>
      <c r="AA82" s="49" t="s">
        <v>11</v>
      </c>
      <c r="AB82" s="50" t="s">
        <v>11</v>
      </c>
      <c r="AC82" s="56" t="s">
        <v>11</v>
      </c>
      <c r="AD82" s="49" t="s">
        <v>11</v>
      </c>
      <c r="AE82" s="49" t="s">
        <v>11</v>
      </c>
      <c r="AF82" s="49" t="s">
        <v>11</v>
      </c>
      <c r="AG82" s="37">
        <v>0.20200000000000001</v>
      </c>
      <c r="AH82" s="43">
        <v>0.19700000000000001</v>
      </c>
      <c r="AI82" s="93">
        <v>0.224</v>
      </c>
      <c r="AJ82" s="93">
        <v>0.224</v>
      </c>
      <c r="AK82" s="93">
        <v>0.22500000000000001</v>
      </c>
      <c r="AL82" s="100">
        <v>0.214</v>
      </c>
      <c r="AM82" s="56" t="s">
        <v>11</v>
      </c>
      <c r="AN82" s="49" t="s">
        <v>11</v>
      </c>
      <c r="AO82" s="49" t="s">
        <v>11</v>
      </c>
      <c r="AP82" s="49" t="s">
        <v>11</v>
      </c>
      <c r="AQ82" s="50" t="s">
        <v>11</v>
      </c>
      <c r="AR82" s="56" t="s">
        <v>11</v>
      </c>
      <c r="AS82" s="49" t="s">
        <v>11</v>
      </c>
      <c r="AT82" s="49" t="s">
        <v>11</v>
      </c>
      <c r="AU82" s="49" t="s">
        <v>11</v>
      </c>
      <c r="AV82" s="50" t="s">
        <v>11</v>
      </c>
      <c r="AW82" s="56" t="s">
        <v>11</v>
      </c>
      <c r="AX82" s="49" t="s">
        <v>11</v>
      </c>
      <c r="AY82" s="49" t="s">
        <v>11</v>
      </c>
      <c r="AZ82" s="49" t="s">
        <v>11</v>
      </c>
      <c r="BA82" s="50" t="s">
        <v>11</v>
      </c>
      <c r="BB82" s="56" t="s">
        <v>11</v>
      </c>
      <c r="BC82" s="49" t="s">
        <v>11</v>
      </c>
      <c r="BD82" s="49" t="s">
        <v>11</v>
      </c>
      <c r="BE82" s="49" t="s">
        <v>11</v>
      </c>
      <c r="BF82" s="50" t="s">
        <v>11</v>
      </c>
      <c r="BG82" s="56" t="s">
        <v>11</v>
      </c>
      <c r="BH82" s="49" t="s">
        <v>11</v>
      </c>
      <c r="BI82" s="49" t="s">
        <v>11</v>
      </c>
      <c r="BJ82" s="49" t="s">
        <v>11</v>
      </c>
      <c r="BK82" s="50" t="s">
        <v>11</v>
      </c>
      <c r="BL82" s="56" t="s">
        <v>11</v>
      </c>
      <c r="BM82" s="50" t="s">
        <v>11</v>
      </c>
      <c r="BN82" s="166">
        <f t="shared" ref="BN82:BN84" si="52">IFERROR(AVERAGE(D82:BM84),0)</f>
        <v>0.20561111111111116</v>
      </c>
      <c r="BO82" s="166">
        <f t="shared" ref="BO82:BO84" si="53">MIN(D82:BM84)</f>
        <v>0.16</v>
      </c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65">
        <v>8.3000000000000004E-2</v>
      </c>
      <c r="B83" s="7" t="s">
        <v>12</v>
      </c>
      <c r="C83" s="11" t="s">
        <v>8</v>
      </c>
      <c r="D83" s="54" t="s">
        <v>11</v>
      </c>
      <c r="E83" s="31" t="s">
        <v>11</v>
      </c>
      <c r="F83" s="31" t="s">
        <v>11</v>
      </c>
      <c r="G83" s="31" t="s">
        <v>11</v>
      </c>
      <c r="H83" s="55" t="s">
        <v>11</v>
      </c>
      <c r="I83" s="58" t="s">
        <v>11</v>
      </c>
      <c r="J83" s="31" t="s">
        <v>11</v>
      </c>
      <c r="K83" s="31" t="s">
        <v>11</v>
      </c>
      <c r="L83" s="31" t="s">
        <v>11</v>
      </c>
      <c r="M83" s="55" t="s">
        <v>11</v>
      </c>
      <c r="N83" s="58" t="s">
        <v>11</v>
      </c>
      <c r="O83" s="31" t="s">
        <v>11</v>
      </c>
      <c r="P83" s="31" t="s">
        <v>11</v>
      </c>
      <c r="Q83" s="31" t="s">
        <v>11</v>
      </c>
      <c r="R83" s="55" t="s">
        <v>11</v>
      </c>
      <c r="S83" s="58" t="s">
        <v>11</v>
      </c>
      <c r="T83" s="31" t="s">
        <v>11</v>
      </c>
      <c r="U83" s="31" t="s">
        <v>11</v>
      </c>
      <c r="V83" s="31" t="s">
        <v>11</v>
      </c>
      <c r="W83" s="55" t="s">
        <v>11</v>
      </c>
      <c r="X83" s="58" t="s">
        <v>11</v>
      </c>
      <c r="Y83" s="31" t="s">
        <v>11</v>
      </c>
      <c r="Z83" s="31" t="s">
        <v>11</v>
      </c>
      <c r="AA83" s="31" t="s">
        <v>11</v>
      </c>
      <c r="AB83" s="55" t="s">
        <v>11</v>
      </c>
      <c r="AC83" s="58" t="s">
        <v>11</v>
      </c>
      <c r="AD83" s="31" t="s">
        <v>11</v>
      </c>
      <c r="AE83" s="31" t="s">
        <v>11</v>
      </c>
      <c r="AF83" s="31" t="s">
        <v>11</v>
      </c>
      <c r="AG83" s="55">
        <v>0.19600000000000001</v>
      </c>
      <c r="AH83" s="45">
        <v>0.21</v>
      </c>
      <c r="AI83" s="22">
        <v>0.20699999999999999</v>
      </c>
      <c r="AJ83" s="22">
        <v>0.20799999999999999</v>
      </c>
      <c r="AK83" s="22">
        <v>0.20499999999999999</v>
      </c>
      <c r="AL83" s="96">
        <v>0.224</v>
      </c>
      <c r="AM83" s="58" t="s">
        <v>11</v>
      </c>
      <c r="AN83" s="31" t="s">
        <v>11</v>
      </c>
      <c r="AO83" s="31" t="s">
        <v>11</v>
      </c>
      <c r="AP83" s="31" t="s">
        <v>11</v>
      </c>
      <c r="AQ83" s="55" t="s">
        <v>11</v>
      </c>
      <c r="AR83" s="58" t="s">
        <v>11</v>
      </c>
      <c r="AS83" s="31" t="s">
        <v>11</v>
      </c>
      <c r="AT83" s="31" t="s">
        <v>11</v>
      </c>
      <c r="AU83" s="31" t="s">
        <v>11</v>
      </c>
      <c r="AV83" s="55" t="s">
        <v>11</v>
      </c>
      <c r="AW83" s="58" t="s">
        <v>11</v>
      </c>
      <c r="AX83" s="31" t="s">
        <v>11</v>
      </c>
      <c r="AY83" s="31" t="s">
        <v>11</v>
      </c>
      <c r="AZ83" s="31" t="s">
        <v>11</v>
      </c>
      <c r="BA83" s="55" t="s">
        <v>11</v>
      </c>
      <c r="BB83" s="58" t="s">
        <v>11</v>
      </c>
      <c r="BC83" s="31" t="s">
        <v>11</v>
      </c>
      <c r="BD83" s="31" t="s">
        <v>11</v>
      </c>
      <c r="BE83" s="31" t="s">
        <v>11</v>
      </c>
      <c r="BF83" s="55" t="s">
        <v>11</v>
      </c>
      <c r="BG83" s="58" t="s">
        <v>11</v>
      </c>
      <c r="BH83" s="31" t="s">
        <v>11</v>
      </c>
      <c r="BI83" s="31" t="s">
        <v>11</v>
      </c>
      <c r="BJ83" s="31" t="s">
        <v>11</v>
      </c>
      <c r="BK83" s="55" t="s">
        <v>11</v>
      </c>
      <c r="BL83" s="58" t="s">
        <v>11</v>
      </c>
      <c r="BM83" s="55" t="s">
        <v>11</v>
      </c>
      <c r="BN83" s="167">
        <f t="shared" si="52"/>
        <v>0.20298648648648648</v>
      </c>
      <c r="BO83" s="167">
        <f t="shared" si="53"/>
        <v>0.16</v>
      </c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65"/>
      <c r="B84" s="8" t="s">
        <v>39</v>
      </c>
      <c r="C84" s="12" t="s">
        <v>14</v>
      </c>
      <c r="D84" s="51" t="s">
        <v>11</v>
      </c>
      <c r="E84" s="52" t="s">
        <v>11</v>
      </c>
      <c r="F84" s="52" t="s">
        <v>11</v>
      </c>
      <c r="G84" s="52" t="s">
        <v>11</v>
      </c>
      <c r="H84" s="53" t="s">
        <v>11</v>
      </c>
      <c r="I84" s="57" t="s">
        <v>11</v>
      </c>
      <c r="J84" s="52" t="s">
        <v>11</v>
      </c>
      <c r="K84" s="52" t="s">
        <v>11</v>
      </c>
      <c r="L84" s="52" t="s">
        <v>11</v>
      </c>
      <c r="M84" s="53" t="s">
        <v>11</v>
      </c>
      <c r="N84" s="57" t="s">
        <v>11</v>
      </c>
      <c r="O84" s="52" t="s">
        <v>11</v>
      </c>
      <c r="P84" s="52" t="s">
        <v>11</v>
      </c>
      <c r="Q84" s="52" t="s">
        <v>11</v>
      </c>
      <c r="R84" s="53" t="s">
        <v>11</v>
      </c>
      <c r="S84" s="57" t="s">
        <v>11</v>
      </c>
      <c r="T84" s="52" t="s">
        <v>11</v>
      </c>
      <c r="U84" s="52" t="s">
        <v>11</v>
      </c>
      <c r="V84" s="52" t="s">
        <v>11</v>
      </c>
      <c r="W84" s="53" t="s">
        <v>11</v>
      </c>
      <c r="X84" s="57" t="s">
        <v>11</v>
      </c>
      <c r="Y84" s="52" t="s">
        <v>11</v>
      </c>
      <c r="Z84" s="52" t="s">
        <v>11</v>
      </c>
      <c r="AA84" s="52" t="s">
        <v>11</v>
      </c>
      <c r="AB84" s="53" t="s">
        <v>11</v>
      </c>
      <c r="AC84" s="57" t="s">
        <v>11</v>
      </c>
      <c r="AD84" s="52" t="s">
        <v>11</v>
      </c>
      <c r="AE84" s="52" t="s">
        <v>11</v>
      </c>
      <c r="AF84" s="52" t="s">
        <v>11</v>
      </c>
      <c r="AG84" s="53">
        <v>0.217</v>
      </c>
      <c r="AH84" s="44">
        <v>0.2</v>
      </c>
      <c r="AI84" s="39">
        <v>0.20599999999999999</v>
      </c>
      <c r="AJ84" s="39">
        <v>0.218</v>
      </c>
      <c r="AK84" s="39">
        <v>0.16400000000000001</v>
      </c>
      <c r="AL84" s="40">
        <v>0.16</v>
      </c>
      <c r="AM84" s="57" t="s">
        <v>11</v>
      </c>
      <c r="AN84" s="52" t="s">
        <v>11</v>
      </c>
      <c r="AO84" s="52" t="s">
        <v>11</v>
      </c>
      <c r="AP84" s="52" t="s">
        <v>11</v>
      </c>
      <c r="AQ84" s="53" t="s">
        <v>11</v>
      </c>
      <c r="AR84" s="57" t="s">
        <v>11</v>
      </c>
      <c r="AS84" s="52" t="s">
        <v>11</v>
      </c>
      <c r="AT84" s="52" t="s">
        <v>11</v>
      </c>
      <c r="AU84" s="52" t="s">
        <v>11</v>
      </c>
      <c r="AV84" s="53" t="s">
        <v>11</v>
      </c>
      <c r="AW84" s="57" t="s">
        <v>11</v>
      </c>
      <c r="AX84" s="52" t="s">
        <v>11</v>
      </c>
      <c r="AY84" s="52" t="s">
        <v>11</v>
      </c>
      <c r="AZ84" s="52" t="s">
        <v>11</v>
      </c>
      <c r="BA84" s="53" t="s">
        <v>11</v>
      </c>
      <c r="BB84" s="57" t="s">
        <v>11</v>
      </c>
      <c r="BC84" s="52" t="s">
        <v>11</v>
      </c>
      <c r="BD84" s="52" t="s">
        <v>11</v>
      </c>
      <c r="BE84" s="52" t="s">
        <v>11</v>
      </c>
      <c r="BF84" s="53" t="s">
        <v>11</v>
      </c>
      <c r="BG84" s="57" t="s">
        <v>11</v>
      </c>
      <c r="BH84" s="52" t="s">
        <v>11</v>
      </c>
      <c r="BI84" s="52" t="s">
        <v>11</v>
      </c>
      <c r="BJ84" s="52" t="s">
        <v>11</v>
      </c>
      <c r="BK84" s="53" t="s">
        <v>11</v>
      </c>
      <c r="BL84" s="57" t="s">
        <v>11</v>
      </c>
      <c r="BM84" s="53" t="s">
        <v>11</v>
      </c>
      <c r="BN84" s="168">
        <f t="shared" si="52"/>
        <v>0.20196153846153839</v>
      </c>
      <c r="BO84" s="168">
        <f t="shared" si="53"/>
        <v>0.16</v>
      </c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19</v>
      </c>
      <c r="B85" s="6"/>
      <c r="C85" s="11" t="s">
        <v>10</v>
      </c>
      <c r="D85" s="48">
        <v>0.23</v>
      </c>
      <c r="E85" s="36">
        <v>0.21199999999999999</v>
      </c>
      <c r="F85" s="36">
        <v>0.20200000000000001</v>
      </c>
      <c r="G85" s="49">
        <v>0.20599999999999999</v>
      </c>
      <c r="H85" s="37">
        <v>0.185</v>
      </c>
      <c r="I85" s="43">
        <v>0.20300000000000001</v>
      </c>
      <c r="J85" s="36">
        <v>0.19900000000000001</v>
      </c>
      <c r="K85" s="36">
        <v>0.20799999999999999</v>
      </c>
      <c r="L85" s="36">
        <v>0.19900000000000001</v>
      </c>
      <c r="M85" s="37">
        <v>0.20399999999999999</v>
      </c>
      <c r="N85" s="43">
        <v>0.20300000000000001</v>
      </c>
      <c r="O85" s="93">
        <v>0.20300000000000001</v>
      </c>
      <c r="P85" s="36">
        <v>0.19400000000000001</v>
      </c>
      <c r="Q85" s="36">
        <v>0.20599999999999999</v>
      </c>
      <c r="R85" s="37">
        <v>0.20100000000000001</v>
      </c>
      <c r="S85" s="43">
        <v>0.19800000000000001</v>
      </c>
      <c r="T85" s="36">
        <v>0.191</v>
      </c>
      <c r="U85" s="36">
        <v>0.20100000000000001</v>
      </c>
      <c r="V85" s="36">
        <v>0.186</v>
      </c>
      <c r="W85" s="37">
        <v>0.19500000000000001</v>
      </c>
      <c r="X85" s="43">
        <v>0.21</v>
      </c>
      <c r="Y85" s="36">
        <v>0.20599999999999999</v>
      </c>
      <c r="Z85" s="93">
        <v>0.20599999999999999</v>
      </c>
      <c r="AA85" s="36">
        <v>0.20499999999999999</v>
      </c>
      <c r="AB85" s="37">
        <v>0.19800000000000001</v>
      </c>
      <c r="AC85" s="43">
        <v>0.20699999999999999</v>
      </c>
      <c r="AD85" s="93">
        <v>0.216</v>
      </c>
      <c r="AE85" s="36">
        <v>0.21099999999999999</v>
      </c>
      <c r="AF85" s="36">
        <v>0.20100000000000001</v>
      </c>
      <c r="AG85" s="37">
        <v>0.20499999999999999</v>
      </c>
      <c r="AH85" s="43">
        <v>0.21199999999999999</v>
      </c>
      <c r="AI85" s="93">
        <v>0.221</v>
      </c>
      <c r="AJ85" s="36">
        <v>0.20699999999999999</v>
      </c>
      <c r="AK85" s="36">
        <v>0.215</v>
      </c>
      <c r="AL85" s="37">
        <v>0.20499999999999999</v>
      </c>
      <c r="AM85" s="92">
        <v>0.222</v>
      </c>
      <c r="AN85" s="36">
        <v>0.21199999999999999</v>
      </c>
      <c r="AO85" s="36">
        <v>0.20899999999999999</v>
      </c>
      <c r="AP85" s="36">
        <v>0.20899999999999999</v>
      </c>
      <c r="AQ85" s="100">
        <v>0.20399999999999999</v>
      </c>
      <c r="AR85" s="92">
        <v>0.21199999999999999</v>
      </c>
      <c r="AS85" s="93">
        <v>0.20100000000000001</v>
      </c>
      <c r="AT85" s="93">
        <v>0.20399999999999999</v>
      </c>
      <c r="AU85" s="36">
        <v>0.19700000000000001</v>
      </c>
      <c r="AV85" s="37">
        <v>0.188</v>
      </c>
      <c r="AW85" s="92">
        <v>0.2</v>
      </c>
      <c r="AX85" s="93">
        <v>0.19</v>
      </c>
      <c r="AY85" s="93">
        <v>0.21199999999999999</v>
      </c>
      <c r="AZ85" s="36">
        <v>0.20300000000000001</v>
      </c>
      <c r="BA85" s="100">
        <v>0.20300000000000001</v>
      </c>
      <c r="BB85" s="92">
        <v>0.20300000000000001</v>
      </c>
      <c r="BC85" s="36">
        <v>0.19700000000000001</v>
      </c>
      <c r="BD85" s="93">
        <v>0.19600000000000001</v>
      </c>
      <c r="BE85" s="93">
        <v>0.21</v>
      </c>
      <c r="BF85" s="37">
        <v>0.17499999999999999</v>
      </c>
      <c r="BG85" s="92">
        <v>0.20200000000000001</v>
      </c>
      <c r="BH85" s="36">
        <v>0.19400000000000001</v>
      </c>
      <c r="BI85" s="36">
        <v>0.188</v>
      </c>
      <c r="BJ85" s="49">
        <v>0.23499999999999999</v>
      </c>
      <c r="BK85" s="37">
        <v>0.186</v>
      </c>
      <c r="BL85" s="43">
        <v>0.187</v>
      </c>
      <c r="BM85" s="37">
        <v>0.216</v>
      </c>
      <c r="BN85" s="166">
        <f t="shared" ref="BN85:BN87" si="54">IFERROR(AVERAGE(D85:BM87),0)</f>
        <v>0.20079569892473118</v>
      </c>
      <c r="BO85" s="166">
        <f t="shared" ref="BO85:BO87" si="55">MIN(D85:BM87)</f>
        <v>0.153</v>
      </c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65">
        <v>8.3000000000000004E-2</v>
      </c>
      <c r="B86" s="7" t="s">
        <v>41</v>
      </c>
      <c r="C86" s="11" t="s">
        <v>8</v>
      </c>
      <c r="D86" s="54">
        <v>0.22800000000000001</v>
      </c>
      <c r="E86" s="95">
        <v>0.20799999999999999</v>
      </c>
      <c r="F86" s="22">
        <v>0.191</v>
      </c>
      <c r="G86" s="95">
        <v>0.21299999999999999</v>
      </c>
      <c r="H86" s="42">
        <v>0.185</v>
      </c>
      <c r="I86" s="45">
        <v>0.19600000000000001</v>
      </c>
      <c r="J86" s="22">
        <v>0.21299999999999999</v>
      </c>
      <c r="K86" s="95">
        <v>0.21099999999999999</v>
      </c>
      <c r="L86" s="22">
        <v>0.20499999999999999</v>
      </c>
      <c r="M86" s="96">
        <v>0.20699999999999999</v>
      </c>
      <c r="N86" s="45">
        <v>0.19</v>
      </c>
      <c r="O86" s="22">
        <v>0.189</v>
      </c>
      <c r="P86" s="22">
        <v>0.20799999999999999</v>
      </c>
      <c r="Q86" s="22">
        <v>0.19900000000000001</v>
      </c>
      <c r="R86" s="42">
        <v>0.19800000000000001</v>
      </c>
      <c r="S86" s="45">
        <v>0.19600000000000001</v>
      </c>
      <c r="T86" s="22">
        <v>0.20599999999999999</v>
      </c>
      <c r="U86" s="22">
        <v>0.20599999999999999</v>
      </c>
      <c r="V86" s="22">
        <v>0.20200000000000001</v>
      </c>
      <c r="W86" s="42">
        <v>0.192</v>
      </c>
      <c r="X86" s="45">
        <v>0.20399999999999999</v>
      </c>
      <c r="Y86" s="22">
        <v>0.20599999999999999</v>
      </c>
      <c r="Z86" s="95">
        <v>0.20899999999999999</v>
      </c>
      <c r="AA86" s="22">
        <v>0.20599999999999999</v>
      </c>
      <c r="AB86" s="42">
        <v>0.20499999999999999</v>
      </c>
      <c r="AC86" s="45">
        <v>0.20699999999999999</v>
      </c>
      <c r="AD86" s="22">
        <v>0.193</v>
      </c>
      <c r="AE86" s="22">
        <v>0.20300000000000001</v>
      </c>
      <c r="AF86" s="95">
        <v>0.221</v>
      </c>
      <c r="AG86" s="42">
        <v>0.214</v>
      </c>
      <c r="AH86" s="45">
        <v>0.20399999999999999</v>
      </c>
      <c r="AI86" s="95">
        <v>0.20799999999999999</v>
      </c>
      <c r="AJ86" s="95">
        <v>0.22600000000000001</v>
      </c>
      <c r="AK86" s="22">
        <v>0.21299999999999999</v>
      </c>
      <c r="AL86" s="42">
        <v>0.20799999999999999</v>
      </c>
      <c r="AM86" s="94">
        <v>0.22</v>
      </c>
      <c r="AN86" s="22">
        <v>0.20399999999999999</v>
      </c>
      <c r="AO86" s="22">
        <v>0.193</v>
      </c>
      <c r="AP86" s="95">
        <v>0.20300000000000001</v>
      </c>
      <c r="AQ86" s="42">
        <v>0.19400000000000001</v>
      </c>
      <c r="AR86" s="94">
        <v>0.22</v>
      </c>
      <c r="AS86" s="22">
        <v>0.188</v>
      </c>
      <c r="AT86" s="22">
        <v>0.192</v>
      </c>
      <c r="AU86" s="22">
        <v>0.182</v>
      </c>
      <c r="AV86" s="96">
        <v>0.189</v>
      </c>
      <c r="AW86" s="45">
        <v>0.17499999999999999</v>
      </c>
      <c r="AX86" s="95">
        <v>0.19</v>
      </c>
      <c r="AY86" s="95">
        <v>0.20300000000000001</v>
      </c>
      <c r="AZ86" s="95">
        <v>0.19400000000000001</v>
      </c>
      <c r="BA86" s="96">
        <v>0.19600000000000001</v>
      </c>
      <c r="BB86" s="94">
        <v>0.184</v>
      </c>
      <c r="BC86" s="22">
        <v>0.19400000000000001</v>
      </c>
      <c r="BD86" s="22">
        <v>0.192</v>
      </c>
      <c r="BE86" s="22">
        <v>0.17399999999999999</v>
      </c>
      <c r="BF86" s="42">
        <v>0.17499999999999999</v>
      </c>
      <c r="BG86" s="94">
        <v>0.19800000000000001</v>
      </c>
      <c r="BH86" s="22">
        <v>0.191</v>
      </c>
      <c r="BI86" s="22">
        <v>0.183</v>
      </c>
      <c r="BJ86" s="31">
        <v>0.23899999999999999</v>
      </c>
      <c r="BK86" s="96">
        <v>0.20699999999999999</v>
      </c>
      <c r="BL86" s="94">
        <v>0.217</v>
      </c>
      <c r="BM86" s="42">
        <v>0.217</v>
      </c>
      <c r="BN86" s="167">
        <f t="shared" si="54"/>
        <v>0.23803243243243252</v>
      </c>
      <c r="BO86" s="167">
        <f t="shared" si="55"/>
        <v>0.153</v>
      </c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65"/>
      <c r="B87" s="8"/>
      <c r="C87" s="12" t="s">
        <v>14</v>
      </c>
      <c r="D87" s="51">
        <v>0.23100000000000001</v>
      </c>
      <c r="E87" s="39">
        <v>0.2</v>
      </c>
      <c r="F87" s="39">
        <v>0.216</v>
      </c>
      <c r="G87" s="39">
        <v>0.19500000000000001</v>
      </c>
      <c r="H87" s="40">
        <v>0.19600000000000001</v>
      </c>
      <c r="I87" s="97">
        <v>0.20100000000000001</v>
      </c>
      <c r="J87" s="98">
        <v>0.20200000000000001</v>
      </c>
      <c r="K87" s="98">
        <v>0.20899999999999999</v>
      </c>
      <c r="L87" s="98">
        <v>0.21199999999999999</v>
      </c>
      <c r="M87" s="99">
        <v>0.21299999999999999</v>
      </c>
      <c r="N87" s="97">
        <v>0.20499999999999999</v>
      </c>
      <c r="O87" s="39">
        <v>0.19800000000000001</v>
      </c>
      <c r="P87" s="98">
        <v>0.20899999999999999</v>
      </c>
      <c r="Q87" s="98">
        <v>0.21</v>
      </c>
      <c r="R87" s="40">
        <v>0.20799999999999999</v>
      </c>
      <c r="S87" s="97">
        <v>0.20200000000000001</v>
      </c>
      <c r="T87" s="39">
        <v>0.19600000000000001</v>
      </c>
      <c r="U87" s="39">
        <v>0.20200000000000001</v>
      </c>
      <c r="V87" s="39">
        <v>0.192</v>
      </c>
      <c r="W87" s="40">
        <v>0.20399999999999999</v>
      </c>
      <c r="X87" s="44">
        <v>0.20100000000000001</v>
      </c>
      <c r="Y87" s="39">
        <v>0.20100000000000001</v>
      </c>
      <c r="Z87" s="98">
        <v>0.22</v>
      </c>
      <c r="AA87" s="39">
        <v>0.189</v>
      </c>
      <c r="AB87" s="99">
        <v>0.21199999999999999</v>
      </c>
      <c r="AC87" s="44">
        <v>0.19500000000000001</v>
      </c>
      <c r="AD87" s="39">
        <v>0.19400000000000001</v>
      </c>
      <c r="AE87" s="39">
        <v>0.20599999999999999</v>
      </c>
      <c r="AF87" s="98">
        <v>0.216</v>
      </c>
      <c r="AG87" s="40">
        <v>0.214</v>
      </c>
      <c r="AH87" s="44">
        <v>0.20599999999999999</v>
      </c>
      <c r="AI87" s="98">
        <v>0.216</v>
      </c>
      <c r="AJ87" s="39">
        <v>0.191</v>
      </c>
      <c r="AK87" s="98">
        <v>0.23200000000000001</v>
      </c>
      <c r="AL87" s="40">
        <v>0.19600000000000001</v>
      </c>
      <c r="AM87" s="97">
        <v>0.214</v>
      </c>
      <c r="AN87" s="98">
        <v>0.222</v>
      </c>
      <c r="AO87" s="98">
        <v>0.20100000000000001</v>
      </c>
      <c r="AP87" s="39">
        <v>0.182</v>
      </c>
      <c r="AQ87" s="99">
        <v>0.19800000000000001</v>
      </c>
      <c r="AR87" s="97">
        <v>0.19900000000000001</v>
      </c>
      <c r="AS87" s="98">
        <v>0.17599999999999999</v>
      </c>
      <c r="AT87" s="39">
        <v>0.187</v>
      </c>
      <c r="AU87" s="98">
        <v>0.19400000000000001</v>
      </c>
      <c r="AV87" s="99">
        <v>0.193</v>
      </c>
      <c r="AW87" s="44">
        <v>0.17299999999999999</v>
      </c>
      <c r="AX87" s="98">
        <v>0.191</v>
      </c>
      <c r="AY87" s="39">
        <v>0.16700000000000001</v>
      </c>
      <c r="AZ87" s="39">
        <v>0.16</v>
      </c>
      <c r="BA87" s="40">
        <v>0.16900000000000001</v>
      </c>
      <c r="BB87" s="97">
        <v>0.184</v>
      </c>
      <c r="BC87" s="39">
        <v>0.16800000000000001</v>
      </c>
      <c r="BD87" s="39">
        <v>0.17399999999999999</v>
      </c>
      <c r="BE87" s="39">
        <v>0.153</v>
      </c>
      <c r="BF87" s="40">
        <v>0.157</v>
      </c>
      <c r="BG87" s="97">
        <v>0.191</v>
      </c>
      <c r="BH87" s="39">
        <v>0.185</v>
      </c>
      <c r="BI87" s="39">
        <v>0.17100000000000001</v>
      </c>
      <c r="BJ87" s="52">
        <v>0.24</v>
      </c>
      <c r="BK87" s="40">
        <v>0.182</v>
      </c>
      <c r="BL87" s="97">
        <v>0.216</v>
      </c>
      <c r="BM87" s="99">
        <v>0.221</v>
      </c>
      <c r="BN87" s="168">
        <f t="shared" si="54"/>
        <v>0.27415217391304353</v>
      </c>
      <c r="BO87" s="168">
        <f t="shared" si="55"/>
        <v>0.153</v>
      </c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19</v>
      </c>
      <c r="B88" s="6"/>
      <c r="C88" s="11" t="s">
        <v>10</v>
      </c>
      <c r="D88" s="48">
        <v>0.32900000000000001</v>
      </c>
      <c r="E88" s="36">
        <v>0.185</v>
      </c>
      <c r="F88" s="49">
        <v>0.32500000000000001</v>
      </c>
      <c r="G88" s="49">
        <v>0.33200000000000002</v>
      </c>
      <c r="H88" s="50">
        <v>0.314</v>
      </c>
      <c r="I88" s="56">
        <v>0.32300000000000001</v>
      </c>
      <c r="J88" s="49">
        <v>0.32</v>
      </c>
      <c r="K88" s="49">
        <v>0.32900000000000001</v>
      </c>
      <c r="L88" s="49">
        <v>0.317</v>
      </c>
      <c r="M88" s="50">
        <v>0.307</v>
      </c>
      <c r="N88" s="56">
        <v>0.31</v>
      </c>
      <c r="O88" s="49">
        <v>0.318</v>
      </c>
      <c r="P88" s="49">
        <v>0.31</v>
      </c>
      <c r="Q88" s="49">
        <v>0.315</v>
      </c>
      <c r="R88" s="50">
        <v>0.33100000000000002</v>
      </c>
      <c r="S88" s="56">
        <v>0.32800000000000001</v>
      </c>
      <c r="T88" s="49">
        <v>0.32200000000000001</v>
      </c>
      <c r="U88" s="49">
        <v>0.307</v>
      </c>
      <c r="V88" s="49">
        <v>0.32100000000000001</v>
      </c>
      <c r="W88" s="50">
        <v>0.313</v>
      </c>
      <c r="X88" s="56">
        <v>0.315</v>
      </c>
      <c r="Y88" s="49">
        <v>0.33400000000000002</v>
      </c>
      <c r="Z88" s="49">
        <v>0.32300000000000001</v>
      </c>
      <c r="AA88" s="49">
        <v>0.32700000000000001</v>
      </c>
      <c r="AB88" s="50">
        <v>0.33200000000000002</v>
      </c>
      <c r="AC88" s="56">
        <v>0.31900000000000001</v>
      </c>
      <c r="AD88" s="49">
        <v>0.32200000000000001</v>
      </c>
      <c r="AE88" s="49">
        <v>0.32500000000000001</v>
      </c>
      <c r="AF88" s="49">
        <v>0.32700000000000001</v>
      </c>
      <c r="AG88" s="50">
        <v>0.32</v>
      </c>
      <c r="AH88" s="56">
        <v>0.32400000000000001</v>
      </c>
      <c r="AI88" s="49">
        <v>0.316</v>
      </c>
      <c r="AJ88" s="49">
        <v>0.317</v>
      </c>
      <c r="AK88" s="49">
        <v>0.32300000000000001</v>
      </c>
      <c r="AL88" s="50">
        <v>0.32300000000000001</v>
      </c>
      <c r="AM88" s="56">
        <v>0.313</v>
      </c>
      <c r="AN88" s="49">
        <v>0.316</v>
      </c>
      <c r="AO88" s="49">
        <v>0.32600000000000001</v>
      </c>
      <c r="AP88" s="49">
        <v>0.32300000000000001</v>
      </c>
      <c r="AQ88" s="50">
        <v>0.314</v>
      </c>
      <c r="AR88" s="56">
        <v>0.316</v>
      </c>
      <c r="AS88" s="49">
        <v>0.316</v>
      </c>
      <c r="AT88" s="49">
        <v>0.314</v>
      </c>
      <c r="AU88" s="49">
        <v>0.314</v>
      </c>
      <c r="AV88" s="50">
        <v>0.31900000000000001</v>
      </c>
      <c r="AW88" s="56">
        <v>0.30599999999999999</v>
      </c>
      <c r="AX88" s="49">
        <v>0.30599999999999999</v>
      </c>
      <c r="AY88" s="49">
        <v>0.313</v>
      </c>
      <c r="AZ88" s="49">
        <v>0.307</v>
      </c>
      <c r="BA88" s="50">
        <v>0.30399999999999999</v>
      </c>
      <c r="BB88" s="56">
        <v>0.307</v>
      </c>
      <c r="BC88" s="49">
        <v>0.29899999999999999</v>
      </c>
      <c r="BD88" s="49">
        <v>0.30599999999999999</v>
      </c>
      <c r="BE88" s="49">
        <v>0.32100000000000001</v>
      </c>
      <c r="BF88" s="50">
        <v>0.32100000000000001</v>
      </c>
      <c r="BG88" s="56">
        <v>0.32100000000000001</v>
      </c>
      <c r="BH88" s="93">
        <v>0.32300000000000001</v>
      </c>
      <c r="BI88" s="49">
        <v>0.317</v>
      </c>
      <c r="BJ88" s="49">
        <v>0.32</v>
      </c>
      <c r="BK88" s="50">
        <v>0.32600000000000001</v>
      </c>
      <c r="BL88" s="56">
        <v>0.32300000000000001</v>
      </c>
      <c r="BM88" s="100" t="s">
        <v>20</v>
      </c>
      <c r="BN88" s="166">
        <f t="shared" ref="BN88:BN90" si="56">IFERROR(AVERAGE(D88:BM90),0)</f>
        <v>0.31028729281767942</v>
      </c>
      <c r="BO88" s="166">
        <f t="shared" ref="BO88:BO90" si="57">MIN(D88:BM90)</f>
        <v>1E-3</v>
      </c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65">
        <v>8.3000000000000004E-2</v>
      </c>
      <c r="B89" s="7" t="s">
        <v>42</v>
      </c>
      <c r="C89" s="11" t="s">
        <v>8</v>
      </c>
      <c r="D89" s="54">
        <v>0.32900000000000001</v>
      </c>
      <c r="E89" s="31">
        <v>0.31900000000000001</v>
      </c>
      <c r="F89" s="31">
        <v>0.314</v>
      </c>
      <c r="G89" s="31">
        <v>0.32100000000000001</v>
      </c>
      <c r="H89" s="55">
        <v>0.316</v>
      </c>
      <c r="I89" s="58">
        <v>0.32400000000000001</v>
      </c>
      <c r="J89" s="31">
        <v>0.33300000000000002</v>
      </c>
      <c r="K89" s="31">
        <v>0.31900000000000001</v>
      </c>
      <c r="L89" s="31">
        <v>0.316</v>
      </c>
      <c r="M89" s="55">
        <v>0.30199999999999999</v>
      </c>
      <c r="N89" s="58">
        <v>0.30299999999999999</v>
      </c>
      <c r="O89" s="31">
        <v>0.307</v>
      </c>
      <c r="P89" s="31">
        <v>0.317</v>
      </c>
      <c r="Q89" s="31">
        <v>0.32100000000000001</v>
      </c>
      <c r="R89" s="55">
        <v>0.32500000000000001</v>
      </c>
      <c r="S89" s="58">
        <v>0.317</v>
      </c>
      <c r="T89" s="31">
        <v>0.33</v>
      </c>
      <c r="U89" s="31">
        <v>0.31</v>
      </c>
      <c r="V89" s="31">
        <v>0.318</v>
      </c>
      <c r="W89" s="55">
        <v>0.316</v>
      </c>
      <c r="X89" s="58">
        <v>0.309</v>
      </c>
      <c r="Y89" s="31">
        <v>0.32200000000000001</v>
      </c>
      <c r="Z89" s="31">
        <v>0.31900000000000001</v>
      </c>
      <c r="AA89" s="31">
        <v>0.33100000000000002</v>
      </c>
      <c r="AB89" s="55">
        <v>0.32500000000000001</v>
      </c>
      <c r="AC89" s="58">
        <v>0.32100000000000001</v>
      </c>
      <c r="AD89" s="31">
        <v>0.32500000000000001</v>
      </c>
      <c r="AE89" s="95" t="s">
        <v>20</v>
      </c>
      <c r="AF89" s="31">
        <v>0.311</v>
      </c>
      <c r="AG89" s="55">
        <v>0.32900000000000001</v>
      </c>
      <c r="AH89" s="58">
        <v>0.32300000000000001</v>
      </c>
      <c r="AI89" s="31">
        <v>0.317</v>
      </c>
      <c r="AJ89" s="31">
        <v>0.307</v>
      </c>
      <c r="AK89" s="31">
        <v>0.309</v>
      </c>
      <c r="AL89" s="55">
        <v>0.311</v>
      </c>
      <c r="AM89" s="58">
        <v>0.29899999999999999</v>
      </c>
      <c r="AN89" s="31">
        <v>0.29599999999999999</v>
      </c>
      <c r="AO89" s="31">
        <v>0.309</v>
      </c>
      <c r="AP89" s="31">
        <v>0.313</v>
      </c>
      <c r="AQ89" s="55">
        <v>0.307</v>
      </c>
      <c r="AR89" s="58">
        <v>0.309</v>
      </c>
      <c r="AS89" s="31">
        <v>0.30499999999999999</v>
      </c>
      <c r="AT89" s="31">
        <v>0.30599999999999999</v>
      </c>
      <c r="AU89" s="31">
        <v>0.30399999999999999</v>
      </c>
      <c r="AV89" s="55">
        <v>0.30599999999999999</v>
      </c>
      <c r="AW89" s="58">
        <v>0.29199999999999998</v>
      </c>
      <c r="AX89" s="31">
        <v>0.308</v>
      </c>
      <c r="AY89" s="31">
        <v>0.29599999999999999</v>
      </c>
      <c r="AZ89" s="31">
        <v>0.29399999999999998</v>
      </c>
      <c r="BA89" s="55">
        <v>0.30499999999999999</v>
      </c>
      <c r="BB89" s="58">
        <v>0.30299999999999999</v>
      </c>
      <c r="BC89" s="31">
        <v>0.29299999999999998</v>
      </c>
      <c r="BD89" s="31">
        <v>0.30399999999999999</v>
      </c>
      <c r="BE89" s="31">
        <v>0.30399999999999999</v>
      </c>
      <c r="BF89" s="55">
        <v>0.32</v>
      </c>
      <c r="BG89" s="58">
        <v>0.32100000000000001</v>
      </c>
      <c r="BH89" s="22">
        <v>0.187</v>
      </c>
      <c r="BI89" s="22">
        <v>0.19900000000000001</v>
      </c>
      <c r="BJ89" s="31">
        <v>0.32600000000000001</v>
      </c>
      <c r="BK89" s="55">
        <v>0.33300000000000002</v>
      </c>
      <c r="BL89" s="58">
        <v>0.316</v>
      </c>
      <c r="BM89" s="55">
        <v>0.32100000000000001</v>
      </c>
      <c r="BN89" s="167">
        <f t="shared" si="56"/>
        <v>0.31011173184357527</v>
      </c>
      <c r="BO89" s="167">
        <f t="shared" si="57"/>
        <v>1E-3</v>
      </c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65"/>
      <c r="B90" s="8"/>
      <c r="C90" s="12" t="s">
        <v>14</v>
      </c>
      <c r="D90" s="38">
        <v>1E-3</v>
      </c>
      <c r="E90" s="52">
        <v>0.31900000000000001</v>
      </c>
      <c r="F90" s="52">
        <v>0.32500000000000001</v>
      </c>
      <c r="G90" s="52">
        <v>0.32300000000000001</v>
      </c>
      <c r="H90" s="53">
        <v>0.32700000000000001</v>
      </c>
      <c r="I90" s="57">
        <v>0.32300000000000001</v>
      </c>
      <c r="J90" s="52">
        <v>0.32800000000000001</v>
      </c>
      <c r="K90" s="52">
        <v>0.32400000000000001</v>
      </c>
      <c r="L90" s="52">
        <v>0.32100000000000001</v>
      </c>
      <c r="M90" s="53">
        <v>0.31</v>
      </c>
      <c r="N90" s="44">
        <v>0.20100000000000001</v>
      </c>
      <c r="O90" s="52">
        <v>0.311</v>
      </c>
      <c r="P90" s="52">
        <v>0.32700000000000001</v>
      </c>
      <c r="Q90" s="52">
        <v>0.32400000000000001</v>
      </c>
      <c r="R90" s="53">
        <v>0.33200000000000002</v>
      </c>
      <c r="S90" s="57">
        <v>0.32600000000000001</v>
      </c>
      <c r="T90" s="52">
        <v>0.33700000000000002</v>
      </c>
      <c r="U90" s="52">
        <v>0.318</v>
      </c>
      <c r="V90" s="52">
        <v>0.34200000000000003</v>
      </c>
      <c r="W90" s="53">
        <v>0.317</v>
      </c>
      <c r="X90" s="57">
        <v>0.309</v>
      </c>
      <c r="Y90" s="52">
        <v>0.309</v>
      </c>
      <c r="Z90" s="52">
        <v>0.32</v>
      </c>
      <c r="AA90" s="52">
        <v>0.33300000000000002</v>
      </c>
      <c r="AB90" s="53">
        <v>0.314</v>
      </c>
      <c r="AC90" s="57">
        <v>0.316</v>
      </c>
      <c r="AD90" s="52">
        <v>0.311</v>
      </c>
      <c r="AE90" s="52">
        <v>0.32600000000000001</v>
      </c>
      <c r="AF90" s="52">
        <v>0.32500000000000001</v>
      </c>
      <c r="AG90" s="53">
        <v>0.32700000000000001</v>
      </c>
      <c r="AH90" s="57">
        <v>0.314</v>
      </c>
      <c r="AI90" s="52">
        <v>0.311</v>
      </c>
      <c r="AJ90" s="52">
        <v>0.30599999999999999</v>
      </c>
      <c r="AK90" s="52">
        <v>0.30599999999999999</v>
      </c>
      <c r="AL90" s="53">
        <v>0.316</v>
      </c>
      <c r="AM90" s="57">
        <v>0.31</v>
      </c>
      <c r="AN90" s="52">
        <v>0.3</v>
      </c>
      <c r="AO90" s="52">
        <v>0.30599999999999999</v>
      </c>
      <c r="AP90" s="52">
        <v>0.31900000000000001</v>
      </c>
      <c r="AQ90" s="53">
        <v>0.28399999999999997</v>
      </c>
      <c r="AR90" s="57">
        <v>0.308</v>
      </c>
      <c r="AS90" s="52">
        <v>0.308</v>
      </c>
      <c r="AT90" s="52">
        <v>0.314</v>
      </c>
      <c r="AU90" s="52">
        <v>0.30599999999999999</v>
      </c>
      <c r="AV90" s="53">
        <v>0.314</v>
      </c>
      <c r="AW90" s="57">
        <v>0.30499999999999999</v>
      </c>
      <c r="AX90" s="52">
        <v>0.314</v>
      </c>
      <c r="AY90" s="52">
        <v>0.3</v>
      </c>
      <c r="AZ90" s="52">
        <v>0.308</v>
      </c>
      <c r="BA90" s="53">
        <v>0.31</v>
      </c>
      <c r="BB90" s="57">
        <v>0.311</v>
      </c>
      <c r="BC90" s="52">
        <v>0.29699999999999999</v>
      </c>
      <c r="BD90" s="52">
        <v>0.32100000000000001</v>
      </c>
      <c r="BE90" s="52">
        <v>0.32300000000000001</v>
      </c>
      <c r="BF90" s="99" t="s">
        <v>20</v>
      </c>
      <c r="BG90" s="44">
        <v>0.16900000000000001</v>
      </c>
      <c r="BH90" s="98" t="s">
        <v>20</v>
      </c>
      <c r="BI90" s="52">
        <v>0.32900000000000001</v>
      </c>
      <c r="BJ90" s="52" t="s">
        <v>20</v>
      </c>
      <c r="BK90" s="40">
        <v>0.191</v>
      </c>
      <c r="BL90" s="57">
        <v>0.32</v>
      </c>
      <c r="BM90" s="53">
        <v>0.33</v>
      </c>
      <c r="BN90" s="168">
        <f t="shared" si="56"/>
        <v>0.31117816091954015</v>
      </c>
      <c r="BO90" s="168">
        <f t="shared" si="57"/>
        <v>1E-3</v>
      </c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43</v>
      </c>
      <c r="B91" s="6"/>
      <c r="C91" s="11" t="s">
        <v>10</v>
      </c>
      <c r="D91" s="103">
        <v>0.34100000000000003</v>
      </c>
      <c r="E91" s="49" t="s">
        <v>20</v>
      </c>
      <c r="F91" s="36">
        <v>0.32100000000000001</v>
      </c>
      <c r="G91" s="49">
        <v>0.33</v>
      </c>
      <c r="H91" s="37">
        <v>0.307</v>
      </c>
      <c r="I91" s="43">
        <v>0.33</v>
      </c>
      <c r="J91" s="49">
        <v>0.32</v>
      </c>
      <c r="K91" s="36">
        <v>0.32700000000000001</v>
      </c>
      <c r="L91" s="93">
        <v>0.33100000000000002</v>
      </c>
      <c r="M91" s="37">
        <v>0.29599999999999999</v>
      </c>
      <c r="N91" s="92">
        <v>0.316</v>
      </c>
      <c r="O91" s="93">
        <v>0.317</v>
      </c>
      <c r="P91" s="36">
        <v>0.30499999999999999</v>
      </c>
      <c r="Q91" s="36">
        <v>0.317</v>
      </c>
      <c r="R91" s="37">
        <v>0.312</v>
      </c>
      <c r="S91" s="43">
        <v>0.31900000000000001</v>
      </c>
      <c r="T91" s="93">
        <v>0.32700000000000001</v>
      </c>
      <c r="U91" s="36">
        <v>0.312</v>
      </c>
      <c r="V91" s="93">
        <v>0.313</v>
      </c>
      <c r="W91" s="37">
        <v>0.3</v>
      </c>
      <c r="X91" s="43">
        <v>0.29599999999999999</v>
      </c>
      <c r="Y91" s="36">
        <v>0.32800000000000001</v>
      </c>
      <c r="Z91" s="36">
        <v>0.30399999999999999</v>
      </c>
      <c r="AA91" s="93">
        <v>0.32400000000000001</v>
      </c>
      <c r="AB91" s="37">
        <v>0.32</v>
      </c>
      <c r="AC91" s="56">
        <v>0.32</v>
      </c>
      <c r="AD91" s="36">
        <v>0.308</v>
      </c>
      <c r="AE91" s="36">
        <v>0.315</v>
      </c>
      <c r="AF91" s="36">
        <v>0.32400000000000001</v>
      </c>
      <c r="AG91" s="37">
        <v>0.317</v>
      </c>
      <c r="AH91" s="43">
        <v>0.32400000000000001</v>
      </c>
      <c r="AI91" s="93">
        <v>0.318</v>
      </c>
      <c r="AJ91" s="36">
        <v>0.308</v>
      </c>
      <c r="AK91" s="36">
        <v>0.31</v>
      </c>
      <c r="AL91" s="37">
        <v>0.31900000000000001</v>
      </c>
      <c r="AM91" s="43">
        <v>0.311</v>
      </c>
      <c r="AN91" s="49">
        <v>0.30599999999999999</v>
      </c>
      <c r="AO91" s="36">
        <v>0.317</v>
      </c>
      <c r="AP91" s="36">
        <v>0.32</v>
      </c>
      <c r="AQ91" s="100">
        <v>0.317</v>
      </c>
      <c r="AR91" s="43">
        <v>0.318</v>
      </c>
      <c r="AS91" s="49">
        <v>0.315</v>
      </c>
      <c r="AT91" s="93">
        <v>0.311</v>
      </c>
      <c r="AU91" s="93">
        <v>0.315</v>
      </c>
      <c r="AV91" s="100">
        <v>0.32</v>
      </c>
      <c r="AW91" s="92">
        <v>0.316</v>
      </c>
      <c r="AX91" s="49">
        <v>0.312</v>
      </c>
      <c r="AY91" s="36">
        <v>0.309</v>
      </c>
      <c r="AZ91" s="36">
        <v>0.315</v>
      </c>
      <c r="BA91" s="50">
        <v>0.309</v>
      </c>
      <c r="BB91" s="43">
        <v>0.312</v>
      </c>
      <c r="BC91" s="36">
        <v>0.29699999999999999</v>
      </c>
      <c r="BD91" s="36">
        <v>0.316</v>
      </c>
      <c r="BE91" s="49">
        <v>0.27900000000000003</v>
      </c>
      <c r="BF91" s="37">
        <v>0.315</v>
      </c>
      <c r="BG91" s="56">
        <v>0.32100000000000001</v>
      </c>
      <c r="BH91" s="49">
        <v>0.33500000000000002</v>
      </c>
      <c r="BI91" s="93">
        <v>0.32800000000000001</v>
      </c>
      <c r="BJ91" s="93" t="s">
        <v>20</v>
      </c>
      <c r="BK91" s="37">
        <v>0.31900000000000001</v>
      </c>
      <c r="BL91" s="56">
        <v>0.33300000000000002</v>
      </c>
      <c r="BM91" s="50" t="s">
        <v>20</v>
      </c>
      <c r="BN91" s="166">
        <f t="shared" ref="BN91:BN93" si="58">IFERROR(AVERAGE(D91:BM93),0)</f>
        <v>0.31350867052023129</v>
      </c>
      <c r="BO91" s="166">
        <f t="shared" ref="BO91:BO93" si="59">MIN(D91:BM93)</f>
        <v>0.13400000000000001</v>
      </c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65">
        <v>8.3000000000000004E-2</v>
      </c>
      <c r="B92" s="7" t="s">
        <v>44</v>
      </c>
      <c r="C92" s="11" t="s">
        <v>8</v>
      </c>
      <c r="D92" s="101" t="s">
        <v>20</v>
      </c>
      <c r="E92" s="95" t="s">
        <v>20</v>
      </c>
      <c r="F92" s="22">
        <v>0.315</v>
      </c>
      <c r="G92" s="31" t="s">
        <v>20</v>
      </c>
      <c r="H92" s="55" t="s">
        <v>20</v>
      </c>
      <c r="I92" s="58">
        <v>0.33500000000000002</v>
      </c>
      <c r="J92" s="31" t="s">
        <v>20</v>
      </c>
      <c r="K92" s="22">
        <v>0.312</v>
      </c>
      <c r="L92" s="22">
        <v>0.29599999999999999</v>
      </c>
      <c r="M92" s="42">
        <v>0.30299999999999999</v>
      </c>
      <c r="N92" s="94">
        <v>0.308</v>
      </c>
      <c r="O92" s="31">
        <v>0.32400000000000001</v>
      </c>
      <c r="P92" s="95" t="s">
        <v>20</v>
      </c>
      <c r="Q92" s="22">
        <v>0.32100000000000001</v>
      </c>
      <c r="R92" s="42">
        <v>0.32100000000000001</v>
      </c>
      <c r="S92" s="45">
        <v>0.318</v>
      </c>
      <c r="T92" s="31">
        <v>0.33500000000000002</v>
      </c>
      <c r="U92" s="22">
        <v>0.29499999999999998</v>
      </c>
      <c r="V92" s="95">
        <v>0.316</v>
      </c>
      <c r="W92" s="96">
        <v>0.313</v>
      </c>
      <c r="X92" s="45">
        <v>0.313</v>
      </c>
      <c r="Y92" s="31">
        <v>0.33400000000000002</v>
      </c>
      <c r="Z92" s="22">
        <v>0.29299999999999998</v>
      </c>
      <c r="AA92" s="31">
        <v>0.30599999999999999</v>
      </c>
      <c r="AB92" s="42">
        <v>0.311</v>
      </c>
      <c r="AC92" s="45">
        <v>0.307</v>
      </c>
      <c r="AD92" s="95">
        <v>0.31900000000000001</v>
      </c>
      <c r="AE92" s="22">
        <v>0.30299999999999999</v>
      </c>
      <c r="AF92" s="22">
        <v>0.31</v>
      </c>
      <c r="AG92" s="96">
        <v>0.315</v>
      </c>
      <c r="AH92" s="45">
        <v>0.32100000000000001</v>
      </c>
      <c r="AI92" s="22">
        <v>0.317</v>
      </c>
      <c r="AJ92" s="22">
        <v>0.30399999999999999</v>
      </c>
      <c r="AK92" s="22">
        <v>0.31</v>
      </c>
      <c r="AL92" s="55">
        <v>0.32800000000000001</v>
      </c>
      <c r="AM92" s="94">
        <v>0.31900000000000001</v>
      </c>
      <c r="AN92" s="95">
        <v>0.315</v>
      </c>
      <c r="AO92" s="95">
        <v>0.32200000000000001</v>
      </c>
      <c r="AP92" s="22">
        <v>0.32600000000000001</v>
      </c>
      <c r="AQ92" s="96">
        <v>0.29499999999999998</v>
      </c>
      <c r="AR92" s="45">
        <v>0.30499999999999999</v>
      </c>
      <c r="AS92" s="31">
        <v>0.314</v>
      </c>
      <c r="AT92" s="31">
        <v>0.31</v>
      </c>
      <c r="AU92" s="95">
        <v>0.307</v>
      </c>
      <c r="AV92" s="55">
        <v>0.32100000000000001</v>
      </c>
      <c r="AW92" s="94">
        <v>0.29799999999999999</v>
      </c>
      <c r="AX92" s="22">
        <v>0.29399999999999998</v>
      </c>
      <c r="AY92" s="22">
        <v>0.30599999999999999</v>
      </c>
      <c r="AZ92" s="95">
        <v>0.32400000000000001</v>
      </c>
      <c r="BA92" s="55">
        <v>0.312</v>
      </c>
      <c r="BB92" s="45">
        <v>0.311</v>
      </c>
      <c r="BC92" s="22">
        <v>0.30499999999999999</v>
      </c>
      <c r="BD92" s="22">
        <v>0.30299999999999999</v>
      </c>
      <c r="BE92" s="31">
        <v>0.308</v>
      </c>
      <c r="BF92" s="55">
        <v>0.33</v>
      </c>
      <c r="BG92" s="58">
        <v>0.32400000000000001</v>
      </c>
      <c r="BH92" s="31">
        <v>0.32400000000000001</v>
      </c>
      <c r="BI92" s="22">
        <v>0.32500000000000001</v>
      </c>
      <c r="BJ92" s="31">
        <v>0.30499999999999999</v>
      </c>
      <c r="BK92" s="55">
        <v>0.32400000000000001</v>
      </c>
      <c r="BL92" s="58">
        <v>0.309</v>
      </c>
      <c r="BM92" s="55">
        <v>0.28799999999999998</v>
      </c>
      <c r="BN92" s="167">
        <f t="shared" si="58"/>
        <v>0.31454022988505748</v>
      </c>
      <c r="BO92" s="167">
        <f t="shared" si="59"/>
        <v>0.13400000000000001</v>
      </c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65"/>
      <c r="B93" s="8"/>
      <c r="C93" s="12" t="s">
        <v>14</v>
      </c>
      <c r="D93" s="102" t="s">
        <v>20</v>
      </c>
      <c r="E93" s="98" t="s">
        <v>20</v>
      </c>
      <c r="F93" s="39">
        <v>0.313</v>
      </c>
      <c r="G93" s="52">
        <v>0.13400000000000001</v>
      </c>
      <c r="H93" s="99" t="s">
        <v>20</v>
      </c>
      <c r="I93" s="57">
        <v>0.32400000000000001</v>
      </c>
      <c r="J93" s="39">
        <v>0.317</v>
      </c>
      <c r="K93" s="39">
        <v>0.30099999999999999</v>
      </c>
      <c r="L93" s="39">
        <v>0.30399999999999999</v>
      </c>
      <c r="M93" s="40">
        <v>0.316</v>
      </c>
      <c r="N93" s="44">
        <v>0.31900000000000001</v>
      </c>
      <c r="O93" s="98">
        <v>0.309</v>
      </c>
      <c r="P93" s="98">
        <v>0.32600000000000001</v>
      </c>
      <c r="Q93" s="98">
        <v>0.32900000000000001</v>
      </c>
      <c r="R93" s="40">
        <v>0.32</v>
      </c>
      <c r="S93" s="44">
        <v>0.29799999999999999</v>
      </c>
      <c r="T93" s="98">
        <v>0.33100000000000002</v>
      </c>
      <c r="U93" s="98">
        <v>0.32</v>
      </c>
      <c r="V93" s="39">
        <v>0.317</v>
      </c>
      <c r="W93" s="40">
        <v>0.315</v>
      </c>
      <c r="X93" s="57">
        <v>0.31900000000000001</v>
      </c>
      <c r="Y93" s="52">
        <v>0.32900000000000001</v>
      </c>
      <c r="Z93" s="98">
        <v>0.32100000000000001</v>
      </c>
      <c r="AA93" s="52">
        <v>0.32400000000000001</v>
      </c>
      <c r="AB93" s="53">
        <v>0.32700000000000001</v>
      </c>
      <c r="AC93" s="44">
        <v>0.32100000000000001</v>
      </c>
      <c r="AD93" s="39">
        <v>0.315</v>
      </c>
      <c r="AE93" s="98">
        <v>0.313</v>
      </c>
      <c r="AF93" s="39">
        <v>0.314</v>
      </c>
      <c r="AG93" s="99">
        <v>0.31900000000000001</v>
      </c>
      <c r="AH93" s="97">
        <v>0.32100000000000001</v>
      </c>
      <c r="AI93" s="98">
        <v>0.32300000000000001</v>
      </c>
      <c r="AJ93" s="98">
        <v>0.308</v>
      </c>
      <c r="AK93" s="39">
        <v>0.30499999999999999</v>
      </c>
      <c r="AL93" s="40">
        <v>0.32300000000000001</v>
      </c>
      <c r="AM93" s="57">
        <v>0.32100000000000001</v>
      </c>
      <c r="AN93" s="98">
        <v>0.311</v>
      </c>
      <c r="AO93" s="98">
        <v>0.313</v>
      </c>
      <c r="AP93" s="39">
        <v>0.32300000000000001</v>
      </c>
      <c r="AQ93" s="99">
        <v>0.307</v>
      </c>
      <c r="AR93" s="57">
        <v>0.31</v>
      </c>
      <c r="AS93" s="52">
        <v>0.312</v>
      </c>
      <c r="AT93" s="52">
        <v>0.33100000000000002</v>
      </c>
      <c r="AU93" s="52">
        <v>0.32200000000000001</v>
      </c>
      <c r="AV93" s="53">
        <v>0.32200000000000001</v>
      </c>
      <c r="AW93" s="97">
        <v>0.32300000000000001</v>
      </c>
      <c r="AX93" s="98">
        <v>0.308</v>
      </c>
      <c r="AY93" s="98">
        <v>0.31900000000000001</v>
      </c>
      <c r="AZ93" s="52">
        <v>0.30599999999999999</v>
      </c>
      <c r="BA93" s="53">
        <v>0.28899999999999998</v>
      </c>
      <c r="BB93" s="97">
        <v>0.32500000000000001</v>
      </c>
      <c r="BC93" s="39">
        <v>0.30299999999999999</v>
      </c>
      <c r="BD93" s="39">
        <v>0.318</v>
      </c>
      <c r="BE93" s="52">
        <v>0.308</v>
      </c>
      <c r="BF93" s="40">
        <v>0.31900000000000001</v>
      </c>
      <c r="BG93" s="57">
        <v>0.311</v>
      </c>
      <c r="BH93" s="52">
        <v>0.32300000000000001</v>
      </c>
      <c r="BI93" s="52">
        <v>0.32400000000000001</v>
      </c>
      <c r="BJ93" s="39">
        <v>0.317</v>
      </c>
      <c r="BK93" s="53">
        <v>0.33100000000000002</v>
      </c>
      <c r="BL93" s="57" t="s">
        <v>20</v>
      </c>
      <c r="BM93" s="53">
        <v>0.19700000000000001</v>
      </c>
      <c r="BN93" s="168">
        <f t="shared" si="58"/>
        <v>0.31582485875706245</v>
      </c>
      <c r="BO93" s="168">
        <f t="shared" si="59"/>
        <v>0.13400000000000001</v>
      </c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43</v>
      </c>
      <c r="B94" s="6"/>
      <c r="C94" s="11" t="s">
        <v>10</v>
      </c>
      <c r="D94" s="48">
        <v>0.33100000000000002</v>
      </c>
      <c r="E94" s="93" t="s">
        <v>20</v>
      </c>
      <c r="F94" s="93" t="s">
        <v>20</v>
      </c>
      <c r="G94" s="49">
        <v>0.34499999999999997</v>
      </c>
      <c r="H94" s="37">
        <v>0.28399999999999997</v>
      </c>
      <c r="I94" s="92">
        <v>0.32100000000000001</v>
      </c>
      <c r="J94" s="36">
        <v>0.32700000000000001</v>
      </c>
      <c r="K94" s="93">
        <v>0.32400000000000001</v>
      </c>
      <c r="L94" s="93">
        <v>0.32700000000000001</v>
      </c>
      <c r="M94" s="37">
        <v>0.312</v>
      </c>
      <c r="N94" s="92">
        <v>0.32400000000000001</v>
      </c>
      <c r="O94" s="36">
        <v>0.30299999999999999</v>
      </c>
      <c r="P94" s="36">
        <v>0.28999999999999998</v>
      </c>
      <c r="Q94" s="93">
        <v>0.35599999999999998</v>
      </c>
      <c r="R94" s="37">
        <v>0.315</v>
      </c>
      <c r="S94" s="43">
        <v>0.32700000000000001</v>
      </c>
      <c r="T94" s="36">
        <v>0.32</v>
      </c>
      <c r="U94" s="36">
        <v>0.30199999999999999</v>
      </c>
      <c r="V94" s="93">
        <v>0.34599999999999997</v>
      </c>
      <c r="W94" s="100">
        <v>0.313</v>
      </c>
      <c r="X94" s="92">
        <v>0.34300000000000003</v>
      </c>
      <c r="Y94" s="36">
        <v>0.32400000000000001</v>
      </c>
      <c r="Z94" s="36">
        <v>0.32600000000000001</v>
      </c>
      <c r="AA94" s="36">
        <v>0.314</v>
      </c>
      <c r="AB94" s="100">
        <v>0.34599999999999997</v>
      </c>
      <c r="AC94" s="43">
        <v>0.32400000000000001</v>
      </c>
      <c r="AD94" s="93">
        <v>0.32400000000000001</v>
      </c>
      <c r="AE94" s="93">
        <v>0.32800000000000001</v>
      </c>
      <c r="AF94" s="93">
        <v>0.33</v>
      </c>
      <c r="AG94" s="37">
        <v>0.29299999999999998</v>
      </c>
      <c r="AH94" s="43">
        <v>0.32300000000000001</v>
      </c>
      <c r="AI94" s="36">
        <v>0.32300000000000001</v>
      </c>
      <c r="AJ94" s="36">
        <v>0.30099999999999999</v>
      </c>
      <c r="AK94" s="93">
        <v>0.32400000000000001</v>
      </c>
      <c r="AL94" s="37">
        <v>0.32800000000000001</v>
      </c>
      <c r="AM94" s="92">
        <v>0.311</v>
      </c>
      <c r="AN94" s="36">
        <v>0.30099999999999999</v>
      </c>
      <c r="AO94" s="93">
        <v>0.31900000000000001</v>
      </c>
      <c r="AP94" s="93">
        <v>0.32300000000000001</v>
      </c>
      <c r="AQ94" s="100">
        <v>0.34100000000000003</v>
      </c>
      <c r="AR94" s="43">
        <v>0.32</v>
      </c>
      <c r="AS94" s="93">
        <v>0.32900000000000001</v>
      </c>
      <c r="AT94" s="36">
        <v>0.29099999999999998</v>
      </c>
      <c r="AU94" s="93">
        <v>0.30299999999999999</v>
      </c>
      <c r="AV94" s="100">
        <v>0.317</v>
      </c>
      <c r="AW94" s="92">
        <v>0.31</v>
      </c>
      <c r="AX94" s="36">
        <v>0.29599999999999999</v>
      </c>
      <c r="AY94" s="49">
        <v>0.35</v>
      </c>
      <c r="AZ94" s="36">
        <v>0.31</v>
      </c>
      <c r="BA94" s="37">
        <v>0.307</v>
      </c>
      <c r="BB94" s="92">
        <v>0.32400000000000001</v>
      </c>
      <c r="BC94" s="36">
        <v>0.309</v>
      </c>
      <c r="BD94" s="36">
        <v>0.30299999999999999</v>
      </c>
      <c r="BE94" s="36">
        <v>0.312</v>
      </c>
      <c r="BF94" s="100">
        <v>0.31900000000000001</v>
      </c>
      <c r="BG94" s="92">
        <v>0.31</v>
      </c>
      <c r="BH94" s="49">
        <v>0.31900000000000001</v>
      </c>
      <c r="BI94" s="93">
        <v>0.32200000000000001</v>
      </c>
      <c r="BJ94" s="93">
        <v>0.317</v>
      </c>
      <c r="BK94" s="100">
        <v>0.32</v>
      </c>
      <c r="BL94" s="43">
        <v>0.317</v>
      </c>
      <c r="BM94" s="37">
        <v>0.317</v>
      </c>
      <c r="BN94" s="166">
        <f t="shared" ref="BN94:BN96" si="60">IFERROR(AVERAGE(D94:BM96),0)</f>
        <v>0.31966480446927392</v>
      </c>
      <c r="BO94" s="166">
        <f t="shared" ref="BO94:BO96" si="61">MIN(D94:BM96)</f>
        <v>0.27600000000000002</v>
      </c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65">
        <v>8.3000000000000004E-2</v>
      </c>
      <c r="B95" s="7" t="s">
        <v>45</v>
      </c>
      <c r="C95" s="11" t="s">
        <v>8</v>
      </c>
      <c r="D95" s="41">
        <v>0.33100000000000002</v>
      </c>
      <c r="E95" s="31" t="s">
        <v>20</v>
      </c>
      <c r="F95" s="22">
        <v>0.312</v>
      </c>
      <c r="G95" s="95" t="s">
        <v>20</v>
      </c>
      <c r="H95" s="96">
        <v>0.317</v>
      </c>
      <c r="I95" s="58">
        <v>0.32400000000000001</v>
      </c>
      <c r="J95" s="95">
        <v>0.32600000000000001</v>
      </c>
      <c r="K95" s="31">
        <v>0.32600000000000001</v>
      </c>
      <c r="L95" s="95">
        <v>0.32500000000000001</v>
      </c>
      <c r="M95" s="96">
        <v>0.315</v>
      </c>
      <c r="N95" s="94">
        <v>0.30499999999999999</v>
      </c>
      <c r="O95" s="22">
        <v>0.31900000000000001</v>
      </c>
      <c r="P95" s="95">
        <v>0.32800000000000001</v>
      </c>
      <c r="Q95" s="95" t="s">
        <v>20</v>
      </c>
      <c r="R95" s="96">
        <v>0.34399999999999997</v>
      </c>
      <c r="S95" s="94">
        <v>0.32700000000000001</v>
      </c>
      <c r="T95" s="95">
        <v>0.32600000000000001</v>
      </c>
      <c r="U95" s="22">
        <v>0.313</v>
      </c>
      <c r="V95" s="31">
        <v>0.34499999999999997</v>
      </c>
      <c r="W95" s="96">
        <v>0.317</v>
      </c>
      <c r="X95" s="94">
        <v>0.32300000000000001</v>
      </c>
      <c r="Y95" s="31">
        <v>0.34100000000000003</v>
      </c>
      <c r="Z95" s="95">
        <v>0.32900000000000001</v>
      </c>
      <c r="AA95" s="95">
        <v>0.32600000000000001</v>
      </c>
      <c r="AB95" s="55">
        <v>0.33200000000000002</v>
      </c>
      <c r="AC95" s="45">
        <v>0.30399999999999999</v>
      </c>
      <c r="AD95" s="95">
        <v>0.33200000000000002</v>
      </c>
      <c r="AE95" s="95">
        <v>0.33200000000000002</v>
      </c>
      <c r="AF95" s="95">
        <v>0.33700000000000002</v>
      </c>
      <c r="AG95" s="42">
        <v>0.28999999999999998</v>
      </c>
      <c r="AH95" s="94">
        <v>0.32200000000000001</v>
      </c>
      <c r="AI95" s="22">
        <v>0.30599999999999999</v>
      </c>
      <c r="AJ95" s="95">
        <v>0.33700000000000002</v>
      </c>
      <c r="AK95" s="95">
        <v>0.32800000000000001</v>
      </c>
      <c r="AL95" s="42">
        <v>0.318</v>
      </c>
      <c r="AM95" s="94">
        <v>0.30599999999999999</v>
      </c>
      <c r="AN95" s="22">
        <v>0.29799999999999999</v>
      </c>
      <c r="AO95" s="22">
        <v>0.318</v>
      </c>
      <c r="AP95" s="22">
        <v>0.32</v>
      </c>
      <c r="AQ95" s="96">
        <v>0.30099999999999999</v>
      </c>
      <c r="AR95" s="45">
        <v>0.311</v>
      </c>
      <c r="AS95" s="22">
        <v>0.3</v>
      </c>
      <c r="AT95" s="95">
        <v>0.31900000000000001</v>
      </c>
      <c r="AU95" s="95">
        <v>0.32</v>
      </c>
      <c r="AV95" s="42">
        <v>0.32200000000000001</v>
      </c>
      <c r="AW95" s="45">
        <v>0.28899999999999998</v>
      </c>
      <c r="AX95" s="95">
        <v>0.308</v>
      </c>
      <c r="AY95" s="22">
        <v>0.29699999999999999</v>
      </c>
      <c r="AZ95" s="95">
        <v>0.33600000000000002</v>
      </c>
      <c r="BA95" s="96">
        <v>0.313</v>
      </c>
      <c r="BB95" s="45">
        <v>0.308</v>
      </c>
      <c r="BC95" s="22">
        <v>0.28699999999999998</v>
      </c>
      <c r="BD95" s="22">
        <v>0.29799999999999999</v>
      </c>
      <c r="BE95" s="22">
        <v>0.31</v>
      </c>
      <c r="BF95" s="42">
        <v>0.30599999999999999</v>
      </c>
      <c r="BG95" s="45">
        <v>0.314</v>
      </c>
      <c r="BH95" s="22">
        <v>0.27600000000000002</v>
      </c>
      <c r="BI95" s="95">
        <v>0.34200000000000003</v>
      </c>
      <c r="BJ95" s="22">
        <v>0.30399999999999999</v>
      </c>
      <c r="BK95" s="42">
        <v>0.28799999999999998</v>
      </c>
      <c r="BL95" s="58">
        <v>0.31900000000000001</v>
      </c>
      <c r="BM95" s="55">
        <v>0.33100000000000002</v>
      </c>
      <c r="BN95" s="167">
        <f t="shared" si="60"/>
        <v>0.31167630057803436</v>
      </c>
      <c r="BO95" s="167">
        <f t="shared" si="61"/>
        <v>0.223</v>
      </c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65"/>
      <c r="B96" s="8"/>
      <c r="C96" s="12" t="s">
        <v>14</v>
      </c>
      <c r="D96" s="102">
        <v>0.33200000000000002</v>
      </c>
      <c r="E96" s="98" t="s">
        <v>20</v>
      </c>
      <c r="F96" s="52">
        <v>0.36899999999999999</v>
      </c>
      <c r="G96" s="98" t="s">
        <v>20</v>
      </c>
      <c r="H96" s="99">
        <v>0.32</v>
      </c>
      <c r="I96" s="97">
        <v>0.32700000000000001</v>
      </c>
      <c r="J96" s="52">
        <v>0.38600000000000001</v>
      </c>
      <c r="K96" s="52">
        <v>0.34200000000000003</v>
      </c>
      <c r="L96" s="39">
        <v>0.314</v>
      </c>
      <c r="M96" s="53">
        <v>0.33600000000000002</v>
      </c>
      <c r="N96" s="44">
        <v>0.30299999999999999</v>
      </c>
      <c r="O96" s="39">
        <v>0.317</v>
      </c>
      <c r="P96" s="98">
        <v>0.318</v>
      </c>
      <c r="Q96" s="98">
        <v>0.313</v>
      </c>
      <c r="R96" s="99">
        <v>0.33100000000000002</v>
      </c>
      <c r="S96" s="97">
        <v>0.33500000000000002</v>
      </c>
      <c r="T96" s="98">
        <v>0.35</v>
      </c>
      <c r="U96" s="39">
        <v>0.308</v>
      </c>
      <c r="V96" s="39">
        <v>0.318</v>
      </c>
      <c r="W96" s="40">
        <v>0.29399999999999998</v>
      </c>
      <c r="X96" s="97">
        <v>0.33900000000000002</v>
      </c>
      <c r="Y96" s="39">
        <v>0.32300000000000001</v>
      </c>
      <c r="Z96" s="98">
        <v>0.32500000000000001</v>
      </c>
      <c r="AA96" s="98">
        <v>0.33200000000000002</v>
      </c>
      <c r="AB96" s="99">
        <v>0.32200000000000001</v>
      </c>
      <c r="AC96" s="97">
        <v>0.32700000000000001</v>
      </c>
      <c r="AD96" s="39">
        <v>0.32300000000000001</v>
      </c>
      <c r="AE96" s="52">
        <v>0.35899999999999999</v>
      </c>
      <c r="AF96" s="98">
        <v>0.33800000000000002</v>
      </c>
      <c r="AG96" s="40">
        <v>0.32100000000000001</v>
      </c>
      <c r="AH96" s="97">
        <v>0.32800000000000001</v>
      </c>
      <c r="AI96" s="39">
        <v>0.30099999999999999</v>
      </c>
      <c r="AJ96" s="98">
        <v>0.316</v>
      </c>
      <c r="AK96" s="98">
        <v>0.36499999999999999</v>
      </c>
      <c r="AL96" s="99">
        <v>0.32500000000000001</v>
      </c>
      <c r="AM96" s="44">
        <v>0.30399999999999999</v>
      </c>
      <c r="AN96" s="98">
        <v>0.311</v>
      </c>
      <c r="AO96" s="39">
        <v>0.309</v>
      </c>
      <c r="AP96" s="39">
        <v>0.32</v>
      </c>
      <c r="AQ96" s="99">
        <v>0.30399999999999999</v>
      </c>
      <c r="AR96" s="44">
        <v>0.32</v>
      </c>
      <c r="AS96" s="98">
        <v>0.35099999999999998</v>
      </c>
      <c r="AT96" s="98">
        <v>0.312</v>
      </c>
      <c r="AU96" s="98">
        <v>0.32100000000000001</v>
      </c>
      <c r="AV96" s="99">
        <v>0.32</v>
      </c>
      <c r="AW96" s="97">
        <v>0.313</v>
      </c>
      <c r="AX96" s="39">
        <v>0.316</v>
      </c>
      <c r="AY96" s="39">
        <v>0.30499999999999999</v>
      </c>
      <c r="AZ96" s="39">
        <v>0.29599999999999999</v>
      </c>
      <c r="BA96" s="40">
        <v>0.31</v>
      </c>
      <c r="BB96" s="57">
        <v>0.32700000000000001</v>
      </c>
      <c r="BC96" s="39">
        <v>0.29599999999999999</v>
      </c>
      <c r="BD96" s="98">
        <v>0.32200000000000001</v>
      </c>
      <c r="BE96" s="98">
        <v>0.317</v>
      </c>
      <c r="BF96" s="40">
        <v>0.30599999999999999</v>
      </c>
      <c r="BG96" s="44">
        <v>0.32200000000000001</v>
      </c>
      <c r="BH96" s="39">
        <v>0.30299999999999999</v>
      </c>
      <c r="BI96" s="39">
        <v>0.30599999999999999</v>
      </c>
      <c r="BJ96" s="98">
        <v>0.32900000000000001</v>
      </c>
      <c r="BK96" s="40">
        <v>0.318</v>
      </c>
      <c r="BL96" s="57">
        <v>0.33800000000000002</v>
      </c>
      <c r="BM96" s="53">
        <v>0.33400000000000002</v>
      </c>
      <c r="BN96" s="168">
        <f t="shared" si="60"/>
        <v>0.30594871794871803</v>
      </c>
      <c r="BO96" s="168">
        <f t="shared" si="61"/>
        <v>0.223</v>
      </c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43</v>
      </c>
      <c r="B97" s="6"/>
      <c r="C97" s="11" t="s">
        <v>10</v>
      </c>
      <c r="D97" s="35">
        <v>0.318</v>
      </c>
      <c r="E97" s="36">
        <v>0.30299999999999999</v>
      </c>
      <c r="F97" s="36">
        <v>0.312</v>
      </c>
      <c r="G97" s="36">
        <v>0.29799999999999999</v>
      </c>
      <c r="H97" s="37">
        <v>0.26900000000000002</v>
      </c>
      <c r="I97" s="43">
        <v>0.28399999999999997</v>
      </c>
      <c r="J97" s="93" t="s">
        <v>20</v>
      </c>
      <c r="K97" s="36">
        <v>0.29399999999999998</v>
      </c>
      <c r="L97" s="36">
        <v>0.27700000000000002</v>
      </c>
      <c r="M97" s="37">
        <v>0.314</v>
      </c>
      <c r="N97" s="43">
        <v>0.30599999999999999</v>
      </c>
      <c r="O97" s="36">
        <v>0.28999999999999998</v>
      </c>
      <c r="P97" s="49">
        <v>0.32100000000000001</v>
      </c>
      <c r="Q97" s="36">
        <v>0.27400000000000002</v>
      </c>
      <c r="R97" s="37">
        <v>0.29199999999999998</v>
      </c>
      <c r="S97" s="43">
        <v>0.309</v>
      </c>
      <c r="T97" s="36">
        <v>0.311</v>
      </c>
      <c r="U97" s="93" t="s">
        <v>20</v>
      </c>
      <c r="V97" s="36">
        <v>0.32100000000000001</v>
      </c>
      <c r="W97" s="37">
        <v>0.29399999999999998</v>
      </c>
      <c r="X97" s="43">
        <v>0.27100000000000002</v>
      </c>
      <c r="Y97" s="36">
        <v>0.31900000000000001</v>
      </c>
      <c r="Z97" s="36">
        <v>0.223</v>
      </c>
      <c r="AA97" s="36">
        <v>0.27</v>
      </c>
      <c r="AB97" s="37">
        <v>0.29399999999999998</v>
      </c>
      <c r="AC97" s="43">
        <v>0.28599999999999998</v>
      </c>
      <c r="AD97" s="36">
        <v>0.29099999999999998</v>
      </c>
      <c r="AE97" s="36">
        <v>0.28899999999999998</v>
      </c>
      <c r="AF97" s="93" t="s">
        <v>20</v>
      </c>
      <c r="AG97" s="37">
        <v>0.29699999999999999</v>
      </c>
      <c r="AH97" s="43">
        <v>0.29599999999999999</v>
      </c>
      <c r="AI97" s="49">
        <v>0.32100000000000001</v>
      </c>
      <c r="AJ97" s="36">
        <v>0.28899999999999998</v>
      </c>
      <c r="AK97" s="93" t="s">
        <v>20</v>
      </c>
      <c r="AL97" s="100" t="s">
        <v>20</v>
      </c>
      <c r="AM97" s="43">
        <v>0.30099999999999999</v>
      </c>
      <c r="AN97" s="36">
        <v>0.26500000000000001</v>
      </c>
      <c r="AO97" s="93">
        <v>0.30599999999999999</v>
      </c>
      <c r="AP97" s="36">
        <v>0.29199999999999998</v>
      </c>
      <c r="AQ97" s="37">
        <v>0.28499999999999998</v>
      </c>
      <c r="AR97" s="43">
        <v>0.309</v>
      </c>
      <c r="AS97" s="36">
        <v>0.311</v>
      </c>
      <c r="AT97" s="36">
        <v>0.29599999999999999</v>
      </c>
      <c r="AU97" s="93" t="s">
        <v>20</v>
      </c>
      <c r="AV97" s="37">
        <v>0.29599999999999999</v>
      </c>
      <c r="AW97" s="43">
        <v>0.29099999999999998</v>
      </c>
      <c r="AX97" s="36">
        <v>0.28199999999999997</v>
      </c>
      <c r="AY97" s="36">
        <v>0.314</v>
      </c>
      <c r="AZ97" s="36">
        <v>0.29799999999999999</v>
      </c>
      <c r="BA97" s="37">
        <v>0.28399999999999997</v>
      </c>
      <c r="BB97" s="92" t="s">
        <v>20</v>
      </c>
      <c r="BC97" s="36">
        <v>0.26900000000000002</v>
      </c>
      <c r="BD97" s="36">
        <v>0.28499999999999998</v>
      </c>
      <c r="BE97" s="36">
        <v>0.29499999999999998</v>
      </c>
      <c r="BF97" s="37">
        <v>0.30299999999999999</v>
      </c>
      <c r="BG97" s="43">
        <v>0.30299999999999999</v>
      </c>
      <c r="BH97" s="36">
        <v>0.30299999999999999</v>
      </c>
      <c r="BI97" s="36">
        <v>0.30099999999999999</v>
      </c>
      <c r="BJ97" s="93" t="s">
        <v>20</v>
      </c>
      <c r="BK97" s="37">
        <v>0.29599999999999999</v>
      </c>
      <c r="BL97" s="43">
        <v>0.26300000000000001</v>
      </c>
      <c r="BM97" s="37">
        <v>0.254</v>
      </c>
      <c r="BN97" s="166">
        <f t="shared" ref="BN97:BN99" si="62">IFERROR(AVERAGE(D97:BM99),0)</f>
        <v>0.29561538461538461</v>
      </c>
      <c r="BO97" s="166">
        <f t="shared" ref="BO97:BO99" si="63">MIN(D97:BM99)</f>
        <v>0.223</v>
      </c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65">
        <v>8.3000000000000004E-2</v>
      </c>
      <c r="B98" s="7" t="s">
        <v>46</v>
      </c>
      <c r="C98" s="11" t="s">
        <v>8</v>
      </c>
      <c r="D98" s="41">
        <v>0.312</v>
      </c>
      <c r="E98" s="22">
        <v>0.29299999999999998</v>
      </c>
      <c r="F98" s="22">
        <v>0.307</v>
      </c>
      <c r="G98" s="22">
        <v>0.32200000000000001</v>
      </c>
      <c r="H98" s="42">
        <v>0.28599999999999998</v>
      </c>
      <c r="I98" s="45">
        <v>0.27200000000000002</v>
      </c>
      <c r="J98" s="95" t="s">
        <v>20</v>
      </c>
      <c r="K98" s="95" t="s">
        <v>20</v>
      </c>
      <c r="L98" s="95">
        <v>0.32200000000000001</v>
      </c>
      <c r="M98" s="55">
        <v>0.30199999999999999</v>
      </c>
      <c r="N98" s="45">
        <v>0.28899999999999998</v>
      </c>
      <c r="O98" s="22">
        <v>0.29599999999999999</v>
      </c>
      <c r="P98" s="22">
        <v>0.29899999999999999</v>
      </c>
      <c r="Q98" s="22">
        <v>0.27900000000000003</v>
      </c>
      <c r="R98" s="42">
        <v>0.307</v>
      </c>
      <c r="S98" s="94" t="s">
        <v>20</v>
      </c>
      <c r="T98" s="95" t="s">
        <v>20</v>
      </c>
      <c r="U98" s="95">
        <v>0.30399999999999999</v>
      </c>
      <c r="V98" s="95">
        <v>0.30499999999999999</v>
      </c>
      <c r="W98" s="42">
        <v>0.27400000000000002</v>
      </c>
      <c r="X98" s="94">
        <v>0.307</v>
      </c>
      <c r="Y98" s="22">
        <v>0.307</v>
      </c>
      <c r="Z98" s="22">
        <v>0.249</v>
      </c>
      <c r="AA98" s="95" t="s">
        <v>20</v>
      </c>
      <c r="AB98" s="42">
        <v>0.307</v>
      </c>
      <c r="AC98" s="45">
        <v>0.29899999999999999</v>
      </c>
      <c r="AD98" s="95">
        <v>0.30099999999999999</v>
      </c>
      <c r="AE98" s="95" t="s">
        <v>20</v>
      </c>
      <c r="AF98" s="95" t="s">
        <v>20</v>
      </c>
      <c r="AG98" s="96" t="s">
        <v>20</v>
      </c>
      <c r="AH98" s="45">
        <v>0.316</v>
      </c>
      <c r="AI98" s="22">
        <v>0.32100000000000001</v>
      </c>
      <c r="AJ98" s="22">
        <v>0.29199999999999998</v>
      </c>
      <c r="AK98" s="95" t="s">
        <v>20</v>
      </c>
      <c r="AL98" s="96">
        <v>0.316</v>
      </c>
      <c r="AM98" s="45">
        <v>0.28799999999999998</v>
      </c>
      <c r="AN98" s="95">
        <v>0.29599999999999999</v>
      </c>
      <c r="AO98" s="95" t="s">
        <v>20</v>
      </c>
      <c r="AP98" s="95">
        <v>0.311</v>
      </c>
      <c r="AQ98" s="42">
        <v>0.26700000000000002</v>
      </c>
      <c r="AR98" s="94" t="s">
        <v>20</v>
      </c>
      <c r="AS98" s="22">
        <v>0.30299999999999999</v>
      </c>
      <c r="AT98" s="95" t="s">
        <v>20</v>
      </c>
      <c r="AU98" s="22">
        <v>0.29199999999999998</v>
      </c>
      <c r="AV98" s="96" t="s">
        <v>20</v>
      </c>
      <c r="AW98" s="94" t="s">
        <v>20</v>
      </c>
      <c r="AX98" s="95" t="s">
        <v>20</v>
      </c>
      <c r="AY98" s="95">
        <v>0.307</v>
      </c>
      <c r="AZ98" s="22">
        <v>0.3</v>
      </c>
      <c r="BA98" s="96" t="s">
        <v>20</v>
      </c>
      <c r="BB98" s="94" t="s">
        <v>20</v>
      </c>
      <c r="BC98" s="22">
        <v>0.26300000000000001</v>
      </c>
      <c r="BD98" s="95" t="s">
        <v>20</v>
      </c>
      <c r="BE98" s="22">
        <v>0.3</v>
      </c>
      <c r="BF98" s="42">
        <v>0.29699999999999999</v>
      </c>
      <c r="BG98" s="45">
        <v>0.315</v>
      </c>
      <c r="BH98" s="95" t="s">
        <v>20</v>
      </c>
      <c r="BI98" s="22">
        <v>0.30199999999999999</v>
      </c>
      <c r="BJ98" s="95" t="s">
        <v>20</v>
      </c>
      <c r="BK98" s="42">
        <v>0.28399999999999997</v>
      </c>
      <c r="BL98" s="45">
        <v>0.29499999999999998</v>
      </c>
      <c r="BM98" s="42">
        <v>0.30199999999999999</v>
      </c>
      <c r="BN98" s="167">
        <f t="shared" si="62"/>
        <v>0.30121192052980128</v>
      </c>
      <c r="BO98" s="167">
        <f t="shared" si="63"/>
        <v>0.249</v>
      </c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65"/>
      <c r="B99" s="8"/>
      <c r="C99" s="12" t="s">
        <v>14</v>
      </c>
      <c r="D99" s="38">
        <v>0.31900000000000001</v>
      </c>
      <c r="E99" s="39">
        <v>0.30399999999999999</v>
      </c>
      <c r="F99" s="98" t="s">
        <v>20</v>
      </c>
      <c r="G99" s="39">
        <v>0.31</v>
      </c>
      <c r="H99" s="40">
        <v>0.28799999999999998</v>
      </c>
      <c r="I99" s="97" t="s">
        <v>20</v>
      </c>
      <c r="J99" s="39">
        <v>0.308</v>
      </c>
      <c r="K99" s="39">
        <v>0.32800000000000001</v>
      </c>
      <c r="L99" s="39">
        <v>0.28599999999999998</v>
      </c>
      <c r="M99" s="40">
        <v>0.28000000000000003</v>
      </c>
      <c r="N99" s="44">
        <v>0.29099999999999998</v>
      </c>
      <c r="O99" s="52">
        <v>0.315</v>
      </c>
      <c r="P99" s="39">
        <v>0.28499999999999998</v>
      </c>
      <c r="Q99" s="39">
        <v>0.27800000000000002</v>
      </c>
      <c r="R99" s="40">
        <v>0.31</v>
      </c>
      <c r="S99" s="97" t="s">
        <v>20</v>
      </c>
      <c r="T99" s="98" t="s">
        <v>20</v>
      </c>
      <c r="U99" s="52">
        <v>0.32300000000000001</v>
      </c>
      <c r="V99" s="98" t="s">
        <v>20</v>
      </c>
      <c r="W99" s="40">
        <v>0.29199999999999998</v>
      </c>
      <c r="X99" s="97">
        <v>0.32400000000000001</v>
      </c>
      <c r="Y99" s="39">
        <v>0.29199999999999998</v>
      </c>
      <c r="Z99" s="39">
        <v>0.27300000000000002</v>
      </c>
      <c r="AA99" s="39">
        <v>0.30399999999999999</v>
      </c>
      <c r="AB99" s="40">
        <v>0.29499999999999998</v>
      </c>
      <c r="AC99" s="44">
        <v>0.28999999999999998</v>
      </c>
      <c r="AD99" s="39">
        <v>0.28599999999999998</v>
      </c>
      <c r="AE99" s="39">
        <v>0.30399999999999999</v>
      </c>
      <c r="AF99" s="39">
        <v>0.30099999999999999</v>
      </c>
      <c r="AG99" s="40">
        <v>0.29599999999999999</v>
      </c>
      <c r="AH99" s="57">
        <v>0.32300000000000001</v>
      </c>
      <c r="AI99" s="39">
        <v>0.314</v>
      </c>
      <c r="AJ99" s="39">
        <v>0.28899999999999998</v>
      </c>
      <c r="AK99" s="52">
        <v>0.31</v>
      </c>
      <c r="AL99" s="40">
        <v>0.309</v>
      </c>
      <c r="AM99" s="44">
        <v>0.27100000000000002</v>
      </c>
      <c r="AN99" s="39">
        <v>0.28499999999999998</v>
      </c>
      <c r="AO99" s="98" t="s">
        <v>20</v>
      </c>
      <c r="AP99" s="39">
        <v>0.27900000000000003</v>
      </c>
      <c r="AQ99" s="40">
        <v>0.26300000000000001</v>
      </c>
      <c r="AR99" s="44">
        <v>0.30599999999999999</v>
      </c>
      <c r="AS99" s="39">
        <v>0.30399999999999999</v>
      </c>
      <c r="AT99" s="39">
        <v>0.29099999999999998</v>
      </c>
      <c r="AU99" s="39">
        <v>0.27</v>
      </c>
      <c r="AV99" s="99" t="s">
        <v>20</v>
      </c>
      <c r="AW99" s="44">
        <v>0.28599999999999998</v>
      </c>
      <c r="AX99" s="39">
        <v>0.3</v>
      </c>
      <c r="AY99" s="98" t="s">
        <v>20</v>
      </c>
      <c r="AZ99" s="39">
        <v>0.29099999999999998</v>
      </c>
      <c r="BA99" s="99" t="s">
        <v>20</v>
      </c>
      <c r="BB99" s="97" t="s">
        <v>20</v>
      </c>
      <c r="BC99" s="52" t="s">
        <v>20</v>
      </c>
      <c r="BD99" s="98" t="s">
        <v>20</v>
      </c>
      <c r="BE99" s="39">
        <v>0.26</v>
      </c>
      <c r="BF99" s="40">
        <v>0.307</v>
      </c>
      <c r="BG99" s="44">
        <v>0.32700000000000001</v>
      </c>
      <c r="BH99" s="98" t="s">
        <v>20</v>
      </c>
      <c r="BI99" s="98" t="s">
        <v>20</v>
      </c>
      <c r="BJ99" s="52" t="s">
        <v>20</v>
      </c>
      <c r="BK99" s="40">
        <v>0.27300000000000002</v>
      </c>
      <c r="BL99" s="44">
        <v>0.28100000000000003</v>
      </c>
      <c r="BM99" s="40">
        <v>0.311</v>
      </c>
      <c r="BN99" s="168">
        <f t="shared" si="62"/>
        <v>0.30384705882352936</v>
      </c>
      <c r="BO99" s="168">
        <f t="shared" si="63"/>
        <v>0.26</v>
      </c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43</v>
      </c>
      <c r="B100" s="6"/>
      <c r="C100" s="11" t="s">
        <v>10</v>
      </c>
      <c r="D100" s="35">
        <v>0.32900000000000001</v>
      </c>
      <c r="E100" s="36">
        <v>0.28499999999999998</v>
      </c>
      <c r="F100" s="36">
        <v>0.27600000000000002</v>
      </c>
      <c r="G100" s="36">
        <v>0.317</v>
      </c>
      <c r="H100" s="37">
        <v>0.29499999999999998</v>
      </c>
      <c r="I100" s="43">
        <v>0.30099999999999999</v>
      </c>
      <c r="J100" s="36">
        <v>0.318</v>
      </c>
      <c r="K100" s="36">
        <v>0.30399999999999999</v>
      </c>
      <c r="L100" s="36">
        <v>0.26200000000000001</v>
      </c>
      <c r="M100" s="100">
        <v>0.313</v>
      </c>
      <c r="N100" s="43">
        <v>0.27600000000000002</v>
      </c>
      <c r="O100" s="36">
        <v>0.29599999999999999</v>
      </c>
      <c r="P100" s="36">
        <v>0.30099999999999999</v>
      </c>
      <c r="Q100" s="36">
        <v>0.29899999999999999</v>
      </c>
      <c r="R100" s="37">
        <v>0.316</v>
      </c>
      <c r="S100" s="43">
        <v>0.307</v>
      </c>
      <c r="T100" s="36">
        <v>0.308</v>
      </c>
      <c r="U100" s="36">
        <v>0.29899999999999999</v>
      </c>
      <c r="V100" s="36">
        <v>0.27700000000000002</v>
      </c>
      <c r="W100" s="37">
        <v>0.26900000000000002</v>
      </c>
      <c r="X100" s="56">
        <v>0.32400000000000001</v>
      </c>
      <c r="Y100" s="36">
        <v>0.29399999999999998</v>
      </c>
      <c r="Z100" s="36">
        <v>0.26900000000000002</v>
      </c>
      <c r="AA100" s="36">
        <v>0.29099999999999998</v>
      </c>
      <c r="AB100" s="37">
        <v>0.30399999999999999</v>
      </c>
      <c r="AC100" s="92">
        <v>0.318</v>
      </c>
      <c r="AD100" s="36">
        <v>0.30499999999999999</v>
      </c>
      <c r="AE100" s="93">
        <v>0.33700000000000002</v>
      </c>
      <c r="AF100" s="93">
        <v>0.32500000000000001</v>
      </c>
      <c r="AG100" s="37">
        <v>0.32300000000000001</v>
      </c>
      <c r="AH100" s="92">
        <v>0.35</v>
      </c>
      <c r="AI100" s="49">
        <v>0.32900000000000001</v>
      </c>
      <c r="AJ100" s="93">
        <v>0.32300000000000001</v>
      </c>
      <c r="AK100" s="93">
        <v>0.315</v>
      </c>
      <c r="AL100" s="50">
        <v>0.29799999999999999</v>
      </c>
      <c r="AM100" s="43">
        <v>0.309</v>
      </c>
      <c r="AN100" s="36">
        <v>0.31</v>
      </c>
      <c r="AO100" s="49">
        <v>0.315</v>
      </c>
      <c r="AP100" s="93">
        <v>0.31900000000000001</v>
      </c>
      <c r="AQ100" s="37">
        <v>0.29699999999999999</v>
      </c>
      <c r="AR100" s="92">
        <v>0.32600000000000001</v>
      </c>
      <c r="AS100" s="49">
        <v>0.33200000000000002</v>
      </c>
      <c r="AT100" s="93">
        <v>0.32500000000000001</v>
      </c>
      <c r="AU100" s="36">
        <v>0.307</v>
      </c>
      <c r="AV100" s="50">
        <v>0.33100000000000002</v>
      </c>
      <c r="AW100" s="43">
        <v>0.311</v>
      </c>
      <c r="AX100" s="36">
        <v>0.28000000000000003</v>
      </c>
      <c r="AY100" s="36">
        <v>0.30099999999999999</v>
      </c>
      <c r="AZ100" s="36">
        <v>0.30599999999999999</v>
      </c>
      <c r="BA100" s="37">
        <v>0.28999999999999998</v>
      </c>
      <c r="BB100" s="92">
        <v>0.308</v>
      </c>
      <c r="BC100" s="36">
        <v>0.28000000000000003</v>
      </c>
      <c r="BD100" s="49">
        <v>0.30099999999999999</v>
      </c>
      <c r="BE100" s="49">
        <v>0.27</v>
      </c>
      <c r="BF100" s="100">
        <v>0.32100000000000001</v>
      </c>
      <c r="BG100" s="56">
        <v>0.32400000000000001</v>
      </c>
      <c r="BH100" s="49">
        <v>0.34200000000000003</v>
      </c>
      <c r="BI100" s="93">
        <v>0.316</v>
      </c>
      <c r="BJ100" s="49">
        <v>0.373</v>
      </c>
      <c r="BK100" s="37">
        <v>0.28999999999999998</v>
      </c>
      <c r="BL100" s="43">
        <v>0.30199999999999999</v>
      </c>
      <c r="BM100" s="37">
        <v>0.30599999999999999</v>
      </c>
      <c r="BN100" s="166">
        <f t="shared" ref="BN100:BN102" si="64">IFERROR(AVERAGE(D100:BM102),0)</f>
        <v>0.30673913043478257</v>
      </c>
      <c r="BO100" s="166">
        <f t="shared" ref="BO100:BO102" si="65">MIN(D100:BM102)</f>
        <v>0.24</v>
      </c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65">
        <v>8.3000000000000004E-2</v>
      </c>
      <c r="B101" s="7" t="s">
        <v>47</v>
      </c>
      <c r="C101" s="11" t="s">
        <v>8</v>
      </c>
      <c r="D101" s="41">
        <v>0.315</v>
      </c>
      <c r="E101" s="22">
        <v>0.27700000000000002</v>
      </c>
      <c r="F101" s="22">
        <v>0.30099999999999999</v>
      </c>
      <c r="G101" s="95">
        <v>0.32100000000000001</v>
      </c>
      <c r="H101" s="42">
        <v>0.30099999999999999</v>
      </c>
      <c r="I101" s="94">
        <v>0.32700000000000001</v>
      </c>
      <c r="J101" s="22">
        <v>0.29899999999999999</v>
      </c>
      <c r="K101" s="22">
        <v>0.307</v>
      </c>
      <c r="L101" s="22">
        <v>0.28999999999999998</v>
      </c>
      <c r="M101" s="42">
        <v>0.29399999999999998</v>
      </c>
      <c r="N101" s="45">
        <v>0.26400000000000001</v>
      </c>
      <c r="O101" s="95">
        <v>0.33500000000000002</v>
      </c>
      <c r="P101" s="22">
        <v>0.29399999999999998</v>
      </c>
      <c r="Q101" s="22">
        <v>0.28999999999999998</v>
      </c>
      <c r="R101" s="42">
        <v>0.307</v>
      </c>
      <c r="S101" s="58">
        <v>0.33800000000000002</v>
      </c>
      <c r="T101" s="95">
        <v>0.32300000000000001</v>
      </c>
      <c r="U101" s="22">
        <v>0.309</v>
      </c>
      <c r="V101" s="95">
        <v>0.29799999999999999</v>
      </c>
      <c r="W101" s="96">
        <v>0.318</v>
      </c>
      <c r="X101" s="94">
        <v>0.32100000000000001</v>
      </c>
      <c r="Y101" s="22">
        <v>0.29499999999999998</v>
      </c>
      <c r="Z101" s="95">
        <v>0.32400000000000001</v>
      </c>
      <c r="AA101" s="31">
        <v>0.32100000000000001</v>
      </c>
      <c r="AB101" s="55">
        <v>0.34100000000000003</v>
      </c>
      <c r="AC101" s="45">
        <v>0.30299999999999999</v>
      </c>
      <c r="AD101" s="95">
        <v>0.33300000000000002</v>
      </c>
      <c r="AE101" s="31">
        <v>0.32300000000000001</v>
      </c>
      <c r="AF101" s="95">
        <v>0.313</v>
      </c>
      <c r="AG101" s="96">
        <v>0.31900000000000001</v>
      </c>
      <c r="AH101" s="58">
        <v>0.32200000000000001</v>
      </c>
      <c r="AI101" s="95">
        <v>0.31900000000000001</v>
      </c>
      <c r="AJ101" s="95">
        <v>0.317</v>
      </c>
      <c r="AK101" s="95">
        <v>0.315</v>
      </c>
      <c r="AL101" s="55">
        <v>0.316</v>
      </c>
      <c r="AM101" s="94">
        <v>0.313</v>
      </c>
      <c r="AN101" s="22">
        <v>0.28999999999999998</v>
      </c>
      <c r="AO101" s="95">
        <v>0.30299999999999999</v>
      </c>
      <c r="AP101" s="95">
        <v>0.30299999999999999</v>
      </c>
      <c r="AQ101" s="42">
        <v>0.28499999999999998</v>
      </c>
      <c r="AR101" s="94">
        <v>0.32300000000000001</v>
      </c>
      <c r="AS101" s="95">
        <v>0.307</v>
      </c>
      <c r="AT101" s="22">
        <v>0.26500000000000001</v>
      </c>
      <c r="AU101" s="22">
        <v>0.27900000000000003</v>
      </c>
      <c r="AV101" s="96">
        <v>0.32900000000000001</v>
      </c>
      <c r="AW101" s="45">
        <v>0.28699999999999998</v>
      </c>
      <c r="AX101" s="22">
        <v>0.29299999999999998</v>
      </c>
      <c r="AY101" s="22">
        <v>0.29899999999999999</v>
      </c>
      <c r="AZ101" s="22">
        <v>0.29499999999999998</v>
      </c>
      <c r="BA101" s="42">
        <v>0.29499999999999998</v>
      </c>
      <c r="BB101" s="45">
        <v>0.27300000000000002</v>
      </c>
      <c r="BC101" s="95">
        <v>0.309</v>
      </c>
      <c r="BD101" s="95">
        <v>0.3</v>
      </c>
      <c r="BE101" s="22">
        <v>0.26200000000000001</v>
      </c>
      <c r="BF101" s="96">
        <v>0.32</v>
      </c>
      <c r="BG101" s="94">
        <v>0.32700000000000001</v>
      </c>
      <c r="BH101" s="31">
        <v>0.318</v>
      </c>
      <c r="BI101" s="22">
        <v>0.28000000000000003</v>
      </c>
      <c r="BJ101" s="22">
        <v>0.30499999999999999</v>
      </c>
      <c r="BK101" s="42">
        <v>0.316</v>
      </c>
      <c r="BL101" s="58" t="s">
        <v>20</v>
      </c>
      <c r="BM101" s="55">
        <v>0.311</v>
      </c>
      <c r="BN101" s="167">
        <f t="shared" si="64"/>
        <v>0.3092875000000001</v>
      </c>
      <c r="BO101" s="167">
        <f t="shared" si="65"/>
        <v>0.24</v>
      </c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65"/>
      <c r="B102" s="8"/>
      <c r="C102" s="12" t="s">
        <v>14</v>
      </c>
      <c r="D102" s="102">
        <v>0.32</v>
      </c>
      <c r="E102" s="39">
        <v>0.315</v>
      </c>
      <c r="F102" s="39">
        <v>0.315</v>
      </c>
      <c r="G102" s="39">
        <v>0.309</v>
      </c>
      <c r="H102" s="40">
        <v>0.313</v>
      </c>
      <c r="I102" s="44">
        <v>0.29799999999999999</v>
      </c>
      <c r="J102" s="39">
        <v>0.312</v>
      </c>
      <c r="K102" s="52">
        <v>0.318</v>
      </c>
      <c r="L102" s="98">
        <v>0.32900000000000001</v>
      </c>
      <c r="M102" s="40">
        <v>0.31900000000000001</v>
      </c>
      <c r="N102" s="44">
        <v>0.311</v>
      </c>
      <c r="O102" s="52">
        <v>0.29899999999999999</v>
      </c>
      <c r="P102" s="39">
        <v>0.3</v>
      </c>
      <c r="Q102" s="98">
        <v>0.315</v>
      </c>
      <c r="R102" s="99">
        <v>0.32300000000000001</v>
      </c>
      <c r="S102" s="97">
        <v>0.33500000000000002</v>
      </c>
      <c r="T102" s="39">
        <v>0.30099999999999999</v>
      </c>
      <c r="U102" s="52">
        <v>0.33700000000000002</v>
      </c>
      <c r="V102" s="52">
        <v>0.33600000000000002</v>
      </c>
      <c r="W102" s="40">
        <v>0.28799999999999998</v>
      </c>
      <c r="X102" s="44">
        <v>0.29799999999999999</v>
      </c>
      <c r="Y102" s="39">
        <v>0.29599999999999999</v>
      </c>
      <c r="Z102" s="98">
        <v>0.307</v>
      </c>
      <c r="AA102" s="52">
        <v>0.33500000000000002</v>
      </c>
      <c r="AB102" s="99">
        <v>0.311</v>
      </c>
      <c r="AC102" s="44">
        <v>0.29399999999999998</v>
      </c>
      <c r="AD102" s="39">
        <v>0.32</v>
      </c>
      <c r="AE102" s="98">
        <v>0.34899999999999998</v>
      </c>
      <c r="AF102" s="52">
        <v>0.32400000000000001</v>
      </c>
      <c r="AG102" s="99">
        <v>0.33700000000000002</v>
      </c>
      <c r="AH102" s="57">
        <v>0.32900000000000001</v>
      </c>
      <c r="AI102" s="98">
        <v>0.32600000000000001</v>
      </c>
      <c r="AJ102" s="52">
        <v>0.34499999999999997</v>
      </c>
      <c r="AK102" s="52">
        <v>0.32100000000000001</v>
      </c>
      <c r="AL102" s="53">
        <v>0.32700000000000001</v>
      </c>
      <c r="AM102" s="44">
        <v>0.28799999999999998</v>
      </c>
      <c r="AN102" s="39">
        <v>0.29399999999999998</v>
      </c>
      <c r="AO102" s="98">
        <v>0.318</v>
      </c>
      <c r="AP102" s="39">
        <v>0.27700000000000002</v>
      </c>
      <c r="AQ102" s="53">
        <v>0.30399999999999999</v>
      </c>
      <c r="AR102" s="44">
        <v>0.28299999999999997</v>
      </c>
      <c r="AS102" s="39">
        <v>0.29599999999999999</v>
      </c>
      <c r="AT102" s="39">
        <v>0.26700000000000002</v>
      </c>
      <c r="AU102" s="39">
        <v>0.28899999999999998</v>
      </c>
      <c r="AV102" s="40">
        <v>0.29299999999999998</v>
      </c>
      <c r="AW102" s="44">
        <v>0.27500000000000002</v>
      </c>
      <c r="AX102" s="39">
        <v>0.29699999999999999</v>
      </c>
      <c r="AY102" s="39">
        <v>0.28100000000000003</v>
      </c>
      <c r="AZ102" s="39">
        <v>0.30099999999999999</v>
      </c>
      <c r="BA102" s="40">
        <v>0.29099999999999998</v>
      </c>
      <c r="BB102" s="97">
        <v>0.308</v>
      </c>
      <c r="BC102" s="98">
        <v>0.311</v>
      </c>
      <c r="BD102" s="52">
        <v>0.28999999999999998</v>
      </c>
      <c r="BE102" s="39">
        <v>0.24</v>
      </c>
      <c r="BF102" s="53">
        <v>0.30099999999999999</v>
      </c>
      <c r="BG102" s="44">
        <v>0.316</v>
      </c>
      <c r="BH102" s="52">
        <v>0.27200000000000002</v>
      </c>
      <c r="BI102" s="39">
        <v>0.29499999999999998</v>
      </c>
      <c r="BJ102" s="39">
        <v>0.307</v>
      </c>
      <c r="BK102" s="53" t="s">
        <v>20</v>
      </c>
      <c r="BL102" s="44">
        <v>0.29099999999999998</v>
      </c>
      <c r="BM102" s="53">
        <v>0.32100000000000001</v>
      </c>
      <c r="BN102" s="168">
        <f t="shared" si="64"/>
        <v>0.31097080291970791</v>
      </c>
      <c r="BO102" s="168">
        <f t="shared" si="65"/>
        <v>0.24</v>
      </c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43</v>
      </c>
      <c r="B103" s="6" t="s">
        <v>9</v>
      </c>
      <c r="C103" s="11" t="s">
        <v>10</v>
      </c>
      <c r="D103" s="48" t="s">
        <v>11</v>
      </c>
      <c r="E103" s="49" t="s">
        <v>11</v>
      </c>
      <c r="F103" s="36">
        <v>0.32800000000000001</v>
      </c>
      <c r="G103" s="49">
        <v>0.32300000000000001</v>
      </c>
      <c r="H103" s="50" t="s">
        <v>11</v>
      </c>
      <c r="I103" s="56">
        <v>0.33600000000000002</v>
      </c>
      <c r="J103" s="49">
        <v>0.32500000000000001</v>
      </c>
      <c r="K103" s="49" t="s">
        <v>11</v>
      </c>
      <c r="L103" s="93">
        <v>0.32</v>
      </c>
      <c r="M103" s="37">
        <v>0.28299999999999997</v>
      </c>
      <c r="N103" s="56" t="s">
        <v>11</v>
      </c>
      <c r="O103" s="36">
        <v>0.30499999999999999</v>
      </c>
      <c r="P103" s="36">
        <v>0.29299999999999998</v>
      </c>
      <c r="Q103" s="49" t="s">
        <v>11</v>
      </c>
      <c r="R103" s="100">
        <v>0.33</v>
      </c>
      <c r="S103" s="43">
        <v>0.31</v>
      </c>
      <c r="T103" s="49" t="s">
        <v>11</v>
      </c>
      <c r="U103" s="36">
        <v>0.30499999999999999</v>
      </c>
      <c r="V103" s="93">
        <v>0.31900000000000001</v>
      </c>
      <c r="W103" s="50" t="s">
        <v>11</v>
      </c>
      <c r="X103" s="92">
        <v>0.32600000000000001</v>
      </c>
      <c r="Y103" s="36">
        <v>0.315</v>
      </c>
      <c r="Z103" s="49" t="s">
        <v>11</v>
      </c>
      <c r="AA103" s="93">
        <v>0.32300000000000001</v>
      </c>
      <c r="AB103" s="37">
        <v>0.32300000000000001</v>
      </c>
      <c r="AC103" s="56" t="s">
        <v>11</v>
      </c>
      <c r="AD103" s="49" t="s">
        <v>11</v>
      </c>
      <c r="AE103" s="36">
        <v>0.309</v>
      </c>
      <c r="AF103" s="36">
        <v>0.32100000000000001</v>
      </c>
      <c r="AG103" s="50" t="s">
        <v>11</v>
      </c>
      <c r="AH103" s="56">
        <v>0.32800000000000001</v>
      </c>
      <c r="AI103" s="49">
        <v>0.311</v>
      </c>
      <c r="AJ103" s="49" t="s">
        <v>11</v>
      </c>
      <c r="AK103" s="93">
        <v>0.32</v>
      </c>
      <c r="AL103" s="50">
        <v>0.308</v>
      </c>
      <c r="AM103" s="56" t="s">
        <v>11</v>
      </c>
      <c r="AN103" s="49" t="s">
        <v>11</v>
      </c>
      <c r="AO103" s="93">
        <v>0.32600000000000001</v>
      </c>
      <c r="AP103" s="93">
        <v>0.32700000000000001</v>
      </c>
      <c r="AQ103" s="50" t="s">
        <v>11</v>
      </c>
      <c r="AR103" s="92">
        <v>0.32100000000000001</v>
      </c>
      <c r="AS103" s="36">
        <v>0.317</v>
      </c>
      <c r="AT103" s="49" t="s">
        <v>11</v>
      </c>
      <c r="AU103" s="93">
        <v>0.316</v>
      </c>
      <c r="AV103" s="37">
        <v>0.314</v>
      </c>
      <c r="AW103" s="56" t="s">
        <v>11</v>
      </c>
      <c r="AX103" s="49">
        <v>0.316</v>
      </c>
      <c r="AY103" s="93">
        <v>0.33100000000000002</v>
      </c>
      <c r="AZ103" s="49" t="s">
        <v>11</v>
      </c>
      <c r="BA103" s="100">
        <v>0.32800000000000001</v>
      </c>
      <c r="BB103" s="92">
        <v>0.315</v>
      </c>
      <c r="BC103" s="49" t="s">
        <v>11</v>
      </c>
      <c r="BD103" s="36">
        <v>0.308</v>
      </c>
      <c r="BE103" s="36">
        <v>0.309</v>
      </c>
      <c r="BF103" s="50" t="s">
        <v>11</v>
      </c>
      <c r="BG103" s="56">
        <v>0.33800000000000002</v>
      </c>
      <c r="BH103" s="93">
        <v>0.32200000000000001</v>
      </c>
      <c r="BI103" s="49" t="s">
        <v>11</v>
      </c>
      <c r="BJ103" s="93">
        <v>0.32700000000000001</v>
      </c>
      <c r="BK103" s="37">
        <v>0.315</v>
      </c>
      <c r="BL103" s="56" t="s">
        <v>11</v>
      </c>
      <c r="BM103" s="50" t="s">
        <v>11</v>
      </c>
      <c r="BN103" s="166">
        <f t="shared" ref="BN103:BN105" si="66">IFERROR(AVERAGE(D103:BM105),0)</f>
        <v>0.31365789473684219</v>
      </c>
      <c r="BO103" s="166">
        <f t="shared" ref="BO103:BO105" si="67">MIN(D103:BM105)</f>
        <v>0.27600000000000002</v>
      </c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65">
        <v>8.3000000000000004E-2</v>
      </c>
      <c r="B104" s="7" t="s">
        <v>12</v>
      </c>
      <c r="C104" s="11" t="s">
        <v>8</v>
      </c>
      <c r="D104" s="54" t="s">
        <v>11</v>
      </c>
      <c r="E104" s="31" t="s">
        <v>11</v>
      </c>
      <c r="F104" s="95">
        <v>0.33</v>
      </c>
      <c r="G104" s="22">
        <v>0.32300000000000001</v>
      </c>
      <c r="H104" s="55" t="s">
        <v>11</v>
      </c>
      <c r="I104" s="58">
        <v>0.32500000000000001</v>
      </c>
      <c r="J104" s="31">
        <v>0.32600000000000001</v>
      </c>
      <c r="K104" s="31" t="s">
        <v>11</v>
      </c>
      <c r="L104" s="22">
        <v>0.28799999999999998</v>
      </c>
      <c r="M104" s="42">
        <v>0.30299999999999999</v>
      </c>
      <c r="N104" s="58" t="s">
        <v>11</v>
      </c>
      <c r="O104" s="22">
        <v>0.29199999999999998</v>
      </c>
      <c r="P104" s="95">
        <v>0.30399999999999999</v>
      </c>
      <c r="Q104" s="31" t="s">
        <v>11</v>
      </c>
      <c r="R104" s="42">
        <v>0.317</v>
      </c>
      <c r="S104" s="45">
        <v>0.31</v>
      </c>
      <c r="T104" s="31" t="s">
        <v>11</v>
      </c>
      <c r="U104" s="22">
        <v>0.3</v>
      </c>
      <c r="V104" s="22">
        <v>0.27800000000000002</v>
      </c>
      <c r="W104" s="55" t="s">
        <v>11</v>
      </c>
      <c r="X104" s="45">
        <v>0.317</v>
      </c>
      <c r="Y104" s="22">
        <v>0.32400000000000001</v>
      </c>
      <c r="Z104" s="31" t="s">
        <v>11</v>
      </c>
      <c r="AA104" s="22">
        <v>0.313</v>
      </c>
      <c r="AB104" s="42">
        <v>0.307</v>
      </c>
      <c r="AC104" s="58" t="s">
        <v>11</v>
      </c>
      <c r="AD104" s="31" t="s">
        <v>11</v>
      </c>
      <c r="AE104" s="22">
        <v>0.3</v>
      </c>
      <c r="AF104" s="22">
        <v>0.318</v>
      </c>
      <c r="AG104" s="55" t="s">
        <v>11</v>
      </c>
      <c r="AH104" s="94">
        <v>0.32900000000000001</v>
      </c>
      <c r="AI104" s="31">
        <v>0.309</v>
      </c>
      <c r="AJ104" s="31" t="s">
        <v>11</v>
      </c>
      <c r="AK104" s="22">
        <v>0.28199999999999997</v>
      </c>
      <c r="AL104" s="42">
        <v>0.28999999999999998</v>
      </c>
      <c r="AM104" s="58" t="s">
        <v>11</v>
      </c>
      <c r="AN104" s="31" t="s">
        <v>11</v>
      </c>
      <c r="AO104" s="95">
        <v>0.32100000000000001</v>
      </c>
      <c r="AP104" s="22">
        <v>0.31900000000000001</v>
      </c>
      <c r="AQ104" s="55" t="s">
        <v>11</v>
      </c>
      <c r="AR104" s="94">
        <v>0.32200000000000001</v>
      </c>
      <c r="AS104" s="22">
        <v>0.30499999999999999</v>
      </c>
      <c r="AT104" s="31" t="s">
        <v>11</v>
      </c>
      <c r="AU104" s="22">
        <v>0.309</v>
      </c>
      <c r="AV104" s="42">
        <v>0.31900000000000001</v>
      </c>
      <c r="AW104" s="58" t="s">
        <v>11</v>
      </c>
      <c r="AX104" s="22">
        <v>0.28999999999999998</v>
      </c>
      <c r="AY104" s="22">
        <v>0.29699999999999999</v>
      </c>
      <c r="AZ104" s="31" t="s">
        <v>11</v>
      </c>
      <c r="BA104" s="96">
        <v>0.315</v>
      </c>
      <c r="BB104" s="45">
        <v>0.311</v>
      </c>
      <c r="BC104" s="31" t="s">
        <v>11</v>
      </c>
      <c r="BD104" s="22">
        <v>0.3</v>
      </c>
      <c r="BE104" s="22">
        <v>0.3</v>
      </c>
      <c r="BF104" s="55" t="s">
        <v>11</v>
      </c>
      <c r="BG104" s="58">
        <v>0.33700000000000002</v>
      </c>
      <c r="BH104" s="95">
        <v>0.31900000000000001</v>
      </c>
      <c r="BI104" s="31" t="s">
        <v>11</v>
      </c>
      <c r="BJ104" s="22">
        <v>0.318</v>
      </c>
      <c r="BK104" s="55">
        <v>0.32700000000000001</v>
      </c>
      <c r="BL104" s="58" t="s">
        <v>11</v>
      </c>
      <c r="BM104" s="55" t="s">
        <v>11</v>
      </c>
      <c r="BN104" s="167">
        <f t="shared" si="66"/>
        <v>0.31050877192982451</v>
      </c>
      <c r="BO104" s="167">
        <f t="shared" si="67"/>
        <v>0.27600000000000002</v>
      </c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65"/>
      <c r="B105" s="8" t="s">
        <v>48</v>
      </c>
      <c r="C105" s="12" t="s">
        <v>14</v>
      </c>
      <c r="D105" s="51" t="s">
        <v>11</v>
      </c>
      <c r="E105" s="52" t="s">
        <v>11</v>
      </c>
      <c r="F105" s="39">
        <v>0.30499999999999999</v>
      </c>
      <c r="G105" s="52">
        <v>0.33300000000000002</v>
      </c>
      <c r="H105" s="53" t="s">
        <v>11</v>
      </c>
      <c r="I105" s="57">
        <v>0.32600000000000001</v>
      </c>
      <c r="J105" s="52">
        <v>0.308</v>
      </c>
      <c r="K105" s="52" t="s">
        <v>11</v>
      </c>
      <c r="L105" s="39">
        <v>0.30199999999999999</v>
      </c>
      <c r="M105" s="99">
        <v>0.32900000000000001</v>
      </c>
      <c r="N105" s="57" t="s">
        <v>11</v>
      </c>
      <c r="O105" s="52">
        <v>0.33500000000000002</v>
      </c>
      <c r="P105" s="52">
        <v>0.318</v>
      </c>
      <c r="Q105" s="52" t="s">
        <v>11</v>
      </c>
      <c r="R105" s="53">
        <v>0.31900000000000001</v>
      </c>
      <c r="S105" s="44">
        <v>0.311</v>
      </c>
      <c r="T105" s="52" t="s">
        <v>11</v>
      </c>
      <c r="U105" s="39">
        <v>0.29499999999999998</v>
      </c>
      <c r="V105" s="98">
        <v>0.32600000000000001</v>
      </c>
      <c r="W105" s="53" t="s">
        <v>11</v>
      </c>
      <c r="X105" s="44">
        <v>0.318</v>
      </c>
      <c r="Y105" s="39">
        <v>0.29699999999999999</v>
      </c>
      <c r="Z105" s="52" t="s">
        <v>11</v>
      </c>
      <c r="AA105" s="39">
        <v>0.30499999999999999</v>
      </c>
      <c r="AB105" s="40">
        <v>0.311</v>
      </c>
      <c r="AC105" s="57" t="s">
        <v>11</v>
      </c>
      <c r="AD105" s="52" t="s">
        <v>11</v>
      </c>
      <c r="AE105" s="39">
        <v>0.29499999999999998</v>
      </c>
      <c r="AF105" s="39">
        <v>0.27600000000000002</v>
      </c>
      <c r="AG105" s="53" t="s">
        <v>11</v>
      </c>
      <c r="AH105" s="44">
        <v>0.31</v>
      </c>
      <c r="AI105" s="52">
        <v>0.30499999999999999</v>
      </c>
      <c r="AJ105" s="52" t="s">
        <v>11</v>
      </c>
      <c r="AK105" s="39">
        <v>0.28599999999999998</v>
      </c>
      <c r="AL105" s="53">
        <v>0.307</v>
      </c>
      <c r="AM105" s="57" t="s">
        <v>11</v>
      </c>
      <c r="AN105" s="52" t="s">
        <v>11</v>
      </c>
      <c r="AO105" s="98">
        <v>0.317</v>
      </c>
      <c r="AP105" s="98">
        <v>0.33100000000000002</v>
      </c>
      <c r="AQ105" s="53" t="s">
        <v>11</v>
      </c>
      <c r="AR105" s="44">
        <v>0.311</v>
      </c>
      <c r="AS105" s="39">
        <v>0.30299999999999999</v>
      </c>
      <c r="AT105" s="52" t="s">
        <v>11</v>
      </c>
      <c r="AU105" s="39">
        <v>0.29899999999999999</v>
      </c>
      <c r="AV105" s="99">
        <v>0.33200000000000002</v>
      </c>
      <c r="AW105" s="57" t="s">
        <v>11</v>
      </c>
      <c r="AX105" s="98">
        <v>0.31900000000000001</v>
      </c>
      <c r="AY105" s="39">
        <v>0.29399999999999998</v>
      </c>
      <c r="AZ105" s="52" t="s">
        <v>11</v>
      </c>
      <c r="BA105" s="99">
        <v>0.32400000000000001</v>
      </c>
      <c r="BB105" s="97">
        <v>0.317</v>
      </c>
      <c r="BC105" s="52" t="s">
        <v>11</v>
      </c>
      <c r="BD105" s="39">
        <v>0.311</v>
      </c>
      <c r="BE105" s="39">
        <v>0.30199999999999999</v>
      </c>
      <c r="BF105" s="53" t="s">
        <v>11</v>
      </c>
      <c r="BG105" s="57">
        <v>0.32600000000000001</v>
      </c>
      <c r="BH105" s="52">
        <v>0.32800000000000001</v>
      </c>
      <c r="BI105" s="52" t="s">
        <v>11</v>
      </c>
      <c r="BJ105" s="98">
        <v>0.32100000000000001</v>
      </c>
      <c r="BK105" s="53">
        <v>0.32</v>
      </c>
      <c r="BL105" s="57" t="s">
        <v>11</v>
      </c>
      <c r="BM105" s="53" t="s">
        <v>11</v>
      </c>
      <c r="BN105" s="168">
        <f t="shared" si="66"/>
        <v>0.30916666666666648</v>
      </c>
      <c r="BO105" s="168">
        <f t="shared" si="67"/>
        <v>0.27500000000000002</v>
      </c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43</v>
      </c>
      <c r="B106" s="6" t="s">
        <v>15</v>
      </c>
      <c r="C106" s="11" t="s">
        <v>10</v>
      </c>
      <c r="D106" s="48" t="s">
        <v>11</v>
      </c>
      <c r="E106" s="49" t="s">
        <v>11</v>
      </c>
      <c r="F106" s="36">
        <v>0.28699999999999998</v>
      </c>
      <c r="G106" s="93">
        <v>0.32200000000000001</v>
      </c>
      <c r="H106" s="50" t="s">
        <v>11</v>
      </c>
      <c r="I106" s="43">
        <v>0.29299999999999998</v>
      </c>
      <c r="J106" s="49">
        <v>0.32400000000000001</v>
      </c>
      <c r="K106" s="49" t="s">
        <v>11</v>
      </c>
      <c r="L106" s="36">
        <v>0.30499999999999999</v>
      </c>
      <c r="M106" s="37">
        <v>0.28100000000000003</v>
      </c>
      <c r="N106" s="56" t="s">
        <v>11</v>
      </c>
      <c r="O106" s="36">
        <v>0.28999999999999998</v>
      </c>
      <c r="P106" s="36">
        <v>0.30399999999999999</v>
      </c>
      <c r="Q106" s="49" t="s">
        <v>11</v>
      </c>
      <c r="R106" s="37">
        <v>0.318</v>
      </c>
      <c r="S106" s="43">
        <v>0.313</v>
      </c>
      <c r="T106" s="49" t="s">
        <v>11</v>
      </c>
      <c r="U106" s="36">
        <v>0.312</v>
      </c>
      <c r="V106" s="36">
        <v>0.30499999999999999</v>
      </c>
      <c r="W106" s="50" t="s">
        <v>11</v>
      </c>
      <c r="X106" s="43">
        <v>0.30299999999999999</v>
      </c>
      <c r="Y106" s="36">
        <v>0.32800000000000001</v>
      </c>
      <c r="Z106" s="49" t="s">
        <v>11</v>
      </c>
      <c r="AA106" s="36">
        <v>0.30199999999999999</v>
      </c>
      <c r="AB106" s="37">
        <v>0.30499999999999999</v>
      </c>
      <c r="AC106" s="56" t="s">
        <v>11</v>
      </c>
      <c r="AD106" s="49" t="s">
        <v>11</v>
      </c>
      <c r="AE106" s="93">
        <v>0.32200000000000001</v>
      </c>
      <c r="AF106" s="36">
        <v>0.315</v>
      </c>
      <c r="AG106" s="50" t="s">
        <v>11</v>
      </c>
      <c r="AH106" s="43">
        <v>0.32900000000000001</v>
      </c>
      <c r="AI106" s="49">
        <v>0.32900000000000001</v>
      </c>
      <c r="AJ106" s="49" t="s">
        <v>11</v>
      </c>
      <c r="AK106" s="36">
        <v>0.313</v>
      </c>
      <c r="AL106" s="50">
        <v>0.314</v>
      </c>
      <c r="AM106" s="56" t="s">
        <v>11</v>
      </c>
      <c r="AN106" s="49" t="s">
        <v>11</v>
      </c>
      <c r="AO106" s="93">
        <v>0.308</v>
      </c>
      <c r="AP106" s="36">
        <v>0.30599999999999999</v>
      </c>
      <c r="AQ106" s="50" t="s">
        <v>11</v>
      </c>
      <c r="AR106" s="43">
        <v>0.313</v>
      </c>
      <c r="AS106" s="93">
        <v>0.33</v>
      </c>
      <c r="AT106" s="49" t="s">
        <v>11</v>
      </c>
      <c r="AU106" s="36">
        <v>0.28499999999999998</v>
      </c>
      <c r="AV106" s="100">
        <v>0.32500000000000001</v>
      </c>
      <c r="AW106" s="56" t="s">
        <v>11</v>
      </c>
      <c r="AX106" s="36">
        <v>0.28699999999999998</v>
      </c>
      <c r="AY106" s="36">
        <v>0.314</v>
      </c>
      <c r="AZ106" s="49" t="s">
        <v>11</v>
      </c>
      <c r="BA106" s="37">
        <v>0.314</v>
      </c>
      <c r="BB106" s="43">
        <v>0.29399999999999998</v>
      </c>
      <c r="BC106" s="49" t="s">
        <v>11</v>
      </c>
      <c r="BD106" s="93">
        <v>0.308</v>
      </c>
      <c r="BE106" s="36">
        <v>0.29799999999999999</v>
      </c>
      <c r="BF106" s="50" t="s">
        <v>11</v>
      </c>
      <c r="BG106" s="43">
        <v>0.309</v>
      </c>
      <c r="BH106" s="93">
        <v>0.311</v>
      </c>
      <c r="BI106" s="49" t="s">
        <v>11</v>
      </c>
      <c r="BJ106" s="93">
        <v>0.314</v>
      </c>
      <c r="BK106" s="37">
        <v>0.30199999999999999</v>
      </c>
      <c r="BL106" s="56" t="s">
        <v>11</v>
      </c>
      <c r="BM106" s="50" t="s">
        <v>11</v>
      </c>
      <c r="BN106" s="166">
        <f t="shared" ref="BN106:BN108" si="68">IFERROR(AVERAGE(D106:BM108),0)</f>
        <v>0.30670175438596486</v>
      </c>
      <c r="BO106" s="166">
        <f t="shared" ref="BO106:BO108" si="69">MIN(D106:BM108)</f>
        <v>0.27500000000000002</v>
      </c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65">
        <v>8.3000000000000004E-2</v>
      </c>
      <c r="B107" s="7" t="s">
        <v>12</v>
      </c>
      <c r="C107" s="11" t="s">
        <v>8</v>
      </c>
      <c r="D107" s="54" t="s">
        <v>11</v>
      </c>
      <c r="E107" s="31" t="s">
        <v>11</v>
      </c>
      <c r="F107" s="31">
        <v>0.28499999999999998</v>
      </c>
      <c r="G107" s="22">
        <v>0.313</v>
      </c>
      <c r="H107" s="55" t="s">
        <v>11</v>
      </c>
      <c r="I107" s="45">
        <v>0.29499999999999998</v>
      </c>
      <c r="J107" s="22">
        <v>0.30099999999999999</v>
      </c>
      <c r="K107" s="31" t="s">
        <v>11</v>
      </c>
      <c r="L107" s="95">
        <v>0.33100000000000002</v>
      </c>
      <c r="M107" s="42">
        <v>0.29599999999999999</v>
      </c>
      <c r="N107" s="58" t="s">
        <v>11</v>
      </c>
      <c r="O107" s="22">
        <v>0.28799999999999998</v>
      </c>
      <c r="P107" s="22">
        <v>0.309</v>
      </c>
      <c r="Q107" s="31" t="s">
        <v>11</v>
      </c>
      <c r="R107" s="55">
        <v>0.33500000000000002</v>
      </c>
      <c r="S107" s="45">
        <v>0.31</v>
      </c>
      <c r="T107" s="31" t="s">
        <v>11</v>
      </c>
      <c r="U107" s="22">
        <v>0.29499999999999998</v>
      </c>
      <c r="V107" s="22">
        <v>0.308</v>
      </c>
      <c r="W107" s="55" t="s">
        <v>11</v>
      </c>
      <c r="X107" s="45">
        <v>0.29399999999999998</v>
      </c>
      <c r="Y107" s="22">
        <v>0.3</v>
      </c>
      <c r="Z107" s="31" t="s">
        <v>11</v>
      </c>
      <c r="AA107" s="22">
        <v>0.28499999999999998</v>
      </c>
      <c r="AB107" s="42">
        <v>0.30099999999999999</v>
      </c>
      <c r="AC107" s="58" t="s">
        <v>11</v>
      </c>
      <c r="AD107" s="31" t="s">
        <v>11</v>
      </c>
      <c r="AE107" s="22">
        <v>0.28799999999999998</v>
      </c>
      <c r="AF107" s="22">
        <v>0.315</v>
      </c>
      <c r="AG107" s="55" t="s">
        <v>11</v>
      </c>
      <c r="AH107" s="45">
        <v>0.315</v>
      </c>
      <c r="AI107" s="22">
        <v>0.32600000000000001</v>
      </c>
      <c r="AJ107" s="31" t="s">
        <v>11</v>
      </c>
      <c r="AK107" s="22">
        <v>0.30399999999999999</v>
      </c>
      <c r="AL107" s="42">
        <v>0.32200000000000001</v>
      </c>
      <c r="AM107" s="58" t="s">
        <v>11</v>
      </c>
      <c r="AN107" s="31" t="s">
        <v>11</v>
      </c>
      <c r="AO107" s="95">
        <v>0.32900000000000001</v>
      </c>
      <c r="AP107" s="22">
        <v>0.318</v>
      </c>
      <c r="AQ107" s="55" t="s">
        <v>11</v>
      </c>
      <c r="AR107" s="58">
        <v>0.316</v>
      </c>
      <c r="AS107" s="22">
        <v>0.313</v>
      </c>
      <c r="AT107" s="31" t="s">
        <v>11</v>
      </c>
      <c r="AU107" s="22">
        <v>0.30599999999999999</v>
      </c>
      <c r="AV107" s="96">
        <v>0.32300000000000001</v>
      </c>
      <c r="AW107" s="58" t="s">
        <v>11</v>
      </c>
      <c r="AX107" s="22">
        <v>0.28199999999999997</v>
      </c>
      <c r="AY107" s="22">
        <v>0.28199999999999997</v>
      </c>
      <c r="AZ107" s="31" t="s">
        <v>11</v>
      </c>
      <c r="BA107" s="42">
        <v>0.27500000000000002</v>
      </c>
      <c r="BB107" s="45">
        <v>0.29099999999999998</v>
      </c>
      <c r="BC107" s="31" t="s">
        <v>11</v>
      </c>
      <c r="BD107" s="22">
        <v>0.31</v>
      </c>
      <c r="BE107" s="22">
        <v>0.28399999999999997</v>
      </c>
      <c r="BF107" s="55" t="s">
        <v>11</v>
      </c>
      <c r="BG107" s="45">
        <v>0.28699999999999998</v>
      </c>
      <c r="BH107" s="31">
        <v>0.35699999999999998</v>
      </c>
      <c r="BI107" s="31" t="s">
        <v>11</v>
      </c>
      <c r="BJ107" s="31">
        <v>0.35799999999999998</v>
      </c>
      <c r="BK107" s="42">
        <v>0.29399999999999998</v>
      </c>
      <c r="BL107" s="58" t="s">
        <v>11</v>
      </c>
      <c r="BM107" s="55" t="s">
        <v>11</v>
      </c>
      <c r="BN107" s="167">
        <f t="shared" si="68"/>
        <v>0.30592105263157882</v>
      </c>
      <c r="BO107" s="167">
        <f t="shared" si="69"/>
        <v>0.26800000000000002</v>
      </c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65"/>
      <c r="B108" s="8" t="s">
        <v>48</v>
      </c>
      <c r="C108" s="12" t="s">
        <v>14</v>
      </c>
      <c r="D108" s="51" t="s">
        <v>11</v>
      </c>
      <c r="E108" s="52" t="s">
        <v>11</v>
      </c>
      <c r="F108" s="39">
        <v>0.315</v>
      </c>
      <c r="G108" s="39">
        <v>0.29299999999999998</v>
      </c>
      <c r="H108" s="53" t="s">
        <v>11</v>
      </c>
      <c r="I108" s="57">
        <v>0.32200000000000001</v>
      </c>
      <c r="J108" s="52">
        <v>0.317</v>
      </c>
      <c r="K108" s="52" t="s">
        <v>11</v>
      </c>
      <c r="L108" s="39">
        <v>0.308</v>
      </c>
      <c r="M108" s="40">
        <v>0.28999999999999998</v>
      </c>
      <c r="N108" s="57" t="s">
        <v>11</v>
      </c>
      <c r="O108" s="39">
        <v>0.30099999999999999</v>
      </c>
      <c r="P108" s="39">
        <v>0.28999999999999998</v>
      </c>
      <c r="Q108" s="52" t="s">
        <v>11</v>
      </c>
      <c r="R108" s="40">
        <v>0.30299999999999999</v>
      </c>
      <c r="S108" s="44">
        <v>0.307</v>
      </c>
      <c r="T108" s="52" t="s">
        <v>11</v>
      </c>
      <c r="U108" s="39">
        <v>0.309</v>
      </c>
      <c r="V108" s="39">
        <v>0.315</v>
      </c>
      <c r="W108" s="53" t="s">
        <v>11</v>
      </c>
      <c r="X108" s="44">
        <v>0.30599999999999999</v>
      </c>
      <c r="Y108" s="39">
        <v>0.315</v>
      </c>
      <c r="Z108" s="52" t="s">
        <v>11</v>
      </c>
      <c r="AA108" s="39">
        <v>0.28699999999999998</v>
      </c>
      <c r="AB108" s="40">
        <v>0.28399999999999997</v>
      </c>
      <c r="AC108" s="57" t="s">
        <v>11</v>
      </c>
      <c r="AD108" s="52" t="s">
        <v>11</v>
      </c>
      <c r="AE108" s="39">
        <v>0.28999999999999998</v>
      </c>
      <c r="AF108" s="98">
        <v>0.33100000000000002</v>
      </c>
      <c r="AG108" s="53" t="s">
        <v>11</v>
      </c>
      <c r="AH108" s="44">
        <v>0.3</v>
      </c>
      <c r="AI108" s="39">
        <v>0.29199999999999998</v>
      </c>
      <c r="AJ108" s="52" t="s">
        <v>11</v>
      </c>
      <c r="AK108" s="39">
        <v>0.27800000000000002</v>
      </c>
      <c r="AL108" s="40">
        <v>0.309</v>
      </c>
      <c r="AM108" s="57" t="s">
        <v>11</v>
      </c>
      <c r="AN108" s="52" t="s">
        <v>11</v>
      </c>
      <c r="AO108" s="98">
        <v>0.32200000000000001</v>
      </c>
      <c r="AP108" s="39">
        <v>0.307</v>
      </c>
      <c r="AQ108" s="53" t="s">
        <v>11</v>
      </c>
      <c r="AR108" s="44">
        <v>0.29799999999999999</v>
      </c>
      <c r="AS108" s="39">
        <v>0.30099999999999999</v>
      </c>
      <c r="AT108" s="52" t="s">
        <v>11</v>
      </c>
      <c r="AU108" s="98">
        <v>0.32</v>
      </c>
      <c r="AV108" s="40">
        <v>0.312</v>
      </c>
      <c r="AW108" s="57" t="s">
        <v>11</v>
      </c>
      <c r="AX108" s="39">
        <v>0.3</v>
      </c>
      <c r="AY108" s="39">
        <v>0.27700000000000002</v>
      </c>
      <c r="AZ108" s="52" t="s">
        <v>11</v>
      </c>
      <c r="BA108" s="40">
        <v>0.28999999999999998</v>
      </c>
      <c r="BB108" s="97">
        <v>0.317</v>
      </c>
      <c r="BC108" s="52" t="s">
        <v>11</v>
      </c>
      <c r="BD108" s="98">
        <v>0.31900000000000001</v>
      </c>
      <c r="BE108" s="39">
        <v>0.308</v>
      </c>
      <c r="BF108" s="53" t="s">
        <v>11</v>
      </c>
      <c r="BG108" s="44">
        <v>0.28399999999999997</v>
      </c>
      <c r="BH108" s="52">
        <v>0.317</v>
      </c>
      <c r="BI108" s="52" t="s">
        <v>11</v>
      </c>
      <c r="BJ108" s="52">
        <v>0.35899999999999999</v>
      </c>
      <c r="BK108" s="40">
        <v>0.29799999999999999</v>
      </c>
      <c r="BL108" s="57" t="s">
        <v>11</v>
      </c>
      <c r="BM108" s="53" t="s">
        <v>11</v>
      </c>
      <c r="BN108" s="168">
        <f t="shared" si="68"/>
        <v>0.30480701754385953</v>
      </c>
      <c r="BO108" s="168">
        <f t="shared" si="69"/>
        <v>0.26800000000000002</v>
      </c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43</v>
      </c>
      <c r="B109" s="6" t="s">
        <v>17</v>
      </c>
      <c r="C109" s="11" t="s">
        <v>10</v>
      </c>
      <c r="D109" s="48" t="s">
        <v>11</v>
      </c>
      <c r="E109" s="49" t="s">
        <v>11</v>
      </c>
      <c r="F109" s="36">
        <v>0.27200000000000002</v>
      </c>
      <c r="G109" s="36">
        <v>0.316</v>
      </c>
      <c r="H109" s="50" t="s">
        <v>11</v>
      </c>
      <c r="I109" s="56">
        <v>0.30599999999999999</v>
      </c>
      <c r="J109" s="36">
        <v>0.28399999999999997</v>
      </c>
      <c r="K109" s="49" t="s">
        <v>11</v>
      </c>
      <c r="L109" s="36">
        <v>0.308</v>
      </c>
      <c r="M109" s="37">
        <v>0.3</v>
      </c>
      <c r="N109" s="56" t="s">
        <v>11</v>
      </c>
      <c r="O109" s="36">
        <v>0.29599999999999999</v>
      </c>
      <c r="P109" s="36">
        <v>0.309</v>
      </c>
      <c r="Q109" s="49" t="s">
        <v>11</v>
      </c>
      <c r="R109" s="37">
        <v>0.312</v>
      </c>
      <c r="S109" s="43">
        <v>0.318</v>
      </c>
      <c r="T109" s="49" t="s">
        <v>11</v>
      </c>
      <c r="U109" s="36">
        <v>0.26900000000000002</v>
      </c>
      <c r="V109" s="93">
        <v>0.32300000000000001</v>
      </c>
      <c r="W109" s="50" t="s">
        <v>11</v>
      </c>
      <c r="X109" s="43">
        <v>0.27800000000000002</v>
      </c>
      <c r="Y109" s="36">
        <v>0.311</v>
      </c>
      <c r="Z109" s="49" t="s">
        <v>11</v>
      </c>
      <c r="AA109" s="36">
        <v>0.27700000000000002</v>
      </c>
      <c r="AB109" s="37">
        <v>0.29799999999999999</v>
      </c>
      <c r="AC109" s="56" t="s">
        <v>11</v>
      </c>
      <c r="AD109" s="49" t="s">
        <v>11</v>
      </c>
      <c r="AE109" s="36">
        <v>0.29099999999999998</v>
      </c>
      <c r="AF109" s="93">
        <v>0.32700000000000001</v>
      </c>
      <c r="AG109" s="50" t="s">
        <v>11</v>
      </c>
      <c r="AH109" s="43">
        <v>0.32500000000000001</v>
      </c>
      <c r="AI109" s="36">
        <v>0.307</v>
      </c>
      <c r="AJ109" s="49" t="s">
        <v>11</v>
      </c>
      <c r="AK109" s="36">
        <v>0.32400000000000001</v>
      </c>
      <c r="AL109" s="37">
        <v>0.311</v>
      </c>
      <c r="AM109" s="56" t="s">
        <v>11</v>
      </c>
      <c r="AN109" s="49" t="s">
        <v>11</v>
      </c>
      <c r="AO109" s="93">
        <v>0.33</v>
      </c>
      <c r="AP109" s="36">
        <v>0.32200000000000001</v>
      </c>
      <c r="AQ109" s="50" t="s">
        <v>11</v>
      </c>
      <c r="AR109" s="43">
        <v>0.30599999999999999</v>
      </c>
      <c r="AS109" s="49">
        <v>0.316</v>
      </c>
      <c r="AT109" s="49" t="s">
        <v>11</v>
      </c>
      <c r="AU109" s="36">
        <v>0.32200000000000001</v>
      </c>
      <c r="AV109" s="37">
        <v>0.315</v>
      </c>
      <c r="AW109" s="56" t="s">
        <v>11</v>
      </c>
      <c r="AX109" s="36">
        <v>0.30199999999999999</v>
      </c>
      <c r="AY109" s="36">
        <v>0.31</v>
      </c>
      <c r="AZ109" s="49" t="s">
        <v>11</v>
      </c>
      <c r="BA109" s="50">
        <v>0.32300000000000001</v>
      </c>
      <c r="BB109" s="56">
        <v>0.33900000000000002</v>
      </c>
      <c r="BC109" s="49" t="s">
        <v>11</v>
      </c>
      <c r="BD109" s="36">
        <v>0.26800000000000002</v>
      </c>
      <c r="BE109" s="36">
        <v>0.29499999999999998</v>
      </c>
      <c r="BF109" s="50" t="s">
        <v>11</v>
      </c>
      <c r="BG109" s="43">
        <v>0.28699999999999998</v>
      </c>
      <c r="BH109" s="93">
        <v>0.33</v>
      </c>
      <c r="BI109" s="49" t="s">
        <v>11</v>
      </c>
      <c r="BJ109" s="36">
        <v>0.29399999999999998</v>
      </c>
      <c r="BK109" s="100">
        <v>0.32200000000000001</v>
      </c>
      <c r="BL109" s="56" t="s">
        <v>11</v>
      </c>
      <c r="BM109" s="50" t="s">
        <v>11</v>
      </c>
      <c r="BN109" s="166">
        <f t="shared" ref="BN109:BN111" si="70">IFERROR(AVERAGE(D109:BM111),0)</f>
        <v>0.30450877192982467</v>
      </c>
      <c r="BO109" s="166">
        <f t="shared" ref="BO109:BO111" si="71">MIN(D109:BM111)</f>
        <v>0.26</v>
      </c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65">
        <v>8.3000000000000004E-2</v>
      </c>
      <c r="B110" s="7" t="s">
        <v>12</v>
      </c>
      <c r="C110" s="11" t="s">
        <v>8</v>
      </c>
      <c r="D110" s="54" t="s">
        <v>11</v>
      </c>
      <c r="E110" s="31" t="s">
        <v>11</v>
      </c>
      <c r="F110" s="22">
        <v>0.28899999999999998</v>
      </c>
      <c r="G110" s="22">
        <v>0.31</v>
      </c>
      <c r="H110" s="55" t="s">
        <v>11</v>
      </c>
      <c r="I110" s="45">
        <v>0.32200000000000001</v>
      </c>
      <c r="J110" s="22">
        <v>0.27500000000000002</v>
      </c>
      <c r="K110" s="31" t="s">
        <v>11</v>
      </c>
      <c r="L110" s="22">
        <v>0.314</v>
      </c>
      <c r="M110" s="42">
        <v>0.30199999999999999</v>
      </c>
      <c r="N110" s="58" t="s">
        <v>11</v>
      </c>
      <c r="O110" s="22">
        <v>0.30399999999999999</v>
      </c>
      <c r="P110" s="22">
        <v>0.30499999999999999</v>
      </c>
      <c r="Q110" s="31" t="s">
        <v>11</v>
      </c>
      <c r="R110" s="42">
        <v>0.29599999999999999</v>
      </c>
      <c r="S110" s="45">
        <v>0.28699999999999998</v>
      </c>
      <c r="T110" s="31" t="s">
        <v>11</v>
      </c>
      <c r="U110" s="22">
        <v>0.28699999999999998</v>
      </c>
      <c r="V110" s="22">
        <v>0.29399999999999998</v>
      </c>
      <c r="W110" s="55" t="s">
        <v>11</v>
      </c>
      <c r="X110" s="45">
        <v>0.28699999999999998</v>
      </c>
      <c r="Y110" s="22">
        <v>0.28899999999999998</v>
      </c>
      <c r="Z110" s="31" t="s">
        <v>11</v>
      </c>
      <c r="AA110" s="22">
        <v>0.29799999999999999</v>
      </c>
      <c r="AB110" s="42">
        <v>0.312</v>
      </c>
      <c r="AC110" s="58" t="s">
        <v>11</v>
      </c>
      <c r="AD110" s="31" t="s">
        <v>11</v>
      </c>
      <c r="AE110" s="22">
        <v>0.28999999999999998</v>
      </c>
      <c r="AF110" s="22">
        <v>0.30599999999999999</v>
      </c>
      <c r="AG110" s="55" t="s">
        <v>11</v>
      </c>
      <c r="AH110" s="45">
        <v>0.32</v>
      </c>
      <c r="AI110" s="22">
        <v>0.32</v>
      </c>
      <c r="AJ110" s="31" t="s">
        <v>11</v>
      </c>
      <c r="AK110" s="22">
        <v>0.30099999999999999</v>
      </c>
      <c r="AL110" s="42">
        <v>0.30399999999999999</v>
      </c>
      <c r="AM110" s="58" t="s">
        <v>11</v>
      </c>
      <c r="AN110" s="31" t="s">
        <v>11</v>
      </c>
      <c r="AO110" s="31">
        <v>0.34599999999999997</v>
      </c>
      <c r="AP110" s="95">
        <v>0.32300000000000001</v>
      </c>
      <c r="AQ110" s="55" t="s">
        <v>11</v>
      </c>
      <c r="AR110" s="45">
        <v>0.27900000000000003</v>
      </c>
      <c r="AS110" s="22">
        <v>0.29699999999999999</v>
      </c>
      <c r="AT110" s="31" t="s">
        <v>11</v>
      </c>
      <c r="AU110" s="22">
        <v>0.309</v>
      </c>
      <c r="AV110" s="42">
        <v>0.31</v>
      </c>
      <c r="AW110" s="58" t="s">
        <v>11</v>
      </c>
      <c r="AX110" s="22">
        <v>0.27900000000000003</v>
      </c>
      <c r="AY110" s="22">
        <v>0.316</v>
      </c>
      <c r="AZ110" s="31" t="s">
        <v>11</v>
      </c>
      <c r="BA110" s="42">
        <v>0.28000000000000003</v>
      </c>
      <c r="BB110" s="45">
        <v>0.311</v>
      </c>
      <c r="BC110" s="31" t="s">
        <v>11</v>
      </c>
      <c r="BD110" s="22">
        <v>0.28799999999999998</v>
      </c>
      <c r="BE110" s="22">
        <v>0.30399999999999999</v>
      </c>
      <c r="BF110" s="55" t="s">
        <v>11</v>
      </c>
      <c r="BG110" s="45">
        <v>0.307</v>
      </c>
      <c r="BH110" s="95">
        <v>0.317</v>
      </c>
      <c r="BI110" s="31" t="s">
        <v>11</v>
      </c>
      <c r="BJ110" s="22">
        <v>0.318</v>
      </c>
      <c r="BK110" s="96">
        <v>0.318</v>
      </c>
      <c r="BL110" s="58" t="s">
        <v>11</v>
      </c>
      <c r="BM110" s="55" t="s">
        <v>11</v>
      </c>
      <c r="BN110" s="167">
        <f t="shared" si="70"/>
        <v>0.30656521739130438</v>
      </c>
      <c r="BO110" s="167">
        <f t="shared" si="71"/>
        <v>0.23899999999999999</v>
      </c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65"/>
      <c r="B111" s="8" t="s">
        <v>48</v>
      </c>
      <c r="C111" s="12" t="s">
        <v>14</v>
      </c>
      <c r="D111" s="51" t="s">
        <v>11</v>
      </c>
      <c r="E111" s="52" t="s">
        <v>11</v>
      </c>
      <c r="F111" s="39">
        <v>0.30399999999999999</v>
      </c>
      <c r="G111" s="52">
        <v>0.31</v>
      </c>
      <c r="H111" s="53" t="s">
        <v>11</v>
      </c>
      <c r="I111" s="44">
        <v>0.32100000000000001</v>
      </c>
      <c r="J111" s="39">
        <v>0.28299999999999997</v>
      </c>
      <c r="K111" s="52" t="s">
        <v>11</v>
      </c>
      <c r="L111" s="39">
        <v>0.30499999999999999</v>
      </c>
      <c r="M111" s="40">
        <v>0.311</v>
      </c>
      <c r="N111" s="57" t="s">
        <v>11</v>
      </c>
      <c r="O111" s="39">
        <v>0.30099999999999999</v>
      </c>
      <c r="P111" s="39">
        <v>0.28299999999999997</v>
      </c>
      <c r="Q111" s="52" t="s">
        <v>11</v>
      </c>
      <c r="R111" s="40">
        <v>0.311</v>
      </c>
      <c r="S111" s="44">
        <v>0.29099999999999998</v>
      </c>
      <c r="T111" s="52" t="s">
        <v>11</v>
      </c>
      <c r="U111" s="39">
        <v>0.29899999999999999</v>
      </c>
      <c r="V111" s="39">
        <v>0.308</v>
      </c>
      <c r="W111" s="53" t="s">
        <v>11</v>
      </c>
      <c r="X111" s="44">
        <v>0.30099999999999999</v>
      </c>
      <c r="Y111" s="39">
        <v>0.3</v>
      </c>
      <c r="Z111" s="52" t="s">
        <v>11</v>
      </c>
      <c r="AA111" s="39">
        <v>0.309</v>
      </c>
      <c r="AB111" s="40">
        <v>0.26</v>
      </c>
      <c r="AC111" s="57" t="s">
        <v>11</v>
      </c>
      <c r="AD111" s="52" t="s">
        <v>11</v>
      </c>
      <c r="AE111" s="39">
        <v>0.311</v>
      </c>
      <c r="AF111" s="39">
        <v>0.32400000000000001</v>
      </c>
      <c r="AG111" s="53" t="s">
        <v>11</v>
      </c>
      <c r="AH111" s="44">
        <v>0.32400000000000001</v>
      </c>
      <c r="AI111" s="39">
        <v>0.29499999999999998</v>
      </c>
      <c r="AJ111" s="52" t="s">
        <v>11</v>
      </c>
      <c r="AK111" s="39">
        <v>0.30199999999999999</v>
      </c>
      <c r="AL111" s="40">
        <v>0.32500000000000001</v>
      </c>
      <c r="AM111" s="57" t="s">
        <v>11</v>
      </c>
      <c r="AN111" s="52" t="s">
        <v>11</v>
      </c>
      <c r="AO111" s="39">
        <v>0.311</v>
      </c>
      <c r="AP111" s="39">
        <v>0.32300000000000001</v>
      </c>
      <c r="AQ111" s="53" t="s">
        <v>11</v>
      </c>
      <c r="AR111" s="97">
        <v>0.33400000000000002</v>
      </c>
      <c r="AS111" s="39">
        <v>0.28999999999999998</v>
      </c>
      <c r="AT111" s="52" t="s">
        <v>11</v>
      </c>
      <c r="AU111" s="39">
        <v>0.313</v>
      </c>
      <c r="AV111" s="40">
        <v>0.28899999999999998</v>
      </c>
      <c r="AW111" s="57" t="s">
        <v>11</v>
      </c>
      <c r="AX111" s="39">
        <v>0.29399999999999998</v>
      </c>
      <c r="AY111" s="39">
        <v>0.28699999999999998</v>
      </c>
      <c r="AZ111" s="52" t="s">
        <v>11</v>
      </c>
      <c r="BA111" s="40">
        <v>0.28799999999999998</v>
      </c>
      <c r="BB111" s="44">
        <v>0.30099999999999999</v>
      </c>
      <c r="BC111" s="52" t="s">
        <v>11</v>
      </c>
      <c r="BD111" s="39">
        <v>0.27500000000000002</v>
      </c>
      <c r="BE111" s="98">
        <v>0.30399999999999999</v>
      </c>
      <c r="BF111" s="53" t="s">
        <v>11</v>
      </c>
      <c r="BG111" s="44">
        <v>0.32300000000000001</v>
      </c>
      <c r="BH111" s="98">
        <v>0.32500000000000001</v>
      </c>
      <c r="BI111" s="52" t="s">
        <v>11</v>
      </c>
      <c r="BJ111" s="39">
        <v>0.3</v>
      </c>
      <c r="BK111" s="99">
        <v>0.32200000000000001</v>
      </c>
      <c r="BL111" s="57" t="s">
        <v>11</v>
      </c>
      <c r="BM111" s="53" t="s">
        <v>11</v>
      </c>
      <c r="BN111" s="168">
        <f t="shared" si="70"/>
        <v>0.30693209876543198</v>
      </c>
      <c r="BO111" s="168">
        <f t="shared" si="71"/>
        <v>0.23100000000000001</v>
      </c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43</v>
      </c>
      <c r="B112" s="6"/>
      <c r="C112" s="11" t="s">
        <v>10</v>
      </c>
      <c r="D112" s="48">
        <v>0.35699999999999998</v>
      </c>
      <c r="E112" s="49">
        <v>0.313</v>
      </c>
      <c r="F112" s="49">
        <v>0.33500000000000002</v>
      </c>
      <c r="G112" s="49">
        <v>0.32900000000000001</v>
      </c>
      <c r="H112" s="37">
        <v>0.307</v>
      </c>
      <c r="I112" s="56">
        <v>0.34300000000000003</v>
      </c>
      <c r="J112" s="36">
        <v>0.28999999999999998</v>
      </c>
      <c r="K112" s="36">
        <v>0.32700000000000001</v>
      </c>
      <c r="L112" s="36">
        <v>0.28699999999999998</v>
      </c>
      <c r="M112" s="37">
        <v>0.28499999999999998</v>
      </c>
      <c r="N112" s="43">
        <v>0.32</v>
      </c>
      <c r="O112" s="36">
        <v>0.28100000000000003</v>
      </c>
      <c r="P112" s="36">
        <v>0.30499999999999999</v>
      </c>
      <c r="Q112" s="36">
        <v>0.311</v>
      </c>
      <c r="R112" s="37">
        <v>0.29199999999999998</v>
      </c>
      <c r="S112" s="43">
        <v>0.28699999999999998</v>
      </c>
      <c r="T112" s="36">
        <v>0.32400000000000001</v>
      </c>
      <c r="U112" s="36">
        <v>0.32100000000000001</v>
      </c>
      <c r="V112" s="36">
        <v>0.32200000000000001</v>
      </c>
      <c r="W112" s="50">
        <v>0.312</v>
      </c>
      <c r="X112" s="56">
        <v>0.32200000000000001</v>
      </c>
      <c r="Y112" s="36">
        <v>0.32400000000000001</v>
      </c>
      <c r="Z112" s="49">
        <v>0.30499999999999999</v>
      </c>
      <c r="AA112" s="49">
        <v>0.24299999999999999</v>
      </c>
      <c r="AB112" s="37">
        <v>0.246</v>
      </c>
      <c r="AC112" s="56">
        <v>0.23899999999999999</v>
      </c>
      <c r="AD112" s="49">
        <v>0.31</v>
      </c>
      <c r="AE112" s="49">
        <v>0.29699999999999999</v>
      </c>
      <c r="AF112" s="49">
        <v>0.35199999999999998</v>
      </c>
      <c r="AG112" s="37">
        <v>0.29599999999999999</v>
      </c>
      <c r="AH112" s="43">
        <v>0.32100000000000001</v>
      </c>
      <c r="AI112" s="36">
        <v>0.29699999999999999</v>
      </c>
      <c r="AJ112" s="49">
        <v>0.30499999999999999</v>
      </c>
      <c r="AK112" s="49">
        <v>0.314</v>
      </c>
      <c r="AL112" s="50">
        <v>0.30299999999999999</v>
      </c>
      <c r="AM112" s="56">
        <v>0.32600000000000001</v>
      </c>
      <c r="AN112" s="49">
        <v>0.308</v>
      </c>
      <c r="AO112" s="93">
        <v>0.36</v>
      </c>
      <c r="AP112" s="49">
        <v>0.32600000000000001</v>
      </c>
      <c r="AQ112" s="50">
        <v>0.315</v>
      </c>
      <c r="AR112" s="56">
        <v>0.32500000000000001</v>
      </c>
      <c r="AS112" s="36">
        <v>0.26700000000000002</v>
      </c>
      <c r="AT112" s="36">
        <v>0.316</v>
      </c>
      <c r="AU112" s="49">
        <v>0.30199999999999999</v>
      </c>
      <c r="AV112" s="50">
        <v>0.31</v>
      </c>
      <c r="AW112" s="43">
        <v>0.28000000000000003</v>
      </c>
      <c r="AX112" s="49">
        <v>0.317</v>
      </c>
      <c r="AY112" s="49">
        <v>0.29199999999999998</v>
      </c>
      <c r="AZ112" s="36">
        <v>0.26400000000000001</v>
      </c>
      <c r="BA112" s="50">
        <v>0.312</v>
      </c>
      <c r="BB112" s="56">
        <v>0.30499999999999999</v>
      </c>
      <c r="BC112" s="36">
        <v>0.27</v>
      </c>
      <c r="BD112" s="36">
        <v>0.28499999999999998</v>
      </c>
      <c r="BE112" s="36">
        <v>0.312</v>
      </c>
      <c r="BF112" s="100">
        <v>0.34799999999999998</v>
      </c>
      <c r="BG112" s="56">
        <v>0.33400000000000002</v>
      </c>
      <c r="BH112" s="93">
        <v>0.35499999999999998</v>
      </c>
      <c r="BI112" s="49">
        <v>0.30599999999999999</v>
      </c>
      <c r="BJ112" s="49">
        <v>0.33800000000000002</v>
      </c>
      <c r="BK112" s="50">
        <v>0.35899999999999999</v>
      </c>
      <c r="BL112" s="56">
        <v>0.35299999999999998</v>
      </c>
      <c r="BM112" s="50">
        <v>0.32800000000000001</v>
      </c>
      <c r="BN112" s="166">
        <f t="shared" ref="BN112:BN114" si="72">IFERROR(AVERAGE(D112:BM114),0)</f>
        <v>0.30797849462365595</v>
      </c>
      <c r="BO112" s="166">
        <f t="shared" ref="BO112:BO114" si="73">MIN(D112:BM114)</f>
        <v>0.23100000000000001</v>
      </c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65">
        <v>8.3000000000000004E-2</v>
      </c>
      <c r="B113" s="7" t="s">
        <v>49</v>
      </c>
      <c r="C113" s="11" t="s">
        <v>8</v>
      </c>
      <c r="D113" s="54">
        <v>0.35399999999999998</v>
      </c>
      <c r="E113" s="31">
        <v>0.32300000000000001</v>
      </c>
      <c r="F113" s="31">
        <v>0.33600000000000002</v>
      </c>
      <c r="G113" s="31">
        <v>0.38700000000000001</v>
      </c>
      <c r="H113" s="42">
        <v>0.32600000000000001</v>
      </c>
      <c r="I113" s="45">
        <v>0.318</v>
      </c>
      <c r="J113" s="22">
        <v>0.28799999999999998</v>
      </c>
      <c r="K113" s="22">
        <v>0.30299999999999999</v>
      </c>
      <c r="L113" s="31">
        <v>0.28499999999999998</v>
      </c>
      <c r="M113" s="42">
        <v>0.28399999999999997</v>
      </c>
      <c r="N113" s="94">
        <v>0.34599999999999997</v>
      </c>
      <c r="O113" s="22">
        <v>0.27800000000000002</v>
      </c>
      <c r="P113" s="31">
        <v>0.32100000000000001</v>
      </c>
      <c r="Q113" s="95">
        <v>0.36</v>
      </c>
      <c r="R113" s="42">
        <v>0.29599999999999999</v>
      </c>
      <c r="S113" s="58">
        <v>0.28899999999999998</v>
      </c>
      <c r="T113" s="22">
        <v>0.3</v>
      </c>
      <c r="U113" s="22">
        <v>0.26</v>
      </c>
      <c r="V113" s="22">
        <v>0.27300000000000002</v>
      </c>
      <c r="W113" s="55">
        <v>0.311</v>
      </c>
      <c r="X113" s="45">
        <v>0.32800000000000001</v>
      </c>
      <c r="Y113" s="31">
        <v>0.311</v>
      </c>
      <c r="Z113" s="95">
        <v>0.35199999999999998</v>
      </c>
      <c r="AA113" s="31">
        <v>0.23100000000000001</v>
      </c>
      <c r="AB113" s="55">
        <v>0.27800000000000002</v>
      </c>
      <c r="AC113" s="58">
        <v>0.29199999999999998</v>
      </c>
      <c r="AD113" s="31">
        <v>0.27100000000000002</v>
      </c>
      <c r="AE113" s="22">
        <v>0.246</v>
      </c>
      <c r="AF113" s="31">
        <v>0.34799999999999998</v>
      </c>
      <c r="AG113" s="55">
        <v>0.312</v>
      </c>
      <c r="AH113" s="58">
        <v>0.28899999999999998</v>
      </c>
      <c r="AI113" s="31">
        <v>0.27700000000000002</v>
      </c>
      <c r="AJ113" s="22">
        <v>0.31</v>
      </c>
      <c r="AK113" s="31">
        <v>0.27800000000000002</v>
      </c>
      <c r="AL113" s="42">
        <v>0.33200000000000002</v>
      </c>
      <c r="AM113" s="45">
        <v>0.315</v>
      </c>
      <c r="AN113" s="31">
        <v>0.30599999999999999</v>
      </c>
      <c r="AO113" s="95">
        <v>0.35599999999999998</v>
      </c>
      <c r="AP113" s="22">
        <v>0.30599999999999999</v>
      </c>
      <c r="AQ113" s="42">
        <v>0.26700000000000002</v>
      </c>
      <c r="AR113" s="58">
        <v>0.308</v>
      </c>
      <c r="AS113" s="31">
        <v>0.30599999999999999</v>
      </c>
      <c r="AT113" s="31">
        <v>0.29799999999999999</v>
      </c>
      <c r="AU113" s="22">
        <v>0.28199999999999997</v>
      </c>
      <c r="AV113" s="42">
        <v>0.30599999999999999</v>
      </c>
      <c r="AW113" s="45">
        <v>0.27400000000000002</v>
      </c>
      <c r="AX113" s="31">
        <v>0.27600000000000002</v>
      </c>
      <c r="AY113" s="22">
        <v>0.28699999999999998</v>
      </c>
      <c r="AZ113" s="22">
        <v>0.27600000000000002</v>
      </c>
      <c r="BA113" s="55">
        <v>0.308</v>
      </c>
      <c r="BB113" s="45">
        <v>0.27600000000000002</v>
      </c>
      <c r="BC113" s="22">
        <v>0.29499999999999998</v>
      </c>
      <c r="BD113" s="22">
        <v>0.26900000000000002</v>
      </c>
      <c r="BE113" s="22">
        <v>0.28499999999999998</v>
      </c>
      <c r="BF113" s="55">
        <v>0.32400000000000001</v>
      </c>
      <c r="BG113" s="94">
        <v>0.34599999999999997</v>
      </c>
      <c r="BH113" s="31">
        <v>0.31</v>
      </c>
      <c r="BI113" s="31">
        <v>0.312</v>
      </c>
      <c r="BJ113" s="31">
        <v>0.34300000000000003</v>
      </c>
      <c r="BK113" s="55">
        <v>0.33900000000000002</v>
      </c>
      <c r="BL113" s="58">
        <v>0.33800000000000002</v>
      </c>
      <c r="BM113" s="55">
        <v>0.33</v>
      </c>
      <c r="BN113" s="167">
        <f t="shared" si="72"/>
        <v>10.704564516129032</v>
      </c>
      <c r="BO113" s="167">
        <f t="shared" si="73"/>
        <v>0.23100000000000001</v>
      </c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65"/>
      <c r="B114" s="8"/>
      <c r="C114" s="12" t="s">
        <v>14</v>
      </c>
      <c r="D114" s="51">
        <v>0.35499999999999998</v>
      </c>
      <c r="E114" s="52">
        <v>0.32100000000000001</v>
      </c>
      <c r="F114" s="52">
        <v>0.34699999999999998</v>
      </c>
      <c r="G114" s="52">
        <v>0.33900000000000002</v>
      </c>
      <c r="H114" s="40">
        <v>0.316</v>
      </c>
      <c r="I114" s="57">
        <v>0.33900000000000002</v>
      </c>
      <c r="J114" s="39">
        <v>0.312</v>
      </c>
      <c r="K114" s="39">
        <v>0.31</v>
      </c>
      <c r="L114" s="39">
        <v>0.29699999999999999</v>
      </c>
      <c r="M114" s="40">
        <v>0.29699999999999999</v>
      </c>
      <c r="N114" s="57">
        <v>0.32</v>
      </c>
      <c r="O114" s="39">
        <v>0.30099999999999999</v>
      </c>
      <c r="P114" s="39">
        <v>0.30499999999999999</v>
      </c>
      <c r="Q114" s="52">
        <v>0.30599999999999999</v>
      </c>
      <c r="R114" s="53">
        <v>0.29899999999999999</v>
      </c>
      <c r="S114" s="44">
        <v>0.30499999999999999</v>
      </c>
      <c r="T114" s="52">
        <v>0.33500000000000002</v>
      </c>
      <c r="U114" s="52">
        <v>0.29499999999999998</v>
      </c>
      <c r="V114" s="39">
        <v>0.29799999999999999</v>
      </c>
      <c r="W114" s="53">
        <v>0.29799999999999999</v>
      </c>
      <c r="X114" s="44">
        <v>0.30399999999999999</v>
      </c>
      <c r="Y114" s="52">
        <v>0.32200000000000001</v>
      </c>
      <c r="Z114" s="52">
        <v>0.32400000000000001</v>
      </c>
      <c r="AA114" s="52">
        <v>0.24099999999999999</v>
      </c>
      <c r="AB114" s="53">
        <v>0.27100000000000002</v>
      </c>
      <c r="AC114" s="57">
        <v>0.26900000000000002</v>
      </c>
      <c r="AD114" s="52">
        <v>0.29399999999999998</v>
      </c>
      <c r="AE114" s="39">
        <v>0.30199999999999999</v>
      </c>
      <c r="AF114" s="52">
        <v>0.35099999999999998</v>
      </c>
      <c r="AG114" s="53">
        <v>0.32200000000000001</v>
      </c>
      <c r="AH114" s="57">
        <v>0.33800000000000002</v>
      </c>
      <c r="AI114" s="52">
        <v>0.29499999999999998</v>
      </c>
      <c r="AJ114" s="39">
        <v>0.28199999999999997</v>
      </c>
      <c r="AK114" s="52">
        <v>0.35199999999999998</v>
      </c>
      <c r="AL114" s="40">
        <v>0.32600000000000001</v>
      </c>
      <c r="AM114" s="44">
        <v>0.29899999999999999</v>
      </c>
      <c r="AN114" s="39">
        <v>0.246</v>
      </c>
      <c r="AO114" s="39">
        <v>0.28499999999999998</v>
      </c>
      <c r="AP114" s="52">
        <v>0.32700000000000001</v>
      </c>
      <c r="AQ114" s="40">
        <v>0.27600000000000002</v>
      </c>
      <c r="AR114" s="44">
        <v>0.26100000000000001</v>
      </c>
      <c r="AS114" s="52">
        <v>0.317</v>
      </c>
      <c r="AT114" s="52">
        <v>0.28699999999999998</v>
      </c>
      <c r="AU114" s="52">
        <v>0.29899999999999999</v>
      </c>
      <c r="AV114" s="53">
        <v>0.28899999999999998</v>
      </c>
      <c r="AW114" s="57">
        <v>0.27300000000000002</v>
      </c>
      <c r="AX114" s="52">
        <v>0.30199999999999999</v>
      </c>
      <c r="AY114" s="39">
        <v>0.28199999999999997</v>
      </c>
      <c r="AZ114" s="52">
        <v>0.308</v>
      </c>
      <c r="BA114" s="53">
        <v>0.29899999999999999</v>
      </c>
      <c r="BB114" s="57">
        <v>0.31</v>
      </c>
      <c r="BC114" s="39">
        <v>0.27200000000000002</v>
      </c>
      <c r="BD114" s="98">
        <v>0.317</v>
      </c>
      <c r="BE114" s="39">
        <v>0.27900000000000003</v>
      </c>
      <c r="BF114" s="53">
        <v>0.32100000000000001</v>
      </c>
      <c r="BG114" s="57">
        <v>0.32700000000000001</v>
      </c>
      <c r="BH114" s="98">
        <v>0.34300000000000003</v>
      </c>
      <c r="BI114" s="52">
        <v>0.30299999999999999</v>
      </c>
      <c r="BJ114" s="52">
        <v>0.35899999999999999</v>
      </c>
      <c r="BK114" s="53">
        <v>0.35299999999999998</v>
      </c>
      <c r="BL114" s="57">
        <v>0.33700000000000002</v>
      </c>
      <c r="BM114" s="53">
        <v>0.35899999999999999</v>
      </c>
      <c r="BN114" s="168">
        <f t="shared" si="72"/>
        <v>15.904177419354838</v>
      </c>
      <c r="BO114" s="168">
        <f t="shared" si="73"/>
        <v>0.24099999999999999</v>
      </c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customHeight="1" x14ac:dyDescent="0.2">
      <c r="A115" s="163" t="s">
        <v>4</v>
      </c>
      <c r="B115" s="164"/>
      <c r="C115" s="18" t="s">
        <v>5</v>
      </c>
      <c r="D115" s="89">
        <v>1</v>
      </c>
      <c r="E115" s="90">
        <v>2</v>
      </c>
      <c r="F115" s="90">
        <v>3</v>
      </c>
      <c r="G115" s="90">
        <v>4</v>
      </c>
      <c r="H115" s="90">
        <v>5</v>
      </c>
      <c r="I115" s="90">
        <v>6</v>
      </c>
      <c r="J115" s="90">
        <v>7</v>
      </c>
      <c r="K115" s="90">
        <v>8</v>
      </c>
      <c r="L115" s="90">
        <v>9</v>
      </c>
      <c r="M115" s="90">
        <v>10</v>
      </c>
      <c r="N115" s="90">
        <v>11</v>
      </c>
      <c r="O115" s="90">
        <v>12</v>
      </c>
      <c r="P115" s="90">
        <v>13</v>
      </c>
      <c r="Q115" s="90">
        <v>14</v>
      </c>
      <c r="R115" s="90">
        <v>15</v>
      </c>
      <c r="S115" s="90">
        <v>16</v>
      </c>
      <c r="T115" s="90">
        <v>17</v>
      </c>
      <c r="U115" s="90">
        <v>18</v>
      </c>
      <c r="V115" s="90">
        <v>19</v>
      </c>
      <c r="W115" s="90">
        <v>20</v>
      </c>
      <c r="X115" s="90">
        <v>21</v>
      </c>
      <c r="Y115" s="90">
        <v>22</v>
      </c>
      <c r="Z115" s="90">
        <v>23</v>
      </c>
      <c r="AA115" s="90">
        <v>24</v>
      </c>
      <c r="AB115" s="90">
        <v>25</v>
      </c>
      <c r="AC115" s="90">
        <v>26</v>
      </c>
      <c r="AD115" s="90">
        <v>27</v>
      </c>
      <c r="AE115" s="90">
        <v>28</v>
      </c>
      <c r="AF115" s="90">
        <v>29</v>
      </c>
      <c r="AG115" s="90">
        <v>30</v>
      </c>
      <c r="AH115" s="90">
        <v>31</v>
      </c>
      <c r="AI115" s="90">
        <v>32</v>
      </c>
      <c r="AJ115" s="90">
        <v>33</v>
      </c>
      <c r="AK115" s="90">
        <v>34</v>
      </c>
      <c r="AL115" s="90">
        <v>35</v>
      </c>
      <c r="AM115" s="90">
        <v>36</v>
      </c>
      <c r="AN115" s="90">
        <v>37</v>
      </c>
      <c r="AO115" s="90">
        <v>38</v>
      </c>
      <c r="AP115" s="90">
        <v>39</v>
      </c>
      <c r="AQ115" s="90">
        <v>40</v>
      </c>
      <c r="AR115" s="90">
        <v>41</v>
      </c>
      <c r="AS115" s="90">
        <v>42</v>
      </c>
      <c r="AT115" s="90">
        <v>43</v>
      </c>
      <c r="AU115" s="90">
        <v>44</v>
      </c>
      <c r="AV115" s="90">
        <v>45</v>
      </c>
      <c r="AW115" s="90">
        <v>46</v>
      </c>
      <c r="AX115" s="90">
        <v>47</v>
      </c>
      <c r="AY115" s="90">
        <v>48</v>
      </c>
      <c r="AZ115" s="90">
        <v>49</v>
      </c>
      <c r="BA115" s="90">
        <v>50</v>
      </c>
      <c r="BB115" s="90">
        <v>51</v>
      </c>
      <c r="BC115" s="90">
        <v>52</v>
      </c>
      <c r="BD115" s="90">
        <v>53</v>
      </c>
      <c r="BE115" s="90">
        <v>54</v>
      </c>
      <c r="BF115" s="90">
        <v>55</v>
      </c>
      <c r="BG115" s="90">
        <v>56</v>
      </c>
      <c r="BH115" s="90">
        <v>57</v>
      </c>
      <c r="BI115" s="90">
        <v>58</v>
      </c>
      <c r="BJ115" s="90">
        <v>59</v>
      </c>
      <c r="BK115" s="90">
        <v>60</v>
      </c>
      <c r="BL115" s="90">
        <v>61</v>
      </c>
      <c r="BM115" s="91">
        <v>62</v>
      </c>
      <c r="BN115" s="29" t="s">
        <v>6</v>
      </c>
      <c r="BO115" s="30" t="s">
        <v>7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customHeight="1" x14ac:dyDescent="0.2">
      <c r="A118" s="9" t="s">
        <v>8</v>
      </c>
      <c r="B118" s="83" t="s">
        <v>50</v>
      </c>
      <c r="C118" s="208" t="s">
        <v>51</v>
      </c>
      <c r="D118" s="209"/>
      <c r="E118" s="209"/>
      <c r="F118" s="209"/>
      <c r="G118" s="209"/>
      <c r="H118" s="209"/>
      <c r="I118" s="209"/>
      <c r="J118" s="209"/>
      <c r="K118" s="209"/>
      <c r="L118" s="209"/>
      <c r="M118" s="210" t="s">
        <v>52</v>
      </c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2">
        <v>2.9689999999999999</v>
      </c>
      <c r="AA118" s="212"/>
      <c r="AB118" s="212"/>
      <c r="AC118" s="212"/>
      <c r="AD118" s="212"/>
      <c r="AE118" s="212"/>
      <c r="AF118" s="213"/>
      <c r="AG118" s="214" t="s">
        <v>120</v>
      </c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6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customHeight="1" x14ac:dyDescent="0.2">
      <c r="A119" s="217" t="s">
        <v>54</v>
      </c>
      <c r="B119" s="84" t="s">
        <v>55</v>
      </c>
      <c r="C119" s="218" t="s">
        <v>56</v>
      </c>
      <c r="D119" s="219"/>
      <c r="E119" s="219"/>
      <c r="F119" s="219"/>
      <c r="G119" s="219"/>
      <c r="H119" s="219"/>
      <c r="I119" s="219"/>
      <c r="J119" s="219"/>
      <c r="K119" s="219"/>
      <c r="L119" s="219"/>
      <c r="M119" s="220" t="s">
        <v>57</v>
      </c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2" t="s">
        <v>58</v>
      </c>
      <c r="AA119" s="222"/>
      <c r="AB119" s="222"/>
      <c r="AC119" s="222"/>
      <c r="AD119" s="222"/>
      <c r="AE119" s="222"/>
      <c r="AF119" s="222"/>
      <c r="AG119" s="223">
        <f>TRUNC(MAX(D4:BM6,D7:BM9,D10:BM12),3)</f>
        <v>0.20399999999999999</v>
      </c>
      <c r="AH119" s="224"/>
      <c r="AI119" s="224"/>
      <c r="AJ119" s="224"/>
      <c r="AK119" s="224"/>
      <c r="AL119" s="225" t="s">
        <v>59</v>
      </c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customHeight="1" x14ac:dyDescent="0.2">
      <c r="A120" s="217"/>
      <c r="B120" s="85" t="s">
        <v>60</v>
      </c>
      <c r="C120" s="228" t="s">
        <v>61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0" t="s">
        <v>62</v>
      </c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30">
        <v>0.18</v>
      </c>
      <c r="AA120" s="230"/>
      <c r="AB120" s="230"/>
      <c r="AC120" s="230"/>
      <c r="AD120" s="230"/>
      <c r="AE120" s="230"/>
      <c r="AF120" s="230"/>
      <c r="AG120" s="231">
        <f>TRUNC(AVERAGE(D4:BM6,D7:BM9,D10:BM12),3)</f>
        <v>0.17</v>
      </c>
      <c r="AH120" s="232"/>
      <c r="AI120" s="232"/>
      <c r="AJ120" s="232"/>
      <c r="AK120" s="232"/>
      <c r="AL120" s="233" t="s">
        <v>63</v>
      </c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5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customHeight="1" x14ac:dyDescent="0.2">
      <c r="A121" s="217"/>
      <c r="B121" s="86" t="s">
        <v>64</v>
      </c>
      <c r="C121" s="236" t="s">
        <v>65</v>
      </c>
      <c r="D121" s="237"/>
      <c r="E121" s="237"/>
      <c r="F121" s="237"/>
      <c r="G121" s="237"/>
      <c r="H121" s="237"/>
      <c r="I121" s="237"/>
      <c r="J121" s="237"/>
      <c r="K121" s="237"/>
      <c r="L121" s="237"/>
      <c r="M121" s="220" t="s">
        <v>66</v>
      </c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38">
        <v>9.9000000000000005E-2</v>
      </c>
      <c r="AA121" s="238"/>
      <c r="AB121" s="238"/>
      <c r="AC121" s="238"/>
      <c r="AD121" s="238"/>
      <c r="AE121" s="238"/>
      <c r="AF121" s="238"/>
      <c r="AG121" s="239">
        <f>TRUNC(MIN(D4:BM6,D7:BM9,D10:BM12),3)</f>
        <v>9.1999999999999998E-2</v>
      </c>
      <c r="AH121" s="232"/>
      <c r="AI121" s="232"/>
      <c r="AJ121" s="232"/>
      <c r="AK121" s="232"/>
      <c r="AL121" s="233" t="s">
        <v>67</v>
      </c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5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customHeight="1" x14ac:dyDescent="0.2">
      <c r="A122" s="217"/>
      <c r="B122" s="87" t="s">
        <v>68</v>
      </c>
      <c r="C122" s="240" t="s">
        <v>69</v>
      </c>
      <c r="D122" s="237"/>
      <c r="E122" s="237"/>
      <c r="F122" s="237"/>
      <c r="G122" s="237"/>
      <c r="H122" s="237"/>
      <c r="I122" s="237"/>
      <c r="J122" s="237"/>
      <c r="K122" s="237"/>
      <c r="L122" s="237"/>
      <c r="M122" s="241" t="s">
        <v>70</v>
      </c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3">
        <v>0.11</v>
      </c>
      <c r="AA122" s="243"/>
      <c r="AB122" s="243"/>
      <c r="AC122" s="243"/>
      <c r="AD122" s="243"/>
      <c r="AE122" s="243"/>
      <c r="AF122" s="243"/>
      <c r="AG122" s="244">
        <f>STDEV(D4:BM6,D7:BM9,D10:BM12)</f>
        <v>2.0479283484994271E-2</v>
      </c>
      <c r="AH122" s="245"/>
      <c r="AI122" s="245"/>
      <c r="AJ122" s="245"/>
      <c r="AK122" s="245"/>
      <c r="AL122" s="246" t="s">
        <v>71</v>
      </c>
      <c r="AM122" s="247"/>
      <c r="AN122" s="247"/>
      <c r="AO122" s="247"/>
      <c r="AP122" s="247"/>
      <c r="AQ122" s="247"/>
      <c r="AR122" s="247"/>
      <c r="AS122" s="247"/>
      <c r="AT122" s="247"/>
      <c r="AU122" s="247"/>
      <c r="AV122" s="248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customHeight="1" x14ac:dyDescent="0.2">
      <c r="A123" s="82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customHeight="1" x14ac:dyDescent="0.2">
      <c r="A124" s="9" t="s">
        <v>19</v>
      </c>
      <c r="B124" s="83" t="s">
        <v>72</v>
      </c>
      <c r="C124" s="208" t="s">
        <v>73</v>
      </c>
      <c r="D124" s="209"/>
      <c r="E124" s="209"/>
      <c r="F124" s="209"/>
      <c r="G124" s="209"/>
      <c r="H124" s="209"/>
      <c r="I124" s="209"/>
      <c r="J124" s="209"/>
      <c r="K124" s="209"/>
      <c r="L124" s="209"/>
      <c r="M124" s="210" t="s">
        <v>52</v>
      </c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2">
        <v>3</v>
      </c>
      <c r="AA124" s="212"/>
      <c r="AB124" s="212"/>
      <c r="AC124" s="212"/>
      <c r="AD124" s="212"/>
      <c r="AE124" s="212"/>
      <c r="AF124" s="213"/>
      <c r="AG124" s="214" t="s">
        <v>120</v>
      </c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6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customHeight="1" x14ac:dyDescent="0.2">
      <c r="A125" s="217" t="s">
        <v>54</v>
      </c>
      <c r="B125" s="84" t="s">
        <v>74</v>
      </c>
      <c r="C125" s="218" t="s">
        <v>75</v>
      </c>
      <c r="D125" s="219"/>
      <c r="E125" s="219"/>
      <c r="F125" s="219"/>
      <c r="G125" s="219"/>
      <c r="H125" s="219"/>
      <c r="I125" s="219"/>
      <c r="J125" s="219"/>
      <c r="K125" s="219"/>
      <c r="L125" s="219"/>
      <c r="M125" s="220" t="s">
        <v>57</v>
      </c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2" t="s">
        <v>76</v>
      </c>
      <c r="AA125" s="222"/>
      <c r="AB125" s="222"/>
      <c r="AC125" s="222"/>
      <c r="AD125" s="222"/>
      <c r="AE125" s="222"/>
      <c r="AF125" s="222"/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>0.34200000000000003</v>
      </c>
      <c r="AH125" s="224"/>
      <c r="AI125" s="224"/>
      <c r="AJ125" s="224"/>
      <c r="AK125" s="224"/>
      <c r="AL125" s="225" t="s">
        <v>59</v>
      </c>
      <c r="AM125" s="226"/>
      <c r="AN125" s="226"/>
      <c r="AO125" s="226"/>
      <c r="AP125" s="226"/>
      <c r="AQ125" s="226"/>
      <c r="AR125" s="226"/>
      <c r="AS125" s="226"/>
      <c r="AT125" s="226"/>
      <c r="AU125" s="226"/>
      <c r="AV125" s="22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217"/>
      <c r="B126" s="85" t="s">
        <v>77</v>
      </c>
      <c r="C126" s="228" t="s">
        <v>78</v>
      </c>
      <c r="D126" s="229"/>
      <c r="E126" s="229"/>
      <c r="F126" s="229"/>
      <c r="G126" s="229"/>
      <c r="H126" s="229"/>
      <c r="I126" s="229"/>
      <c r="J126" s="229"/>
      <c r="K126" s="229"/>
      <c r="L126" s="229"/>
      <c r="M126" s="220" t="s">
        <v>62</v>
      </c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30">
        <v>0.20300000000000001</v>
      </c>
      <c r="AA126" s="230"/>
      <c r="AB126" s="230"/>
      <c r="AC126" s="230"/>
      <c r="AD126" s="230"/>
      <c r="AE126" s="230"/>
      <c r="AF126" s="230"/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>0.20699999999999999</v>
      </c>
      <c r="AH126" s="232"/>
      <c r="AI126" s="232"/>
      <c r="AJ126" s="232"/>
      <c r="AK126" s="232"/>
      <c r="AL126" s="233" t="s">
        <v>63</v>
      </c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5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217"/>
      <c r="B127" s="86" t="s">
        <v>79</v>
      </c>
      <c r="C127" s="236" t="s">
        <v>80</v>
      </c>
      <c r="D127" s="237"/>
      <c r="E127" s="237"/>
      <c r="F127" s="237"/>
      <c r="G127" s="237"/>
      <c r="H127" s="237"/>
      <c r="I127" s="237"/>
      <c r="J127" s="237"/>
      <c r="K127" s="237"/>
      <c r="L127" s="237"/>
      <c r="M127" s="220" t="s">
        <v>66</v>
      </c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38">
        <v>8.3000000000000004E-2</v>
      </c>
      <c r="AA127" s="238"/>
      <c r="AB127" s="238"/>
      <c r="AC127" s="238"/>
      <c r="AD127" s="238"/>
      <c r="AE127" s="238"/>
      <c r="AF127" s="238"/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>1E-3</v>
      </c>
      <c r="AH127" s="232"/>
      <c r="AI127" s="232"/>
      <c r="AJ127" s="232"/>
      <c r="AK127" s="232"/>
      <c r="AL127" s="233" t="s">
        <v>67</v>
      </c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5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7"/>
      <c r="B128" s="87" t="s">
        <v>81</v>
      </c>
      <c r="C128" s="240" t="s">
        <v>82</v>
      </c>
      <c r="D128" s="237"/>
      <c r="E128" s="237"/>
      <c r="F128" s="237"/>
      <c r="G128" s="237"/>
      <c r="H128" s="237"/>
      <c r="I128" s="237"/>
      <c r="J128" s="237"/>
      <c r="K128" s="237"/>
      <c r="L128" s="237"/>
      <c r="M128" s="241" t="s">
        <v>70</v>
      </c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3">
        <v>0.1</v>
      </c>
      <c r="AA128" s="243"/>
      <c r="AB128" s="243"/>
      <c r="AC128" s="243"/>
      <c r="AD128" s="243"/>
      <c r="AE128" s="243"/>
      <c r="AF128" s="243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>3.3295786345144046E-2</v>
      </c>
      <c r="AH128" s="245"/>
      <c r="AI128" s="245"/>
      <c r="AJ128" s="245"/>
      <c r="AK128" s="245"/>
      <c r="AL128" s="246" t="s">
        <v>71</v>
      </c>
      <c r="AM128" s="247"/>
      <c r="AN128" s="247"/>
      <c r="AO128" s="247"/>
      <c r="AP128" s="247"/>
      <c r="AQ128" s="247"/>
      <c r="AR128" s="247"/>
      <c r="AS128" s="247"/>
      <c r="AT128" s="247"/>
      <c r="AU128" s="247"/>
      <c r="AV128" s="248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6" customHeight="1" x14ac:dyDescent="0.2">
      <c r="A129" s="1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24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6" customHeight="1" x14ac:dyDescent="0.2">
      <c r="A130" s="9" t="s">
        <v>43</v>
      </c>
      <c r="B130" s="83" t="s">
        <v>72</v>
      </c>
      <c r="C130" s="208" t="s">
        <v>83</v>
      </c>
      <c r="D130" s="209"/>
      <c r="E130" s="209"/>
      <c r="F130" s="209"/>
      <c r="G130" s="209"/>
      <c r="H130" s="209"/>
      <c r="I130" s="209"/>
      <c r="J130" s="209"/>
      <c r="K130" s="209"/>
      <c r="L130" s="209"/>
      <c r="M130" s="210" t="s">
        <v>52</v>
      </c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2">
        <v>3</v>
      </c>
      <c r="AA130" s="212"/>
      <c r="AB130" s="212"/>
      <c r="AC130" s="212"/>
      <c r="AD130" s="212"/>
      <c r="AE130" s="212"/>
      <c r="AF130" s="213"/>
      <c r="AG130" s="214" t="s">
        <v>120</v>
      </c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6"/>
      <c r="AW130" s="192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  <c r="BI130" s="193"/>
      <c r="BJ130" s="193"/>
      <c r="BK130" s="193"/>
      <c r="BL130" s="193"/>
      <c r="BM130" s="193"/>
      <c r="BN130" s="193"/>
      <c r="BO130" s="193"/>
      <c r="BP130" s="193"/>
      <c r="BQ130" s="193"/>
      <c r="BR130" s="184" t="s">
        <v>84</v>
      </c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5"/>
      <c r="CL130" s="319" t="str">
        <f>Thickness!CL130</f>
        <v xml:space="preserve">INTERNATIONAL PAPER </v>
      </c>
      <c r="CM130" s="320"/>
      <c r="CN130" s="320"/>
      <c r="CO130" s="320"/>
      <c r="CP130" s="320"/>
      <c r="CQ130" s="320"/>
      <c r="CR130" s="320"/>
      <c r="CS130" s="320"/>
      <c r="CT130" s="320"/>
      <c r="CU130" s="320"/>
      <c r="CV130" s="320"/>
      <c r="CW130" s="320"/>
      <c r="CX130" s="320"/>
      <c r="CY130" s="320"/>
      <c r="CZ130" s="320"/>
      <c r="DA130" s="320"/>
      <c r="DB130" s="320"/>
      <c r="DC130" s="320"/>
      <c r="DD130" s="320"/>
      <c r="DE130" s="320"/>
      <c r="DF130" s="320"/>
      <c r="DG130" s="320"/>
      <c r="DH130" s="320"/>
      <c r="DI130" s="320"/>
      <c r="DJ130" s="320"/>
      <c r="DK130" s="320"/>
      <c r="DL130" s="320"/>
      <c r="DM130" s="320"/>
      <c r="DN130" s="320"/>
      <c r="DO130" s="320"/>
      <c r="DP130" s="320"/>
      <c r="DQ130" s="320"/>
      <c r="DR130" s="320"/>
      <c r="DS130" s="320"/>
      <c r="DT130" s="320"/>
      <c r="DU130" s="320"/>
      <c r="DV130" s="320"/>
      <c r="DW130" s="320"/>
      <c r="DX130" s="320"/>
      <c r="DY130" s="320"/>
      <c r="DZ130" s="321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6" customHeight="1" x14ac:dyDescent="0.2">
      <c r="A131" s="217" t="s">
        <v>54</v>
      </c>
      <c r="B131" s="84" t="s">
        <v>86</v>
      </c>
      <c r="C131" s="218" t="s">
        <v>87</v>
      </c>
      <c r="D131" s="219"/>
      <c r="E131" s="219"/>
      <c r="F131" s="219"/>
      <c r="G131" s="219"/>
      <c r="H131" s="219"/>
      <c r="I131" s="219"/>
      <c r="J131" s="219"/>
      <c r="K131" s="219"/>
      <c r="L131" s="219"/>
      <c r="M131" s="220" t="s">
        <v>57</v>
      </c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2" t="s">
        <v>88</v>
      </c>
      <c r="AA131" s="222"/>
      <c r="AB131" s="222"/>
      <c r="AC131" s="222"/>
      <c r="AD131" s="222"/>
      <c r="AE131" s="222"/>
      <c r="AF131" s="222"/>
      <c r="AG131" s="223">
        <f>TRUNC(MAX(D91:BM93,D94:BM96,D97:BM99,D100:BM102,D103:BM105,D106:BM108,D109:BM111,D112:BM114),3)</f>
        <v>0.38700000000000001</v>
      </c>
      <c r="AH131" s="224"/>
      <c r="AI131" s="224"/>
      <c r="AJ131" s="224"/>
      <c r="AK131" s="224"/>
      <c r="AL131" s="225" t="s">
        <v>59</v>
      </c>
      <c r="AM131" s="226"/>
      <c r="AN131" s="226"/>
      <c r="AO131" s="226"/>
      <c r="AP131" s="226"/>
      <c r="AQ131" s="226"/>
      <c r="AR131" s="226"/>
      <c r="AS131" s="226"/>
      <c r="AT131" s="226"/>
      <c r="AU131" s="226"/>
      <c r="AV131" s="227"/>
      <c r="AW131" s="194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7"/>
      <c r="CL131" s="322" t="str">
        <f>Thickness!CL131</f>
        <v>RIVERDALE MILL</v>
      </c>
      <c r="CM131" s="323"/>
      <c r="CN131" s="323"/>
      <c r="CO131" s="323"/>
      <c r="CP131" s="323"/>
      <c r="CQ131" s="323"/>
      <c r="CR131" s="323"/>
      <c r="CS131" s="323"/>
      <c r="CT131" s="323"/>
      <c r="CU131" s="323"/>
      <c r="CV131" s="323"/>
      <c r="CW131" s="323"/>
      <c r="CX131" s="323"/>
      <c r="CY131" s="323"/>
      <c r="CZ131" s="323"/>
      <c r="DA131" s="323"/>
      <c r="DB131" s="323"/>
      <c r="DC131" s="323"/>
      <c r="DD131" s="323"/>
      <c r="DE131" s="323"/>
      <c r="DF131" s="323"/>
      <c r="DG131" s="323"/>
      <c r="DH131" s="323"/>
      <c r="DI131" s="323"/>
      <c r="DJ131" s="323"/>
      <c r="DK131" s="323"/>
      <c r="DL131" s="323"/>
      <c r="DM131" s="323"/>
      <c r="DN131" s="323"/>
      <c r="DO131" s="323"/>
      <c r="DP131" s="323"/>
      <c r="DQ131" s="323"/>
      <c r="DR131" s="323"/>
      <c r="DS131" s="323"/>
      <c r="DT131" s="323"/>
      <c r="DU131" s="323"/>
      <c r="DV131" s="323"/>
      <c r="DW131" s="323"/>
      <c r="DX131" s="323"/>
      <c r="DY131" s="323"/>
      <c r="DZ131" s="324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ht="36" customHeight="1" x14ac:dyDescent="0.2">
      <c r="A132" s="217"/>
      <c r="B132" s="85" t="s">
        <v>90</v>
      </c>
      <c r="C132" s="228" t="s">
        <v>91</v>
      </c>
      <c r="D132" s="229"/>
      <c r="E132" s="229"/>
      <c r="F132" s="229"/>
      <c r="G132" s="229"/>
      <c r="H132" s="229"/>
      <c r="I132" s="229"/>
      <c r="J132" s="229"/>
      <c r="K132" s="229"/>
      <c r="L132" s="229"/>
      <c r="M132" s="220" t="s">
        <v>62</v>
      </c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30">
        <v>0.3</v>
      </c>
      <c r="AA132" s="230"/>
      <c r="AB132" s="230"/>
      <c r="AC132" s="230"/>
      <c r="AD132" s="230"/>
      <c r="AE132" s="230"/>
      <c r="AF132" s="230"/>
      <c r="AG132" s="231">
        <f>TRUNC(AVERAGE(D91:BM93,D94:BM96,D97:BM99,D100:BM102,D103:BM105,D106:BM108,D109:BM111,D112:BM114),3)</f>
        <v>0.308</v>
      </c>
      <c r="AH132" s="232"/>
      <c r="AI132" s="232"/>
      <c r="AJ132" s="232"/>
      <c r="AK132" s="232"/>
      <c r="AL132" s="233" t="s">
        <v>63</v>
      </c>
      <c r="AM132" s="234"/>
      <c r="AN132" s="234"/>
      <c r="AO132" s="234"/>
      <c r="AP132" s="234"/>
      <c r="AQ132" s="234"/>
      <c r="AR132" s="234"/>
      <c r="AS132" s="234"/>
      <c r="AT132" s="234"/>
      <c r="AU132" s="234"/>
      <c r="AV132" s="235"/>
      <c r="AW132" s="194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7"/>
      <c r="CL132" s="325" t="s">
        <v>121</v>
      </c>
      <c r="CM132" s="326"/>
      <c r="CN132" s="326"/>
      <c r="CO132" s="326"/>
      <c r="CP132" s="326"/>
      <c r="CQ132" s="326"/>
      <c r="CR132" s="326"/>
      <c r="CS132" s="326"/>
      <c r="CT132" s="326"/>
      <c r="CU132" s="326"/>
      <c r="CV132" s="326"/>
      <c r="CW132" s="326"/>
      <c r="CX132" s="326"/>
      <c r="CY132" s="326"/>
      <c r="CZ132" s="326"/>
      <c r="DA132" s="326"/>
      <c r="DB132" s="326"/>
      <c r="DC132" s="326"/>
      <c r="DD132" s="326"/>
      <c r="DE132" s="326"/>
      <c r="DF132" s="326"/>
      <c r="DG132" s="326"/>
      <c r="DH132" s="326"/>
      <c r="DI132" s="326"/>
      <c r="DJ132" s="326"/>
      <c r="DK132" s="326"/>
      <c r="DL132" s="326"/>
      <c r="DM132" s="326"/>
      <c r="DN132" s="326"/>
      <c r="DO132" s="326"/>
      <c r="DP132" s="326"/>
      <c r="DQ132" s="326"/>
      <c r="DR132" s="326"/>
      <c r="DS132" s="326"/>
      <c r="DT132" s="326"/>
      <c r="DU132" s="326"/>
      <c r="DV132" s="326"/>
      <c r="DW132" s="326"/>
      <c r="DX132" s="326"/>
      <c r="DY132" s="326"/>
      <c r="DZ132" s="327"/>
    </row>
    <row r="133" spans="1:182" ht="36" customHeight="1" x14ac:dyDescent="0.2">
      <c r="A133" s="217"/>
      <c r="B133" s="86" t="s">
        <v>93</v>
      </c>
      <c r="C133" s="236" t="s">
        <v>94</v>
      </c>
      <c r="D133" s="237"/>
      <c r="E133" s="237"/>
      <c r="F133" s="237"/>
      <c r="G133" s="237"/>
      <c r="H133" s="237"/>
      <c r="I133" s="237"/>
      <c r="J133" s="237"/>
      <c r="K133" s="237"/>
      <c r="L133" s="237"/>
      <c r="M133" s="220" t="s">
        <v>66</v>
      </c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38">
        <v>8.3000000000000004E-2</v>
      </c>
      <c r="AA133" s="238"/>
      <c r="AB133" s="238"/>
      <c r="AC133" s="238"/>
      <c r="AD133" s="238"/>
      <c r="AE133" s="238"/>
      <c r="AF133" s="238"/>
      <c r="AG133" s="239">
        <f>TRUNC(MIN(D91:BM93,D94:BM96,D97:BM99,D100:BM102,D103:BM105,D106:BM108,D109:BM111,D112:BM114),3)</f>
        <v>0.13400000000000001</v>
      </c>
      <c r="AH133" s="232"/>
      <c r="AI133" s="232"/>
      <c r="AJ133" s="232"/>
      <c r="AK133" s="232"/>
      <c r="AL133" s="233" t="s">
        <v>67</v>
      </c>
      <c r="AM133" s="234"/>
      <c r="AN133" s="234"/>
      <c r="AO133" s="234"/>
      <c r="AP133" s="234"/>
      <c r="AQ133" s="234"/>
      <c r="AR133" s="234"/>
      <c r="AS133" s="234"/>
      <c r="AT133" s="234"/>
      <c r="AU133" s="234"/>
      <c r="AV133" s="235"/>
      <c r="AW133" s="196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9"/>
      <c r="CL133" s="328" t="str">
        <f>Thickness!CL133</f>
        <v>NO. 1 RECOVERY BOILER</v>
      </c>
      <c r="CM133" s="329"/>
      <c r="CN133" s="329"/>
      <c r="CO133" s="329"/>
      <c r="CP133" s="329"/>
      <c r="CQ133" s="329"/>
      <c r="CR133" s="329"/>
      <c r="CS133" s="329"/>
      <c r="CT133" s="329"/>
      <c r="CU133" s="329"/>
      <c r="CV133" s="329"/>
      <c r="CW133" s="329"/>
      <c r="CX133" s="329"/>
      <c r="CY133" s="329"/>
      <c r="CZ133" s="329"/>
      <c r="DA133" s="329"/>
      <c r="DB133" s="329"/>
      <c r="DC133" s="329"/>
      <c r="DD133" s="329"/>
      <c r="DE133" s="329"/>
      <c r="DF133" s="329"/>
      <c r="DG133" s="329"/>
      <c r="DH133" s="329"/>
      <c r="DI133" s="329"/>
      <c r="DJ133" s="329"/>
      <c r="DK133" s="329"/>
      <c r="DL133" s="329"/>
      <c r="DM133" s="329"/>
      <c r="DN133" s="329"/>
      <c r="DO133" s="329"/>
      <c r="DP133" s="329"/>
      <c r="DQ133" s="329"/>
      <c r="DR133" s="329"/>
      <c r="DS133" s="329"/>
      <c r="DT133" s="329"/>
      <c r="DU133" s="329"/>
      <c r="DV133" s="329"/>
      <c r="DW133" s="329"/>
      <c r="DX133" s="329"/>
      <c r="DY133" s="329"/>
      <c r="DZ133" s="330"/>
    </row>
    <row r="134" spans="1:182" ht="36" customHeight="1" x14ac:dyDescent="0.2">
      <c r="A134" s="217"/>
      <c r="B134" s="87" t="s">
        <v>96</v>
      </c>
      <c r="C134" s="240" t="s">
        <v>97</v>
      </c>
      <c r="D134" s="237"/>
      <c r="E134" s="237"/>
      <c r="F134" s="237"/>
      <c r="G134" s="237"/>
      <c r="H134" s="237"/>
      <c r="I134" s="237"/>
      <c r="J134" s="237"/>
      <c r="K134" s="237"/>
      <c r="L134" s="237"/>
      <c r="M134" s="241" t="s">
        <v>70</v>
      </c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3">
        <v>0.2</v>
      </c>
      <c r="AA134" s="243"/>
      <c r="AB134" s="243"/>
      <c r="AC134" s="243"/>
      <c r="AD134" s="243"/>
      <c r="AE134" s="243"/>
      <c r="AF134" s="243"/>
      <c r="AG134" s="244">
        <f>STDEV(D91:BM93,D94:BM96,D97:BM99,D100:BM102,D103:BM105,D106:BM108,D109:BM111,D112:BM114)</f>
        <v>2.0567839922583927E-2</v>
      </c>
      <c r="AH134" s="245"/>
      <c r="AI134" s="245"/>
      <c r="AJ134" s="245"/>
      <c r="AK134" s="245"/>
      <c r="AL134" s="246" t="s">
        <v>71</v>
      </c>
      <c r="AM134" s="247"/>
      <c r="AN134" s="247"/>
      <c r="AO134" s="247"/>
      <c r="AP134" s="247"/>
      <c r="AQ134" s="247"/>
      <c r="AR134" s="247"/>
      <c r="AS134" s="247"/>
      <c r="AT134" s="247"/>
      <c r="AU134" s="247"/>
      <c r="AV134" s="248"/>
      <c r="AW134" s="190" t="str">
        <f>Thickness!AW134</f>
        <v>Job #  H449364  P.O. #  0018342455 W.O. #  N/A   Date:  5/05/2025</v>
      </c>
      <c r="AX134" s="310"/>
      <c r="AY134" s="310"/>
      <c r="AZ134" s="310"/>
      <c r="BA134" s="310"/>
      <c r="BB134" s="310"/>
      <c r="BC134" s="310"/>
      <c r="BD134" s="310"/>
      <c r="BE134" s="310"/>
      <c r="BF134" s="310"/>
      <c r="BG134" s="310"/>
      <c r="BH134" s="310"/>
      <c r="BI134" s="310"/>
      <c r="BJ134" s="310"/>
      <c r="BK134" s="310"/>
      <c r="BL134" s="310"/>
      <c r="BM134" s="310"/>
      <c r="BN134" s="310"/>
      <c r="BO134" s="310"/>
      <c r="BP134" s="310"/>
      <c r="BQ134" s="310"/>
      <c r="BR134" s="310"/>
      <c r="BS134" s="310"/>
      <c r="BT134" s="310"/>
      <c r="BU134" s="310"/>
      <c r="BV134" s="310"/>
      <c r="BW134" s="310"/>
      <c r="BX134" s="310"/>
      <c r="BY134" s="310"/>
      <c r="BZ134" s="310"/>
      <c r="CA134" s="310"/>
      <c r="CB134" s="310"/>
      <c r="CC134" s="310"/>
      <c r="CD134" s="310"/>
      <c r="CE134" s="310"/>
      <c r="CF134" s="310"/>
      <c r="CG134" s="310"/>
      <c r="CH134" s="310"/>
      <c r="CI134" s="310"/>
      <c r="CJ134" s="310"/>
      <c r="CK134" s="311"/>
      <c r="CL134" s="331" t="str">
        <f>Thickness!CL134</f>
        <v>04 REAR WALL W/ PORTS</v>
      </c>
      <c r="CM134" s="332"/>
      <c r="CN134" s="332"/>
      <c r="CO134" s="332"/>
      <c r="CP134" s="332"/>
      <c r="CQ134" s="332"/>
      <c r="CR134" s="332"/>
      <c r="CS134" s="332"/>
      <c r="CT134" s="332"/>
      <c r="CU134" s="332"/>
      <c r="CV134" s="332"/>
      <c r="CW134" s="332"/>
      <c r="CX134" s="332"/>
      <c r="CY134" s="332"/>
      <c r="CZ134" s="332"/>
      <c r="DA134" s="332"/>
      <c r="DB134" s="332"/>
      <c r="DC134" s="332"/>
      <c r="DD134" s="332"/>
      <c r="DE134" s="332"/>
      <c r="DF134" s="332"/>
      <c r="DG134" s="332"/>
      <c r="DH134" s="332"/>
      <c r="DI134" s="332"/>
      <c r="DJ134" s="332"/>
      <c r="DK134" s="332"/>
      <c r="DL134" s="332"/>
      <c r="DM134" s="332"/>
      <c r="DN134" s="332"/>
      <c r="DO134" s="332"/>
      <c r="DP134" s="332"/>
      <c r="DQ134" s="332"/>
      <c r="DR134" s="332"/>
      <c r="DS134" s="332"/>
      <c r="DT134" s="332"/>
      <c r="DU134" s="332"/>
      <c r="DV134" s="332"/>
      <c r="DW134" s="332"/>
      <c r="DX134" s="332"/>
      <c r="DY134" s="332"/>
      <c r="DZ134" s="333"/>
    </row>
    <row r="135" spans="1:182" ht="36" customHeight="1" x14ac:dyDescent="0.35">
      <c r="B135" s="16" t="s">
        <v>122</v>
      </c>
    </row>
    <row r="136" spans="1:182" ht="36" customHeight="1" x14ac:dyDescent="0.2"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</row>
    <row r="137" spans="1:182" ht="36" customHeight="1" x14ac:dyDescent="0.2"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82" x14ac:dyDescent="0.2"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BJ138" s="3"/>
      <c r="BK138" s="3"/>
      <c r="BL138" s="3"/>
      <c r="BM138" s="3"/>
      <c r="BN138" s="3"/>
      <c r="BO138" s="3"/>
      <c r="BP138" s="3"/>
      <c r="BQ138" s="3"/>
      <c r="BR138" s="184" t="s">
        <v>84</v>
      </c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5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82" x14ac:dyDescent="0.2">
      <c r="BJ139" s="3"/>
      <c r="BK139" s="3"/>
      <c r="BL139" s="3"/>
      <c r="BM139" s="3"/>
      <c r="BN139" s="3"/>
      <c r="BO139" s="3"/>
      <c r="BP139" s="3"/>
      <c r="BQ139" s="3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7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82" x14ac:dyDescent="0.2"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7"/>
    </row>
    <row r="141" spans="1:182" x14ac:dyDescent="0.2"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9"/>
    </row>
    <row r="143" spans="1:182" x14ac:dyDescent="0.2">
      <c r="BR143" s="184" t="s">
        <v>101</v>
      </c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5"/>
    </row>
    <row r="144" spans="1:182" x14ac:dyDescent="0.2"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7"/>
    </row>
    <row r="145" spans="70:89" x14ac:dyDescent="0.2"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7"/>
    </row>
    <row r="146" spans="70:89" x14ac:dyDescent="0.2"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  <c r="CD146" s="188"/>
      <c r="CE146" s="188"/>
      <c r="CF146" s="188"/>
      <c r="CG146" s="188"/>
      <c r="CH146" s="188"/>
      <c r="CI146" s="188"/>
      <c r="CJ146" s="188"/>
      <c r="CK146" s="189"/>
    </row>
    <row r="148" spans="70:89" x14ac:dyDescent="0.2">
      <c r="BR148" s="184" t="s">
        <v>102</v>
      </c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5"/>
    </row>
    <row r="149" spans="70:89" x14ac:dyDescent="0.2"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7"/>
    </row>
    <row r="150" spans="70:89" x14ac:dyDescent="0.2"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7"/>
    </row>
    <row r="151" spans="70:89" x14ac:dyDescent="0.2"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  <c r="CD151" s="188"/>
      <c r="CE151" s="188"/>
      <c r="CF151" s="188"/>
      <c r="CG151" s="188"/>
      <c r="CH151" s="188"/>
      <c r="CI151" s="188"/>
      <c r="CJ151" s="188"/>
      <c r="CK151" s="189"/>
    </row>
  </sheetData>
  <mergeCells count="204">
    <mergeCell ref="A115:B115"/>
    <mergeCell ref="M121:Y121"/>
    <mergeCell ref="Z121:AF121"/>
    <mergeCell ref="AG121:AK121"/>
    <mergeCell ref="AL121:AV121"/>
    <mergeCell ref="C122:L122"/>
    <mergeCell ref="M122:Y122"/>
    <mergeCell ref="Z122:AF122"/>
    <mergeCell ref="AG122:AK122"/>
    <mergeCell ref="AL122:AV122"/>
    <mergeCell ref="C118:L118"/>
    <mergeCell ref="M118:Y118"/>
    <mergeCell ref="Z118:AF118"/>
    <mergeCell ref="AG118:AV118"/>
    <mergeCell ref="A119:A122"/>
    <mergeCell ref="C119:L119"/>
    <mergeCell ref="M119:Y119"/>
    <mergeCell ref="Z119:AF119"/>
    <mergeCell ref="AG119:AK119"/>
    <mergeCell ref="AL119:AV119"/>
    <mergeCell ref="C120:L120"/>
    <mergeCell ref="M120:Y120"/>
    <mergeCell ref="Z120:AF120"/>
    <mergeCell ref="AG120:AK120"/>
    <mergeCell ref="AL120:AV120"/>
    <mergeCell ref="C121:L121"/>
    <mergeCell ref="M127:Y127"/>
    <mergeCell ref="Z127:AF127"/>
    <mergeCell ref="AG127:AK127"/>
    <mergeCell ref="AL127:AV127"/>
    <mergeCell ref="C128:L128"/>
    <mergeCell ref="M128:Y128"/>
    <mergeCell ref="Z128:AF128"/>
    <mergeCell ref="AG128:AK128"/>
    <mergeCell ref="AL128:AV128"/>
    <mergeCell ref="C124:L124"/>
    <mergeCell ref="M124:Y124"/>
    <mergeCell ref="Z124:AF124"/>
    <mergeCell ref="AG124:AV124"/>
    <mergeCell ref="A125:A128"/>
    <mergeCell ref="C125:L125"/>
    <mergeCell ref="M125:Y125"/>
    <mergeCell ref="Z125:AF125"/>
    <mergeCell ref="AG125:AK125"/>
    <mergeCell ref="AL125:AV125"/>
    <mergeCell ref="C126:L126"/>
    <mergeCell ref="M126:Y126"/>
    <mergeCell ref="Z126:AF126"/>
    <mergeCell ref="AG126:AK126"/>
    <mergeCell ref="AL126:AV126"/>
    <mergeCell ref="C127:L127"/>
    <mergeCell ref="M133:Y133"/>
    <mergeCell ref="Z133:AF133"/>
    <mergeCell ref="AG133:AK133"/>
    <mergeCell ref="AL133:AV133"/>
    <mergeCell ref="C134:L134"/>
    <mergeCell ref="M134:Y134"/>
    <mergeCell ref="Z134:AF134"/>
    <mergeCell ref="AG134:AK134"/>
    <mergeCell ref="AL134:AV134"/>
    <mergeCell ref="C130:L130"/>
    <mergeCell ref="M130:Y130"/>
    <mergeCell ref="Z130:AF130"/>
    <mergeCell ref="AG130:AV130"/>
    <mergeCell ref="A131:A134"/>
    <mergeCell ref="C131:L131"/>
    <mergeCell ref="M131:Y131"/>
    <mergeCell ref="Z131:AF131"/>
    <mergeCell ref="AG131:AK131"/>
    <mergeCell ref="AL131:AV131"/>
    <mergeCell ref="C132:L132"/>
    <mergeCell ref="M132:Y132"/>
    <mergeCell ref="Z132:AF132"/>
    <mergeCell ref="AG132:AK132"/>
    <mergeCell ref="AL132:AV132"/>
    <mergeCell ref="C133:L133"/>
    <mergeCell ref="AW130:BQ133"/>
    <mergeCell ref="BR130:CK133"/>
    <mergeCell ref="CL133:DZ133"/>
    <mergeCell ref="AW134:CK134"/>
    <mergeCell ref="CL134:DZ134"/>
    <mergeCell ref="BR138:CK141"/>
    <mergeCell ref="BR143:CK146"/>
    <mergeCell ref="BR148:CK151"/>
    <mergeCell ref="CL130:DZ130"/>
    <mergeCell ref="CL131:DZ131"/>
    <mergeCell ref="CL132:DZ132"/>
    <mergeCell ref="A11:A12"/>
    <mergeCell ref="BN7:BN9"/>
    <mergeCell ref="BO7:BO9"/>
    <mergeCell ref="A14:A15"/>
    <mergeCell ref="BN10:BN12"/>
    <mergeCell ref="BO10:BO12"/>
    <mergeCell ref="A3:B3"/>
    <mergeCell ref="A1:B2"/>
    <mergeCell ref="C1:DP1"/>
    <mergeCell ref="A8:A9"/>
    <mergeCell ref="BN4:BN6"/>
    <mergeCell ref="BO4:BO6"/>
    <mergeCell ref="BN13:BN15"/>
    <mergeCell ref="BO13:BO15"/>
    <mergeCell ref="A20:A21"/>
    <mergeCell ref="BN16:BN18"/>
    <mergeCell ref="BO16:BO18"/>
    <mergeCell ref="DQ1:DZ1"/>
    <mergeCell ref="C2:DP2"/>
    <mergeCell ref="DQ2:DZ2"/>
    <mergeCell ref="A5:A6"/>
    <mergeCell ref="A29:A30"/>
    <mergeCell ref="BN25:BN27"/>
    <mergeCell ref="BO25:BO27"/>
    <mergeCell ref="BN28:BN30"/>
    <mergeCell ref="BO28:BO30"/>
    <mergeCell ref="A23:A24"/>
    <mergeCell ref="BN19:BN21"/>
    <mergeCell ref="BO19:BO21"/>
    <mergeCell ref="A26:A27"/>
    <mergeCell ref="BN22:BN24"/>
    <mergeCell ref="BO22:BO24"/>
    <mergeCell ref="A17:A18"/>
    <mergeCell ref="A35:A36"/>
    <mergeCell ref="BN31:BN33"/>
    <mergeCell ref="BO31:BO33"/>
    <mergeCell ref="A38:A39"/>
    <mergeCell ref="BN34:BN36"/>
    <mergeCell ref="BO34:BO36"/>
    <mergeCell ref="A32:A33"/>
    <mergeCell ref="A41:A42"/>
    <mergeCell ref="BN37:BN39"/>
    <mergeCell ref="BO37:BO39"/>
    <mergeCell ref="A44:A45"/>
    <mergeCell ref="BN40:BN42"/>
    <mergeCell ref="BO40:BO42"/>
    <mergeCell ref="A47:A48"/>
    <mergeCell ref="BN43:BN45"/>
    <mergeCell ref="BO43:BO45"/>
    <mergeCell ref="A50:A51"/>
    <mergeCell ref="BN46:BN48"/>
    <mergeCell ref="BO46:BO48"/>
    <mergeCell ref="A53:A54"/>
    <mergeCell ref="BN49:BN51"/>
    <mergeCell ref="BO49:BO51"/>
    <mergeCell ref="A56:A57"/>
    <mergeCell ref="BN52:BN54"/>
    <mergeCell ref="BO52:BO54"/>
    <mergeCell ref="A59:A60"/>
    <mergeCell ref="BN55:BN57"/>
    <mergeCell ref="BO55:BO57"/>
    <mergeCell ref="A62:A63"/>
    <mergeCell ref="BN58:BN60"/>
    <mergeCell ref="BO58:BO60"/>
    <mergeCell ref="A65:A66"/>
    <mergeCell ref="BN61:BN63"/>
    <mergeCell ref="BO61:BO63"/>
    <mergeCell ref="A68:A69"/>
    <mergeCell ref="BN64:BN66"/>
    <mergeCell ref="BO64:BO66"/>
    <mergeCell ref="A71:A72"/>
    <mergeCell ref="BN67:BN69"/>
    <mergeCell ref="BO67:BO69"/>
    <mergeCell ref="A74:A75"/>
    <mergeCell ref="BN70:BN72"/>
    <mergeCell ref="BO70:BO72"/>
    <mergeCell ref="A77:A78"/>
    <mergeCell ref="BN73:BN75"/>
    <mergeCell ref="BO73:BO75"/>
    <mergeCell ref="A80:A81"/>
    <mergeCell ref="BN76:BN78"/>
    <mergeCell ref="BO76:BO78"/>
    <mergeCell ref="A83:A84"/>
    <mergeCell ref="BN79:BN81"/>
    <mergeCell ref="BO79:BO81"/>
    <mergeCell ref="A86:A87"/>
    <mergeCell ref="BN82:BN84"/>
    <mergeCell ref="BO82:BO84"/>
    <mergeCell ref="A89:A90"/>
    <mergeCell ref="BN85:BN87"/>
    <mergeCell ref="BO85:BO87"/>
    <mergeCell ref="A92:A93"/>
    <mergeCell ref="BN88:BN90"/>
    <mergeCell ref="BO88:BO90"/>
    <mergeCell ref="A95:A96"/>
    <mergeCell ref="BN91:BN93"/>
    <mergeCell ref="BO91:BO93"/>
    <mergeCell ref="A98:A99"/>
    <mergeCell ref="BN94:BN96"/>
    <mergeCell ref="BO94:BO96"/>
    <mergeCell ref="A101:A102"/>
    <mergeCell ref="BN97:BN99"/>
    <mergeCell ref="BO97:BO99"/>
    <mergeCell ref="A104:A105"/>
    <mergeCell ref="BN100:BN102"/>
    <mergeCell ref="BO100:BO102"/>
    <mergeCell ref="A107:A108"/>
    <mergeCell ref="BN103:BN105"/>
    <mergeCell ref="BO103:BO105"/>
    <mergeCell ref="A110:A111"/>
    <mergeCell ref="BN106:BN108"/>
    <mergeCell ref="BO106:BO108"/>
    <mergeCell ref="A113:A114"/>
    <mergeCell ref="BN109:BN111"/>
    <mergeCell ref="BO109:BO111"/>
    <mergeCell ref="BN112:BN114"/>
    <mergeCell ref="BO112:BO114"/>
  </mergeCells>
  <conditionalFormatting sqref="D4:BM12 AG119:AG121">
    <cfRule type="cellIs" dxfId="65" priority="1" operator="between">
      <formula>0.001</formula>
      <formula>0.099</formula>
    </cfRule>
    <cfRule type="cellIs" dxfId="64" priority="2" operator="between">
      <formula>0.1</formula>
      <formula>0.11</formula>
    </cfRule>
    <cfRule type="cellIs" dxfId="63" priority="3" operator="between">
      <formula>0.111</formula>
      <formula>0.12</formula>
    </cfRule>
    <cfRule type="cellIs" dxfId="62" priority="4" operator="between">
      <formula>0.121</formula>
      <formula>0.13</formula>
    </cfRule>
    <cfRule type="cellIs" dxfId="61" priority="5" operator="between">
      <formula>0.131</formula>
      <formula>0.14</formula>
    </cfRule>
    <cfRule type="cellIs" dxfId="60" priority="6" operator="between">
      <formula>0.141</formula>
      <formula>0.15</formula>
    </cfRule>
    <cfRule type="cellIs" dxfId="59" priority="7" operator="between">
      <formula>0.151</formula>
      <formula>0.16</formula>
    </cfRule>
    <cfRule type="cellIs" dxfId="58" priority="8" operator="between">
      <formula>0.161</formula>
      <formula>0.17</formula>
    </cfRule>
    <cfRule type="cellIs" dxfId="57" priority="9" operator="between">
      <formula>0.171</formula>
      <formula>0.18</formula>
    </cfRule>
    <cfRule type="cellIs" dxfId="56" priority="10" operator="between">
      <formula>0.181</formula>
      <formula>0.999</formula>
    </cfRule>
  </conditionalFormatting>
  <conditionalFormatting sqref="D4:BM114 AG119:AG121">
    <cfRule type="containsText" dxfId="55" priority="50" operator="containsText" text="">
      <formula>NOT(ISERROR(SEARCH("",D4)))</formula>
    </cfRule>
  </conditionalFormatting>
  <conditionalFormatting sqref="D13:BM90 AG125:AG127">
    <cfRule type="cellIs" dxfId="54" priority="12" operator="between">
      <formula>0.084</formula>
      <formula>0.093</formula>
    </cfRule>
    <cfRule type="cellIs" dxfId="53" priority="13" operator="between">
      <formula>0.094</formula>
      <formula>0.103</formula>
    </cfRule>
    <cfRule type="cellIs" dxfId="52" priority="14" operator="between">
      <formula>0.104</formula>
      <formula>0.113</formula>
    </cfRule>
    <cfRule type="cellIs" dxfId="51" priority="15" operator="between">
      <formula>0.114</formula>
      <formula>0.123</formula>
    </cfRule>
    <cfRule type="cellIs" dxfId="50" priority="16" operator="between">
      <formula>0.124</formula>
      <formula>0.133</formula>
    </cfRule>
    <cfRule type="cellIs" dxfId="49" priority="17" operator="between">
      <formula>0.134</formula>
      <formula>0.143</formula>
    </cfRule>
    <cfRule type="cellIs" dxfId="48" priority="18" operator="between">
      <formula>0.144</formula>
      <formula>0.153</formula>
    </cfRule>
    <cfRule type="cellIs" dxfId="47" priority="19" operator="between">
      <formula>0.154</formula>
      <formula>0.163</formula>
    </cfRule>
    <cfRule type="cellIs" dxfId="46" priority="20" operator="between">
      <formula>0.164</formula>
      <formula>0.999</formula>
    </cfRule>
  </conditionalFormatting>
  <conditionalFormatting sqref="D13:BM114 AG125:AG127">
    <cfRule type="cellIs" dxfId="45" priority="11" operator="between">
      <formula>0.001</formula>
      <formula>0.083</formula>
    </cfRule>
  </conditionalFormatting>
  <conditionalFormatting sqref="D91:BM114 AG131:AG133">
    <cfRule type="cellIs" dxfId="44" priority="23" operator="between">
      <formula>0.11</formula>
      <formula>0.119</formula>
    </cfRule>
    <cfRule type="cellIs" dxfId="43" priority="24" operator="between">
      <formula>0.12</formula>
      <formula>0.129</formula>
    </cfRule>
    <cfRule type="cellIs" dxfId="42" priority="25" operator="between">
      <formula>0.13</formula>
      <formula>0.139</formula>
    </cfRule>
    <cfRule type="cellIs" dxfId="41" priority="26" operator="between">
      <formula>0.14</formula>
      <formula>0.149</formula>
    </cfRule>
    <cfRule type="cellIs" dxfId="40" priority="27" operator="between">
      <formula>0.15</formula>
      <formula>0.159</formula>
    </cfRule>
    <cfRule type="cellIs" dxfId="39" priority="28" operator="between">
      <formula>0.16</formula>
      <formula>0.169</formula>
    </cfRule>
    <cfRule type="cellIs" dxfId="38" priority="29" operator="between">
      <formula>0.17</formula>
      <formula>0.179</formula>
    </cfRule>
    <cfRule type="cellIs" dxfId="37" priority="30" operator="between">
      <formula>0.18</formula>
      <formula>0.999</formula>
    </cfRule>
  </conditionalFormatting>
  <conditionalFormatting sqref="AG125:AG127">
    <cfRule type="containsText" dxfId="36" priority="61" operator="containsText" text="">
      <formula>NOT(ISERROR(SEARCH("",AG125)))</formula>
    </cfRule>
  </conditionalFormatting>
  <conditionalFormatting sqref="AG131:AG133 D91:BM114">
    <cfRule type="cellIs" dxfId="35" priority="22" operator="between">
      <formula>0.1</formula>
      <formula>0.109</formula>
    </cfRule>
  </conditionalFormatting>
  <conditionalFormatting sqref="AG131:AG133">
    <cfRule type="cellIs" dxfId="34" priority="21" operator="between">
      <formula>0.001</formula>
      <formula>0.083</formula>
    </cfRule>
    <cfRule type="containsText" dxfId="33" priority="72" operator="containsText" text="">
      <formula>NOT(ISERROR(SEARCH("",AG131)))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51"/>
  <sheetViews>
    <sheetView topLeftCell="A113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37">
        <f>Thickness!A1</f>
        <v>2025</v>
      </c>
      <c r="B1" s="338"/>
      <c r="C1" s="268" t="str">
        <f>IF(ISBLANK(Thickness!C1),"",(Thickness!C1))</f>
        <v xml:space="preserve">RF - REFRACTORY; RT - RECESSED TUBE; </v>
      </c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/>
      <c r="CO1" s="269"/>
      <c r="CP1" s="269"/>
      <c r="CQ1" s="269"/>
      <c r="CR1" s="269"/>
      <c r="CS1" s="269"/>
      <c r="CT1" s="269"/>
      <c r="CU1" s="269"/>
      <c r="CV1" s="26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70"/>
      <c r="DQ1" s="169" t="s">
        <v>1</v>
      </c>
      <c r="DR1" s="170"/>
      <c r="DS1" s="170"/>
      <c r="DT1" s="170"/>
      <c r="DU1" s="170"/>
      <c r="DV1" s="170"/>
      <c r="DW1" s="170"/>
      <c r="DX1" s="170"/>
      <c r="DY1" s="170"/>
      <c r="DZ1" s="171"/>
    </row>
    <row r="2" spans="1:182" s="5" customFormat="1" ht="36" customHeight="1" x14ac:dyDescent="0.2">
      <c r="A2" s="339"/>
      <c r="B2" s="340"/>
      <c r="C2" s="205" t="s">
        <v>123</v>
      </c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  <c r="BU2" s="206"/>
      <c r="BV2" s="206"/>
      <c r="BW2" s="206"/>
      <c r="BX2" s="206"/>
      <c r="BY2" s="206"/>
      <c r="BZ2" s="206"/>
      <c r="CA2" s="206"/>
      <c r="CB2" s="206"/>
      <c r="CC2" s="206"/>
      <c r="CD2" s="206"/>
      <c r="CE2" s="206"/>
      <c r="CF2" s="206"/>
      <c r="CG2" s="206"/>
      <c r="CH2" s="206"/>
      <c r="CI2" s="206"/>
      <c r="CJ2" s="206"/>
      <c r="CK2" s="206"/>
      <c r="CL2" s="206"/>
      <c r="CM2" s="206"/>
      <c r="CN2" s="206"/>
      <c r="CO2" s="206"/>
      <c r="CP2" s="206"/>
      <c r="CQ2" s="206"/>
      <c r="CR2" s="206"/>
      <c r="CS2" s="206"/>
      <c r="CT2" s="206"/>
      <c r="CU2" s="206"/>
      <c r="CV2" s="206"/>
      <c r="CW2" s="206"/>
      <c r="CX2" s="206"/>
      <c r="CY2" s="206"/>
      <c r="CZ2" s="206"/>
      <c r="DA2" s="206"/>
      <c r="DB2" s="206"/>
      <c r="DC2" s="206"/>
      <c r="DD2" s="206"/>
      <c r="DE2" s="206"/>
      <c r="DF2" s="206"/>
      <c r="DG2" s="206"/>
      <c r="DH2" s="206"/>
      <c r="DI2" s="206"/>
      <c r="DJ2" s="206"/>
      <c r="DK2" s="206"/>
      <c r="DL2" s="206"/>
      <c r="DM2" s="206"/>
      <c r="DN2" s="206"/>
      <c r="DO2" s="206"/>
      <c r="DP2" s="207"/>
      <c r="DQ2" s="169" t="s">
        <v>3</v>
      </c>
      <c r="DR2" s="170"/>
      <c r="DS2" s="170"/>
      <c r="DT2" s="170"/>
      <c r="DU2" s="170"/>
      <c r="DV2" s="170"/>
      <c r="DW2" s="170"/>
      <c r="DX2" s="170"/>
      <c r="DY2" s="170"/>
      <c r="DZ2" s="171"/>
      <c r="EA2" s="4"/>
    </row>
    <row r="3" spans="1:182" s="5" customFormat="1" ht="36" customHeight="1" x14ac:dyDescent="0.2">
      <c r="A3" s="163" t="s">
        <v>4</v>
      </c>
      <c r="B3" s="164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8">
        <v>62</v>
      </c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334" t="s">
        <v>124</v>
      </c>
      <c r="D4" s="374" t="s">
        <v>105</v>
      </c>
      <c r="E4" s="377" t="s">
        <v>105</v>
      </c>
      <c r="F4" s="377" t="s">
        <v>105</v>
      </c>
      <c r="G4" s="377" t="s">
        <v>105</v>
      </c>
      <c r="H4" s="380" t="s">
        <v>105</v>
      </c>
      <c r="I4" s="383" t="s">
        <v>105</v>
      </c>
      <c r="J4" s="377" t="s">
        <v>105</v>
      </c>
      <c r="K4" s="377" t="s">
        <v>105</v>
      </c>
      <c r="L4" s="377" t="s">
        <v>125</v>
      </c>
      <c r="M4" s="386" t="s">
        <v>126</v>
      </c>
      <c r="N4" s="383" t="s">
        <v>105</v>
      </c>
      <c r="O4" s="377" t="s">
        <v>105</v>
      </c>
      <c r="P4" s="377" t="s">
        <v>105</v>
      </c>
      <c r="Q4" s="377" t="s">
        <v>105</v>
      </c>
      <c r="R4" s="380" t="s">
        <v>105</v>
      </c>
      <c r="S4" s="383" t="s">
        <v>105</v>
      </c>
      <c r="T4" s="377" t="s">
        <v>105</v>
      </c>
      <c r="U4" s="377" t="s">
        <v>105</v>
      </c>
      <c r="V4" s="377" t="s">
        <v>105</v>
      </c>
      <c r="W4" s="380" t="s">
        <v>105</v>
      </c>
      <c r="X4" s="383" t="s">
        <v>105</v>
      </c>
      <c r="Y4" s="377" t="s">
        <v>105</v>
      </c>
      <c r="Z4" s="377" t="s">
        <v>105</v>
      </c>
      <c r="AA4" s="377" t="s">
        <v>105</v>
      </c>
      <c r="AB4" s="380" t="s">
        <v>105</v>
      </c>
      <c r="AC4" s="383" t="s">
        <v>105</v>
      </c>
      <c r="AD4" s="377" t="s">
        <v>105</v>
      </c>
      <c r="AE4" s="377" t="s">
        <v>105</v>
      </c>
      <c r="AF4" s="377" t="s">
        <v>105</v>
      </c>
      <c r="AG4" s="386" t="s">
        <v>127</v>
      </c>
      <c r="AH4" s="383" t="s">
        <v>125</v>
      </c>
      <c r="AI4" s="377" t="s">
        <v>125</v>
      </c>
      <c r="AJ4" s="377" t="s">
        <v>128</v>
      </c>
      <c r="AK4" s="377" t="s">
        <v>125</v>
      </c>
      <c r="AL4" s="380" t="s">
        <v>105</v>
      </c>
      <c r="AM4" s="383" t="s">
        <v>105</v>
      </c>
      <c r="AN4" s="377" t="s">
        <v>105</v>
      </c>
      <c r="AO4" s="377" t="s">
        <v>105</v>
      </c>
      <c r="AP4" s="377" t="s">
        <v>105</v>
      </c>
      <c r="AQ4" s="380" t="s">
        <v>105</v>
      </c>
      <c r="AR4" s="383" t="s">
        <v>105</v>
      </c>
      <c r="AS4" s="377" t="s">
        <v>105</v>
      </c>
      <c r="AT4" s="377" t="s">
        <v>105</v>
      </c>
      <c r="AU4" s="377" t="s">
        <v>105</v>
      </c>
      <c r="AV4" s="380" t="s">
        <v>105</v>
      </c>
      <c r="AW4" s="383" t="s">
        <v>105</v>
      </c>
      <c r="AX4" s="377" t="s">
        <v>105</v>
      </c>
      <c r="AY4" s="377" t="s">
        <v>105</v>
      </c>
      <c r="AZ4" s="377" t="s">
        <v>105</v>
      </c>
      <c r="BA4" s="380" t="s">
        <v>105</v>
      </c>
      <c r="BB4" s="383" t="s">
        <v>125</v>
      </c>
      <c r="BC4" s="377" t="s">
        <v>105</v>
      </c>
      <c r="BD4" s="377" t="s">
        <v>105</v>
      </c>
      <c r="BE4" s="377" t="s">
        <v>125</v>
      </c>
      <c r="BF4" s="380" t="s">
        <v>129</v>
      </c>
      <c r="BG4" s="383" t="s">
        <v>105</v>
      </c>
      <c r="BH4" s="377" t="s">
        <v>105</v>
      </c>
      <c r="BI4" s="377" t="s">
        <v>105</v>
      </c>
      <c r="BJ4" s="377" t="s">
        <v>105</v>
      </c>
      <c r="BK4" s="380" t="s">
        <v>105</v>
      </c>
      <c r="BL4" s="383" t="s">
        <v>105</v>
      </c>
      <c r="BM4" s="380" t="s">
        <v>105</v>
      </c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65" t="s">
        <v>11</v>
      </c>
      <c r="B5" s="7" t="s">
        <v>12</v>
      </c>
      <c r="C5" s="335"/>
      <c r="D5" s="375" t="s">
        <v>105</v>
      </c>
      <c r="E5" s="378" t="s">
        <v>105</v>
      </c>
      <c r="F5" s="378" t="s">
        <v>105</v>
      </c>
      <c r="G5" s="378" t="s">
        <v>105</v>
      </c>
      <c r="H5" s="381" t="s">
        <v>105</v>
      </c>
      <c r="I5" s="384" t="s">
        <v>105</v>
      </c>
      <c r="J5" s="378" t="s">
        <v>105</v>
      </c>
      <c r="K5" s="378" t="s">
        <v>105</v>
      </c>
      <c r="L5" s="378" t="s">
        <v>125</v>
      </c>
      <c r="M5" s="387" t="s">
        <v>126</v>
      </c>
      <c r="N5" s="384" t="s">
        <v>105</v>
      </c>
      <c r="O5" s="378" t="s">
        <v>105</v>
      </c>
      <c r="P5" s="378" t="s">
        <v>105</v>
      </c>
      <c r="Q5" s="378" t="s">
        <v>105</v>
      </c>
      <c r="R5" s="381" t="s">
        <v>105</v>
      </c>
      <c r="S5" s="384" t="s">
        <v>105</v>
      </c>
      <c r="T5" s="378" t="s">
        <v>105</v>
      </c>
      <c r="U5" s="378" t="s">
        <v>105</v>
      </c>
      <c r="V5" s="378" t="s">
        <v>105</v>
      </c>
      <c r="W5" s="381" t="s">
        <v>105</v>
      </c>
      <c r="X5" s="384" t="s">
        <v>105</v>
      </c>
      <c r="Y5" s="378" t="s">
        <v>105</v>
      </c>
      <c r="Z5" s="378" t="s">
        <v>105</v>
      </c>
      <c r="AA5" s="378" t="s">
        <v>105</v>
      </c>
      <c r="AB5" s="381" t="s">
        <v>105</v>
      </c>
      <c r="AC5" s="384" t="s">
        <v>105</v>
      </c>
      <c r="AD5" s="378" t="s">
        <v>105</v>
      </c>
      <c r="AE5" s="378" t="s">
        <v>105</v>
      </c>
      <c r="AF5" s="378" t="s">
        <v>105</v>
      </c>
      <c r="AG5" s="387" t="s">
        <v>127</v>
      </c>
      <c r="AH5" s="384" t="s">
        <v>125</v>
      </c>
      <c r="AI5" s="378" t="s">
        <v>125</v>
      </c>
      <c r="AJ5" s="378" t="s">
        <v>128</v>
      </c>
      <c r="AK5" s="378" t="s">
        <v>125</v>
      </c>
      <c r="AL5" s="381" t="s">
        <v>105</v>
      </c>
      <c r="AM5" s="384" t="s">
        <v>105</v>
      </c>
      <c r="AN5" s="378" t="s">
        <v>105</v>
      </c>
      <c r="AO5" s="378" t="s">
        <v>105</v>
      </c>
      <c r="AP5" s="378" t="s">
        <v>105</v>
      </c>
      <c r="AQ5" s="381" t="s">
        <v>105</v>
      </c>
      <c r="AR5" s="384" t="s">
        <v>105</v>
      </c>
      <c r="AS5" s="378" t="s">
        <v>105</v>
      </c>
      <c r="AT5" s="378" t="s">
        <v>105</v>
      </c>
      <c r="AU5" s="378" t="s">
        <v>105</v>
      </c>
      <c r="AV5" s="381" t="s">
        <v>105</v>
      </c>
      <c r="AW5" s="384" t="s">
        <v>105</v>
      </c>
      <c r="AX5" s="378" t="s">
        <v>105</v>
      </c>
      <c r="AY5" s="378" t="s">
        <v>105</v>
      </c>
      <c r="AZ5" s="378" t="s">
        <v>105</v>
      </c>
      <c r="BA5" s="381" t="s">
        <v>105</v>
      </c>
      <c r="BB5" s="384" t="s">
        <v>125</v>
      </c>
      <c r="BC5" s="378" t="s">
        <v>105</v>
      </c>
      <c r="BD5" s="378" t="s">
        <v>105</v>
      </c>
      <c r="BE5" s="378" t="s">
        <v>125</v>
      </c>
      <c r="BF5" s="381" t="s">
        <v>129</v>
      </c>
      <c r="BG5" s="384" t="s">
        <v>105</v>
      </c>
      <c r="BH5" s="378" t="s">
        <v>105</v>
      </c>
      <c r="BI5" s="378" t="s">
        <v>105</v>
      </c>
      <c r="BJ5" s="378" t="s">
        <v>105</v>
      </c>
      <c r="BK5" s="381" t="s">
        <v>105</v>
      </c>
      <c r="BL5" s="384" t="s">
        <v>105</v>
      </c>
      <c r="BM5" s="381" t="s">
        <v>105</v>
      </c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65"/>
      <c r="B6" s="8" t="s">
        <v>13</v>
      </c>
      <c r="C6" s="335"/>
      <c r="D6" s="376" t="s">
        <v>105</v>
      </c>
      <c r="E6" s="379" t="s">
        <v>105</v>
      </c>
      <c r="F6" s="379" t="s">
        <v>105</v>
      </c>
      <c r="G6" s="379" t="s">
        <v>105</v>
      </c>
      <c r="H6" s="382" t="s">
        <v>105</v>
      </c>
      <c r="I6" s="385" t="s">
        <v>105</v>
      </c>
      <c r="J6" s="379" t="s">
        <v>105</v>
      </c>
      <c r="K6" s="379" t="s">
        <v>105</v>
      </c>
      <c r="L6" s="379" t="s">
        <v>125</v>
      </c>
      <c r="M6" s="388" t="s">
        <v>126</v>
      </c>
      <c r="N6" s="385" t="s">
        <v>105</v>
      </c>
      <c r="O6" s="379" t="s">
        <v>105</v>
      </c>
      <c r="P6" s="379" t="s">
        <v>105</v>
      </c>
      <c r="Q6" s="379" t="s">
        <v>105</v>
      </c>
      <c r="R6" s="382" t="s">
        <v>105</v>
      </c>
      <c r="S6" s="385" t="s">
        <v>105</v>
      </c>
      <c r="T6" s="379" t="s">
        <v>105</v>
      </c>
      <c r="U6" s="379" t="s">
        <v>105</v>
      </c>
      <c r="V6" s="379" t="s">
        <v>105</v>
      </c>
      <c r="W6" s="382" t="s">
        <v>105</v>
      </c>
      <c r="X6" s="385" t="s">
        <v>105</v>
      </c>
      <c r="Y6" s="379" t="s">
        <v>105</v>
      </c>
      <c r="Z6" s="379" t="s">
        <v>105</v>
      </c>
      <c r="AA6" s="379" t="s">
        <v>105</v>
      </c>
      <c r="AB6" s="382" t="s">
        <v>105</v>
      </c>
      <c r="AC6" s="385" t="s">
        <v>105</v>
      </c>
      <c r="AD6" s="379" t="s">
        <v>105</v>
      </c>
      <c r="AE6" s="379" t="s">
        <v>105</v>
      </c>
      <c r="AF6" s="379" t="s">
        <v>105</v>
      </c>
      <c r="AG6" s="388" t="s">
        <v>127</v>
      </c>
      <c r="AH6" s="385" t="s">
        <v>125</v>
      </c>
      <c r="AI6" s="379" t="s">
        <v>125</v>
      </c>
      <c r="AJ6" s="379" t="s">
        <v>128</v>
      </c>
      <c r="AK6" s="379" t="s">
        <v>125</v>
      </c>
      <c r="AL6" s="382" t="s">
        <v>105</v>
      </c>
      <c r="AM6" s="385" t="s">
        <v>105</v>
      </c>
      <c r="AN6" s="379" t="s">
        <v>105</v>
      </c>
      <c r="AO6" s="379" t="s">
        <v>105</v>
      </c>
      <c r="AP6" s="379" t="s">
        <v>105</v>
      </c>
      <c r="AQ6" s="382" t="s">
        <v>105</v>
      </c>
      <c r="AR6" s="385" t="s">
        <v>105</v>
      </c>
      <c r="AS6" s="379" t="s">
        <v>105</v>
      </c>
      <c r="AT6" s="379" t="s">
        <v>105</v>
      </c>
      <c r="AU6" s="379" t="s">
        <v>105</v>
      </c>
      <c r="AV6" s="382" t="s">
        <v>105</v>
      </c>
      <c r="AW6" s="385" t="s">
        <v>105</v>
      </c>
      <c r="AX6" s="379" t="s">
        <v>105</v>
      </c>
      <c r="AY6" s="379" t="s">
        <v>105</v>
      </c>
      <c r="AZ6" s="379" t="s">
        <v>105</v>
      </c>
      <c r="BA6" s="382" t="s">
        <v>105</v>
      </c>
      <c r="BB6" s="385" t="s">
        <v>125</v>
      </c>
      <c r="BC6" s="379" t="s">
        <v>105</v>
      </c>
      <c r="BD6" s="379" t="s">
        <v>105</v>
      </c>
      <c r="BE6" s="379" t="s">
        <v>125</v>
      </c>
      <c r="BF6" s="382" t="s">
        <v>129</v>
      </c>
      <c r="BG6" s="385" t="s">
        <v>105</v>
      </c>
      <c r="BH6" s="379" t="s">
        <v>105</v>
      </c>
      <c r="BI6" s="379" t="s">
        <v>105</v>
      </c>
      <c r="BJ6" s="379" t="s">
        <v>105</v>
      </c>
      <c r="BK6" s="382" t="s">
        <v>105</v>
      </c>
      <c r="BL6" s="385" t="s">
        <v>105</v>
      </c>
      <c r="BM6" s="382" t="s">
        <v>105</v>
      </c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15</v>
      </c>
      <c r="C7" s="334" t="s">
        <v>124</v>
      </c>
      <c r="D7" s="374" t="s">
        <v>105</v>
      </c>
      <c r="E7" s="377" t="s">
        <v>105</v>
      </c>
      <c r="F7" s="377" t="s">
        <v>105</v>
      </c>
      <c r="G7" s="377" t="s">
        <v>105</v>
      </c>
      <c r="H7" s="380" t="s">
        <v>105</v>
      </c>
      <c r="I7" s="383" t="s">
        <v>125</v>
      </c>
      <c r="J7" s="377" t="s">
        <v>105</v>
      </c>
      <c r="K7" s="377" t="s">
        <v>125</v>
      </c>
      <c r="L7" s="377" t="s">
        <v>105</v>
      </c>
      <c r="M7" s="380" t="s">
        <v>105</v>
      </c>
      <c r="N7" s="383" t="s">
        <v>125</v>
      </c>
      <c r="O7" s="377" t="s">
        <v>105</v>
      </c>
      <c r="P7" s="377" t="s">
        <v>105</v>
      </c>
      <c r="Q7" s="377" t="s">
        <v>105</v>
      </c>
      <c r="R7" s="380" t="s">
        <v>105</v>
      </c>
      <c r="S7" s="383" t="s">
        <v>105</v>
      </c>
      <c r="T7" s="377" t="s">
        <v>105</v>
      </c>
      <c r="U7" s="377" t="s">
        <v>105</v>
      </c>
      <c r="V7" s="377" t="s">
        <v>105</v>
      </c>
      <c r="W7" s="380" t="s">
        <v>105</v>
      </c>
      <c r="X7" s="383" t="s">
        <v>105</v>
      </c>
      <c r="Y7" s="377" t="s">
        <v>105</v>
      </c>
      <c r="Z7" s="377" t="s">
        <v>105</v>
      </c>
      <c r="AA7" s="377" t="s">
        <v>105</v>
      </c>
      <c r="AB7" s="380" t="s">
        <v>105</v>
      </c>
      <c r="AC7" s="383" t="s">
        <v>105</v>
      </c>
      <c r="AD7" s="377" t="s">
        <v>105</v>
      </c>
      <c r="AE7" s="377" t="s">
        <v>105</v>
      </c>
      <c r="AF7" s="377" t="s">
        <v>105</v>
      </c>
      <c r="AG7" s="380" t="s">
        <v>105</v>
      </c>
      <c r="AH7" s="383" t="s">
        <v>105</v>
      </c>
      <c r="AI7" s="377" t="s">
        <v>105</v>
      </c>
      <c r="AJ7" s="377" t="s">
        <v>105</v>
      </c>
      <c r="AK7" s="377" t="s">
        <v>105</v>
      </c>
      <c r="AL7" s="380" t="s">
        <v>105</v>
      </c>
      <c r="AM7" s="383" t="s">
        <v>105</v>
      </c>
      <c r="AN7" s="377" t="s">
        <v>105</v>
      </c>
      <c r="AO7" s="377" t="s">
        <v>105</v>
      </c>
      <c r="AP7" s="377" t="s">
        <v>105</v>
      </c>
      <c r="AQ7" s="380" t="s">
        <v>105</v>
      </c>
      <c r="AR7" s="383" t="s">
        <v>105</v>
      </c>
      <c r="AS7" s="377" t="s">
        <v>105</v>
      </c>
      <c r="AT7" s="377" t="s">
        <v>105</v>
      </c>
      <c r="AU7" s="377" t="s">
        <v>105</v>
      </c>
      <c r="AV7" s="380" t="s">
        <v>105</v>
      </c>
      <c r="AW7" s="383" t="s">
        <v>105</v>
      </c>
      <c r="AX7" s="377" t="s">
        <v>105</v>
      </c>
      <c r="AY7" s="377" t="s">
        <v>105</v>
      </c>
      <c r="AZ7" s="377" t="s">
        <v>105</v>
      </c>
      <c r="BA7" s="380" t="s">
        <v>105</v>
      </c>
      <c r="BB7" s="383" t="s">
        <v>125</v>
      </c>
      <c r="BC7" s="377" t="s">
        <v>125</v>
      </c>
      <c r="BD7" s="377" t="s">
        <v>125</v>
      </c>
      <c r="BE7" s="377" t="s">
        <v>105</v>
      </c>
      <c r="BF7" s="380" t="s">
        <v>105</v>
      </c>
      <c r="BG7" s="383" t="s">
        <v>105</v>
      </c>
      <c r="BH7" s="377" t="s">
        <v>105</v>
      </c>
      <c r="BI7" s="377" t="s">
        <v>105</v>
      </c>
      <c r="BJ7" s="377" t="s">
        <v>105</v>
      </c>
      <c r="BK7" s="380" t="s">
        <v>105</v>
      </c>
      <c r="BL7" s="383" t="s">
        <v>105</v>
      </c>
      <c r="BM7" s="380" t="s">
        <v>105</v>
      </c>
      <c r="BN7" s="22"/>
      <c r="BO7" s="22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65" t="s">
        <v>11</v>
      </c>
      <c r="B8" s="7" t="s">
        <v>12</v>
      </c>
      <c r="C8" s="335"/>
      <c r="D8" s="375" t="s">
        <v>105</v>
      </c>
      <c r="E8" s="378" t="s">
        <v>105</v>
      </c>
      <c r="F8" s="378" t="s">
        <v>105</v>
      </c>
      <c r="G8" s="378" t="s">
        <v>105</v>
      </c>
      <c r="H8" s="381" t="s">
        <v>105</v>
      </c>
      <c r="I8" s="384" t="s">
        <v>125</v>
      </c>
      <c r="J8" s="378" t="s">
        <v>105</v>
      </c>
      <c r="K8" s="378" t="s">
        <v>125</v>
      </c>
      <c r="L8" s="378" t="s">
        <v>105</v>
      </c>
      <c r="M8" s="381" t="s">
        <v>105</v>
      </c>
      <c r="N8" s="384" t="s">
        <v>125</v>
      </c>
      <c r="O8" s="378" t="s">
        <v>105</v>
      </c>
      <c r="P8" s="378" t="s">
        <v>105</v>
      </c>
      <c r="Q8" s="378" t="s">
        <v>105</v>
      </c>
      <c r="R8" s="381" t="s">
        <v>105</v>
      </c>
      <c r="S8" s="384" t="s">
        <v>105</v>
      </c>
      <c r="T8" s="378" t="s">
        <v>105</v>
      </c>
      <c r="U8" s="378" t="s">
        <v>105</v>
      </c>
      <c r="V8" s="378" t="s">
        <v>105</v>
      </c>
      <c r="W8" s="381" t="s">
        <v>105</v>
      </c>
      <c r="X8" s="384" t="s">
        <v>105</v>
      </c>
      <c r="Y8" s="378" t="s">
        <v>105</v>
      </c>
      <c r="Z8" s="378" t="s">
        <v>105</v>
      </c>
      <c r="AA8" s="378" t="s">
        <v>105</v>
      </c>
      <c r="AB8" s="381" t="s">
        <v>105</v>
      </c>
      <c r="AC8" s="384" t="s">
        <v>105</v>
      </c>
      <c r="AD8" s="378" t="s">
        <v>105</v>
      </c>
      <c r="AE8" s="378" t="s">
        <v>105</v>
      </c>
      <c r="AF8" s="378" t="s">
        <v>105</v>
      </c>
      <c r="AG8" s="381" t="s">
        <v>105</v>
      </c>
      <c r="AH8" s="384" t="s">
        <v>105</v>
      </c>
      <c r="AI8" s="378" t="s">
        <v>105</v>
      </c>
      <c r="AJ8" s="378" t="s">
        <v>105</v>
      </c>
      <c r="AK8" s="378" t="s">
        <v>105</v>
      </c>
      <c r="AL8" s="381" t="s">
        <v>105</v>
      </c>
      <c r="AM8" s="384" t="s">
        <v>105</v>
      </c>
      <c r="AN8" s="378" t="s">
        <v>105</v>
      </c>
      <c r="AO8" s="378" t="s">
        <v>105</v>
      </c>
      <c r="AP8" s="378" t="s">
        <v>105</v>
      </c>
      <c r="AQ8" s="381" t="s">
        <v>105</v>
      </c>
      <c r="AR8" s="384" t="s">
        <v>105</v>
      </c>
      <c r="AS8" s="378" t="s">
        <v>105</v>
      </c>
      <c r="AT8" s="378" t="s">
        <v>105</v>
      </c>
      <c r="AU8" s="378" t="s">
        <v>105</v>
      </c>
      <c r="AV8" s="381" t="s">
        <v>105</v>
      </c>
      <c r="AW8" s="384" t="s">
        <v>105</v>
      </c>
      <c r="AX8" s="378" t="s">
        <v>105</v>
      </c>
      <c r="AY8" s="378" t="s">
        <v>105</v>
      </c>
      <c r="AZ8" s="378" t="s">
        <v>105</v>
      </c>
      <c r="BA8" s="381" t="s">
        <v>105</v>
      </c>
      <c r="BB8" s="384" t="s">
        <v>125</v>
      </c>
      <c r="BC8" s="378" t="s">
        <v>125</v>
      </c>
      <c r="BD8" s="378" t="s">
        <v>125</v>
      </c>
      <c r="BE8" s="378" t="s">
        <v>105</v>
      </c>
      <c r="BF8" s="381" t="s">
        <v>105</v>
      </c>
      <c r="BG8" s="384" t="s">
        <v>105</v>
      </c>
      <c r="BH8" s="378" t="s">
        <v>105</v>
      </c>
      <c r="BI8" s="378" t="s">
        <v>105</v>
      </c>
      <c r="BJ8" s="378" t="s">
        <v>105</v>
      </c>
      <c r="BK8" s="381" t="s">
        <v>105</v>
      </c>
      <c r="BL8" s="384" t="s">
        <v>105</v>
      </c>
      <c r="BM8" s="381" t="s">
        <v>105</v>
      </c>
      <c r="BN8" s="22"/>
      <c r="BO8" s="22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65"/>
      <c r="B9" s="8" t="s">
        <v>13</v>
      </c>
      <c r="C9" s="335"/>
      <c r="D9" s="376" t="s">
        <v>105</v>
      </c>
      <c r="E9" s="379" t="s">
        <v>105</v>
      </c>
      <c r="F9" s="379" t="s">
        <v>105</v>
      </c>
      <c r="G9" s="379" t="s">
        <v>105</v>
      </c>
      <c r="H9" s="382" t="s">
        <v>105</v>
      </c>
      <c r="I9" s="385" t="s">
        <v>125</v>
      </c>
      <c r="J9" s="379" t="s">
        <v>105</v>
      </c>
      <c r="K9" s="379" t="s">
        <v>125</v>
      </c>
      <c r="L9" s="379" t="s">
        <v>105</v>
      </c>
      <c r="M9" s="382" t="s">
        <v>105</v>
      </c>
      <c r="N9" s="385" t="s">
        <v>125</v>
      </c>
      <c r="O9" s="379" t="s">
        <v>105</v>
      </c>
      <c r="P9" s="379" t="s">
        <v>105</v>
      </c>
      <c r="Q9" s="379" t="s">
        <v>105</v>
      </c>
      <c r="R9" s="382" t="s">
        <v>105</v>
      </c>
      <c r="S9" s="385" t="s">
        <v>105</v>
      </c>
      <c r="T9" s="379" t="s">
        <v>105</v>
      </c>
      <c r="U9" s="379" t="s">
        <v>105</v>
      </c>
      <c r="V9" s="379" t="s">
        <v>105</v>
      </c>
      <c r="W9" s="382" t="s">
        <v>105</v>
      </c>
      <c r="X9" s="385" t="s">
        <v>105</v>
      </c>
      <c r="Y9" s="379" t="s">
        <v>105</v>
      </c>
      <c r="Z9" s="379" t="s">
        <v>105</v>
      </c>
      <c r="AA9" s="379" t="s">
        <v>105</v>
      </c>
      <c r="AB9" s="382" t="s">
        <v>105</v>
      </c>
      <c r="AC9" s="385" t="s">
        <v>105</v>
      </c>
      <c r="AD9" s="379" t="s">
        <v>105</v>
      </c>
      <c r="AE9" s="379" t="s">
        <v>105</v>
      </c>
      <c r="AF9" s="379" t="s">
        <v>105</v>
      </c>
      <c r="AG9" s="382" t="s">
        <v>105</v>
      </c>
      <c r="AH9" s="385" t="s">
        <v>105</v>
      </c>
      <c r="AI9" s="379" t="s">
        <v>105</v>
      </c>
      <c r="AJ9" s="379" t="s">
        <v>105</v>
      </c>
      <c r="AK9" s="379" t="s">
        <v>105</v>
      </c>
      <c r="AL9" s="382" t="s">
        <v>105</v>
      </c>
      <c r="AM9" s="385" t="s">
        <v>105</v>
      </c>
      <c r="AN9" s="379" t="s">
        <v>105</v>
      </c>
      <c r="AO9" s="379" t="s">
        <v>105</v>
      </c>
      <c r="AP9" s="379" t="s">
        <v>105</v>
      </c>
      <c r="AQ9" s="382" t="s">
        <v>105</v>
      </c>
      <c r="AR9" s="385" t="s">
        <v>105</v>
      </c>
      <c r="AS9" s="379" t="s">
        <v>105</v>
      </c>
      <c r="AT9" s="379" t="s">
        <v>105</v>
      </c>
      <c r="AU9" s="379" t="s">
        <v>105</v>
      </c>
      <c r="AV9" s="382" t="s">
        <v>105</v>
      </c>
      <c r="AW9" s="385" t="s">
        <v>105</v>
      </c>
      <c r="AX9" s="379" t="s">
        <v>105</v>
      </c>
      <c r="AY9" s="379" t="s">
        <v>105</v>
      </c>
      <c r="AZ9" s="379" t="s">
        <v>105</v>
      </c>
      <c r="BA9" s="382" t="s">
        <v>105</v>
      </c>
      <c r="BB9" s="385" t="s">
        <v>125</v>
      </c>
      <c r="BC9" s="379" t="s">
        <v>125</v>
      </c>
      <c r="BD9" s="379" t="s">
        <v>125</v>
      </c>
      <c r="BE9" s="379" t="s">
        <v>105</v>
      </c>
      <c r="BF9" s="382" t="s">
        <v>105</v>
      </c>
      <c r="BG9" s="385" t="s">
        <v>105</v>
      </c>
      <c r="BH9" s="379" t="s">
        <v>105</v>
      </c>
      <c r="BI9" s="379" t="s">
        <v>105</v>
      </c>
      <c r="BJ9" s="379" t="s">
        <v>105</v>
      </c>
      <c r="BK9" s="382" t="s">
        <v>105</v>
      </c>
      <c r="BL9" s="385" t="s">
        <v>105</v>
      </c>
      <c r="BM9" s="382" t="s">
        <v>105</v>
      </c>
      <c r="BN9" s="22"/>
      <c r="BO9" s="22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334" t="s">
        <v>124</v>
      </c>
      <c r="D10" s="374" t="s">
        <v>105</v>
      </c>
      <c r="E10" s="377" t="s">
        <v>105</v>
      </c>
      <c r="F10" s="377" t="s">
        <v>105</v>
      </c>
      <c r="G10" s="377" t="s">
        <v>105</v>
      </c>
      <c r="H10" s="380" t="s">
        <v>105</v>
      </c>
      <c r="I10" s="383" t="s">
        <v>125</v>
      </c>
      <c r="J10" s="377" t="s">
        <v>105</v>
      </c>
      <c r="K10" s="377" t="s">
        <v>105</v>
      </c>
      <c r="L10" s="377" t="s">
        <v>125</v>
      </c>
      <c r="M10" s="380" t="s">
        <v>130</v>
      </c>
      <c r="N10" s="383" t="s">
        <v>125</v>
      </c>
      <c r="O10" s="377" t="s">
        <v>105</v>
      </c>
      <c r="P10" s="377" t="s">
        <v>105</v>
      </c>
      <c r="Q10" s="377" t="s">
        <v>105</v>
      </c>
      <c r="R10" s="380" t="s">
        <v>105</v>
      </c>
      <c r="S10" s="383" t="s">
        <v>105</v>
      </c>
      <c r="T10" s="377" t="s">
        <v>105</v>
      </c>
      <c r="U10" s="377" t="s">
        <v>105</v>
      </c>
      <c r="V10" s="377" t="s">
        <v>105</v>
      </c>
      <c r="W10" s="380" t="s">
        <v>105</v>
      </c>
      <c r="X10" s="383" t="s">
        <v>105</v>
      </c>
      <c r="Y10" s="377" t="s">
        <v>105</v>
      </c>
      <c r="Z10" s="377" t="s">
        <v>105</v>
      </c>
      <c r="AA10" s="377" t="s">
        <v>105</v>
      </c>
      <c r="AB10" s="380" t="s">
        <v>105</v>
      </c>
      <c r="AC10" s="383" t="s">
        <v>105</v>
      </c>
      <c r="AD10" s="377" t="s">
        <v>105</v>
      </c>
      <c r="AE10" s="377" t="s">
        <v>105</v>
      </c>
      <c r="AF10" s="377" t="s">
        <v>125</v>
      </c>
      <c r="AG10" s="380" t="s">
        <v>131</v>
      </c>
      <c r="AH10" s="383" t="s">
        <v>125</v>
      </c>
      <c r="AI10" s="377" t="s">
        <v>125</v>
      </c>
      <c r="AJ10" s="377" t="s">
        <v>132</v>
      </c>
      <c r="AK10" s="377" t="s">
        <v>105</v>
      </c>
      <c r="AL10" s="380" t="s">
        <v>105</v>
      </c>
      <c r="AM10" s="383" t="s">
        <v>105</v>
      </c>
      <c r="AN10" s="377" t="s">
        <v>105</v>
      </c>
      <c r="AO10" s="377" t="s">
        <v>105</v>
      </c>
      <c r="AP10" s="377" t="s">
        <v>105</v>
      </c>
      <c r="AQ10" s="380" t="s">
        <v>105</v>
      </c>
      <c r="AR10" s="383" t="s">
        <v>105</v>
      </c>
      <c r="AS10" s="377" t="s">
        <v>105</v>
      </c>
      <c r="AT10" s="377" t="s">
        <v>105</v>
      </c>
      <c r="AU10" s="377" t="s">
        <v>105</v>
      </c>
      <c r="AV10" s="380" t="s">
        <v>105</v>
      </c>
      <c r="AW10" s="383" t="s">
        <v>105</v>
      </c>
      <c r="AX10" s="377" t="s">
        <v>105</v>
      </c>
      <c r="AY10" s="377" t="s">
        <v>105</v>
      </c>
      <c r="AZ10" s="377" t="s">
        <v>105</v>
      </c>
      <c r="BA10" s="380" t="s">
        <v>105</v>
      </c>
      <c r="BB10" s="383" t="s">
        <v>105</v>
      </c>
      <c r="BC10" s="377" t="s">
        <v>105</v>
      </c>
      <c r="BD10" s="377" t="s">
        <v>105</v>
      </c>
      <c r="BE10" s="377" t="s">
        <v>125</v>
      </c>
      <c r="BF10" s="380" t="s">
        <v>105</v>
      </c>
      <c r="BG10" s="383" t="s">
        <v>125</v>
      </c>
      <c r="BH10" s="377" t="s">
        <v>105</v>
      </c>
      <c r="BI10" s="377" t="s">
        <v>105</v>
      </c>
      <c r="BJ10" s="377" t="s">
        <v>105</v>
      </c>
      <c r="BK10" s="380" t="s">
        <v>105</v>
      </c>
      <c r="BL10" s="383" t="s">
        <v>105</v>
      </c>
      <c r="BM10" s="380" t="s">
        <v>105</v>
      </c>
      <c r="BN10" s="22"/>
      <c r="BO10" s="22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65" t="s">
        <v>11</v>
      </c>
      <c r="B11" s="7" t="s">
        <v>18</v>
      </c>
      <c r="C11" s="335"/>
      <c r="D11" s="375" t="s">
        <v>105</v>
      </c>
      <c r="E11" s="378" t="s">
        <v>105</v>
      </c>
      <c r="F11" s="378" t="s">
        <v>105</v>
      </c>
      <c r="G11" s="378" t="s">
        <v>105</v>
      </c>
      <c r="H11" s="381" t="s">
        <v>105</v>
      </c>
      <c r="I11" s="384" t="s">
        <v>125</v>
      </c>
      <c r="J11" s="378" t="s">
        <v>105</v>
      </c>
      <c r="K11" s="378" t="s">
        <v>105</v>
      </c>
      <c r="L11" s="378" t="s">
        <v>125</v>
      </c>
      <c r="M11" s="381" t="s">
        <v>130</v>
      </c>
      <c r="N11" s="384" t="s">
        <v>125</v>
      </c>
      <c r="O11" s="378" t="s">
        <v>105</v>
      </c>
      <c r="P11" s="378" t="s">
        <v>105</v>
      </c>
      <c r="Q11" s="378" t="s">
        <v>105</v>
      </c>
      <c r="R11" s="381" t="s">
        <v>105</v>
      </c>
      <c r="S11" s="384" t="s">
        <v>105</v>
      </c>
      <c r="T11" s="378" t="s">
        <v>105</v>
      </c>
      <c r="U11" s="378" t="s">
        <v>105</v>
      </c>
      <c r="V11" s="378" t="s">
        <v>105</v>
      </c>
      <c r="W11" s="381" t="s">
        <v>105</v>
      </c>
      <c r="X11" s="384" t="s">
        <v>105</v>
      </c>
      <c r="Y11" s="378" t="s">
        <v>105</v>
      </c>
      <c r="Z11" s="378" t="s">
        <v>105</v>
      </c>
      <c r="AA11" s="378" t="s">
        <v>105</v>
      </c>
      <c r="AB11" s="381" t="s">
        <v>105</v>
      </c>
      <c r="AC11" s="384" t="s">
        <v>105</v>
      </c>
      <c r="AD11" s="378" t="s">
        <v>105</v>
      </c>
      <c r="AE11" s="378" t="s">
        <v>105</v>
      </c>
      <c r="AF11" s="378" t="s">
        <v>125</v>
      </c>
      <c r="AG11" s="381" t="s">
        <v>131</v>
      </c>
      <c r="AH11" s="384" t="s">
        <v>125</v>
      </c>
      <c r="AI11" s="378" t="s">
        <v>125</v>
      </c>
      <c r="AJ11" s="378" t="s">
        <v>132</v>
      </c>
      <c r="AK11" s="378" t="s">
        <v>105</v>
      </c>
      <c r="AL11" s="381" t="s">
        <v>105</v>
      </c>
      <c r="AM11" s="384" t="s">
        <v>105</v>
      </c>
      <c r="AN11" s="378" t="s">
        <v>105</v>
      </c>
      <c r="AO11" s="378" t="s">
        <v>105</v>
      </c>
      <c r="AP11" s="378" t="s">
        <v>105</v>
      </c>
      <c r="AQ11" s="381" t="s">
        <v>105</v>
      </c>
      <c r="AR11" s="384" t="s">
        <v>105</v>
      </c>
      <c r="AS11" s="378" t="s">
        <v>105</v>
      </c>
      <c r="AT11" s="378" t="s">
        <v>105</v>
      </c>
      <c r="AU11" s="378" t="s">
        <v>105</v>
      </c>
      <c r="AV11" s="381" t="s">
        <v>105</v>
      </c>
      <c r="AW11" s="384" t="s">
        <v>105</v>
      </c>
      <c r="AX11" s="378" t="s">
        <v>105</v>
      </c>
      <c r="AY11" s="378" t="s">
        <v>105</v>
      </c>
      <c r="AZ11" s="378" t="s">
        <v>105</v>
      </c>
      <c r="BA11" s="381" t="s">
        <v>105</v>
      </c>
      <c r="BB11" s="384" t="s">
        <v>105</v>
      </c>
      <c r="BC11" s="378" t="s">
        <v>105</v>
      </c>
      <c r="BD11" s="378" t="s">
        <v>105</v>
      </c>
      <c r="BE11" s="378" t="s">
        <v>125</v>
      </c>
      <c r="BF11" s="381" t="s">
        <v>105</v>
      </c>
      <c r="BG11" s="384" t="s">
        <v>125</v>
      </c>
      <c r="BH11" s="378" t="s">
        <v>105</v>
      </c>
      <c r="BI11" s="378" t="s">
        <v>105</v>
      </c>
      <c r="BJ11" s="378" t="s">
        <v>105</v>
      </c>
      <c r="BK11" s="381" t="s">
        <v>105</v>
      </c>
      <c r="BL11" s="384" t="s">
        <v>105</v>
      </c>
      <c r="BM11" s="381" t="s">
        <v>105</v>
      </c>
      <c r="BN11" s="22"/>
      <c r="BO11" s="22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65"/>
      <c r="B12" s="8" t="s">
        <v>13</v>
      </c>
      <c r="C12" s="335"/>
      <c r="D12" s="376" t="s">
        <v>105</v>
      </c>
      <c r="E12" s="379" t="s">
        <v>105</v>
      </c>
      <c r="F12" s="379" t="s">
        <v>105</v>
      </c>
      <c r="G12" s="379" t="s">
        <v>105</v>
      </c>
      <c r="H12" s="382" t="s">
        <v>105</v>
      </c>
      <c r="I12" s="385" t="s">
        <v>125</v>
      </c>
      <c r="J12" s="379" t="s">
        <v>105</v>
      </c>
      <c r="K12" s="379" t="s">
        <v>105</v>
      </c>
      <c r="L12" s="379" t="s">
        <v>125</v>
      </c>
      <c r="M12" s="382" t="s">
        <v>130</v>
      </c>
      <c r="N12" s="385" t="s">
        <v>125</v>
      </c>
      <c r="O12" s="379" t="s">
        <v>105</v>
      </c>
      <c r="P12" s="379" t="s">
        <v>105</v>
      </c>
      <c r="Q12" s="379" t="s">
        <v>105</v>
      </c>
      <c r="R12" s="382" t="s">
        <v>105</v>
      </c>
      <c r="S12" s="385" t="s">
        <v>105</v>
      </c>
      <c r="T12" s="379" t="s">
        <v>105</v>
      </c>
      <c r="U12" s="379" t="s">
        <v>105</v>
      </c>
      <c r="V12" s="379" t="s">
        <v>105</v>
      </c>
      <c r="W12" s="382" t="s">
        <v>105</v>
      </c>
      <c r="X12" s="385" t="s">
        <v>105</v>
      </c>
      <c r="Y12" s="379" t="s">
        <v>105</v>
      </c>
      <c r="Z12" s="379" t="s">
        <v>105</v>
      </c>
      <c r="AA12" s="379" t="s">
        <v>105</v>
      </c>
      <c r="AB12" s="382" t="s">
        <v>105</v>
      </c>
      <c r="AC12" s="385" t="s">
        <v>105</v>
      </c>
      <c r="AD12" s="379" t="s">
        <v>105</v>
      </c>
      <c r="AE12" s="379" t="s">
        <v>105</v>
      </c>
      <c r="AF12" s="379" t="s">
        <v>125</v>
      </c>
      <c r="AG12" s="382" t="s">
        <v>131</v>
      </c>
      <c r="AH12" s="385" t="s">
        <v>125</v>
      </c>
      <c r="AI12" s="379" t="s">
        <v>125</v>
      </c>
      <c r="AJ12" s="379" t="s">
        <v>132</v>
      </c>
      <c r="AK12" s="379" t="s">
        <v>105</v>
      </c>
      <c r="AL12" s="382" t="s">
        <v>105</v>
      </c>
      <c r="AM12" s="385" t="s">
        <v>105</v>
      </c>
      <c r="AN12" s="379" t="s">
        <v>105</v>
      </c>
      <c r="AO12" s="379" t="s">
        <v>105</v>
      </c>
      <c r="AP12" s="379" t="s">
        <v>105</v>
      </c>
      <c r="AQ12" s="382" t="s">
        <v>105</v>
      </c>
      <c r="AR12" s="385" t="s">
        <v>105</v>
      </c>
      <c r="AS12" s="379" t="s">
        <v>105</v>
      </c>
      <c r="AT12" s="379" t="s">
        <v>105</v>
      </c>
      <c r="AU12" s="379" t="s">
        <v>105</v>
      </c>
      <c r="AV12" s="382" t="s">
        <v>105</v>
      </c>
      <c r="AW12" s="385" t="s">
        <v>105</v>
      </c>
      <c r="AX12" s="379" t="s">
        <v>105</v>
      </c>
      <c r="AY12" s="379" t="s">
        <v>105</v>
      </c>
      <c r="AZ12" s="379" t="s">
        <v>105</v>
      </c>
      <c r="BA12" s="382" t="s">
        <v>105</v>
      </c>
      <c r="BB12" s="385" t="s">
        <v>105</v>
      </c>
      <c r="BC12" s="379" t="s">
        <v>105</v>
      </c>
      <c r="BD12" s="379" t="s">
        <v>105</v>
      </c>
      <c r="BE12" s="379" t="s">
        <v>125</v>
      </c>
      <c r="BF12" s="382" t="s">
        <v>105</v>
      </c>
      <c r="BG12" s="385" t="s">
        <v>125</v>
      </c>
      <c r="BH12" s="379" t="s">
        <v>105</v>
      </c>
      <c r="BI12" s="379" t="s">
        <v>105</v>
      </c>
      <c r="BJ12" s="379" t="s">
        <v>105</v>
      </c>
      <c r="BK12" s="382" t="s">
        <v>105</v>
      </c>
      <c r="BL12" s="385" t="s">
        <v>105</v>
      </c>
      <c r="BM12" s="382" t="s">
        <v>105</v>
      </c>
      <c r="BN12" s="22"/>
      <c r="BO12" s="22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19</v>
      </c>
      <c r="B13" s="6"/>
      <c r="C13" s="334" t="s">
        <v>124</v>
      </c>
      <c r="D13" s="374" t="s">
        <v>125</v>
      </c>
      <c r="E13" s="377" t="s">
        <v>125</v>
      </c>
      <c r="F13" s="377" t="s">
        <v>125</v>
      </c>
      <c r="G13" s="377" t="s">
        <v>125</v>
      </c>
      <c r="H13" s="380" t="s">
        <v>125</v>
      </c>
      <c r="I13" s="383" t="s">
        <v>125</v>
      </c>
      <c r="J13" s="377" t="s">
        <v>125</v>
      </c>
      <c r="K13" s="377" t="s">
        <v>133</v>
      </c>
      <c r="L13" s="377" t="s">
        <v>125</v>
      </c>
      <c r="M13" s="380" t="s">
        <v>125</v>
      </c>
      <c r="N13" s="383" t="s">
        <v>125</v>
      </c>
      <c r="O13" s="377" t="s">
        <v>125</v>
      </c>
      <c r="P13" s="377" t="s">
        <v>125</v>
      </c>
      <c r="Q13" s="377" t="s">
        <v>125</v>
      </c>
      <c r="R13" s="380" t="s">
        <v>125</v>
      </c>
      <c r="S13" s="383" t="s">
        <v>125</v>
      </c>
      <c r="T13" s="377" t="s">
        <v>125</v>
      </c>
      <c r="U13" s="377" t="s">
        <v>125</v>
      </c>
      <c r="V13" s="377" t="s">
        <v>125</v>
      </c>
      <c r="W13" s="380" t="s">
        <v>125</v>
      </c>
      <c r="X13" s="383" t="s">
        <v>125</v>
      </c>
      <c r="Y13" s="377" t="s">
        <v>125</v>
      </c>
      <c r="Z13" s="377" t="s">
        <v>134</v>
      </c>
      <c r="AA13" s="377" t="s">
        <v>125</v>
      </c>
      <c r="AB13" s="380" t="s">
        <v>125</v>
      </c>
      <c r="AC13" s="383" t="s">
        <v>105</v>
      </c>
      <c r="AD13" s="377" t="s">
        <v>125</v>
      </c>
      <c r="AE13" s="377" t="s">
        <v>125</v>
      </c>
      <c r="AF13" s="377" t="s">
        <v>125</v>
      </c>
      <c r="AG13" s="380" t="s">
        <v>125</v>
      </c>
      <c r="AH13" s="383" t="s">
        <v>125</v>
      </c>
      <c r="AI13" s="377" t="s">
        <v>105</v>
      </c>
      <c r="AJ13" s="377" t="s">
        <v>125</v>
      </c>
      <c r="AK13" s="377" t="s">
        <v>125</v>
      </c>
      <c r="AL13" s="380" t="s">
        <v>125</v>
      </c>
      <c r="AM13" s="383" t="s">
        <v>105</v>
      </c>
      <c r="AN13" s="377" t="s">
        <v>105</v>
      </c>
      <c r="AO13" s="377" t="s">
        <v>135</v>
      </c>
      <c r="AP13" s="377" t="s">
        <v>125</v>
      </c>
      <c r="AQ13" s="380" t="s">
        <v>125</v>
      </c>
      <c r="AR13" s="383" t="s">
        <v>125</v>
      </c>
      <c r="AS13" s="377" t="s">
        <v>105</v>
      </c>
      <c r="AT13" s="377" t="s">
        <v>125</v>
      </c>
      <c r="AU13" s="377" t="s">
        <v>105</v>
      </c>
      <c r="AV13" s="380" t="s">
        <v>125</v>
      </c>
      <c r="AW13" s="383" t="s">
        <v>125</v>
      </c>
      <c r="AX13" s="377" t="s">
        <v>125</v>
      </c>
      <c r="AY13" s="377" t="s">
        <v>105</v>
      </c>
      <c r="AZ13" s="377" t="s">
        <v>125</v>
      </c>
      <c r="BA13" s="380" t="s">
        <v>125</v>
      </c>
      <c r="BB13" s="383" t="s">
        <v>125</v>
      </c>
      <c r="BC13" s="377" t="s">
        <v>125</v>
      </c>
      <c r="BD13" s="377" t="s">
        <v>125</v>
      </c>
      <c r="BE13" s="377" t="s">
        <v>125</v>
      </c>
      <c r="BF13" s="380" t="s">
        <v>125</v>
      </c>
      <c r="BG13" s="383" t="s">
        <v>125</v>
      </c>
      <c r="BH13" s="377" t="s">
        <v>125</v>
      </c>
      <c r="BI13" s="377" t="s">
        <v>125</v>
      </c>
      <c r="BJ13" s="377" t="s">
        <v>125</v>
      </c>
      <c r="BK13" s="380" t="s">
        <v>125</v>
      </c>
      <c r="BL13" s="383" t="s">
        <v>136</v>
      </c>
      <c r="BM13" s="380" t="s">
        <v>137</v>
      </c>
      <c r="BN13" s="22"/>
      <c r="BO13" s="22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65" t="s">
        <v>11</v>
      </c>
      <c r="B14" s="7" t="s">
        <v>21</v>
      </c>
      <c r="C14" s="335"/>
      <c r="D14" s="375" t="s">
        <v>125</v>
      </c>
      <c r="E14" s="378" t="s">
        <v>125</v>
      </c>
      <c r="F14" s="378" t="s">
        <v>125</v>
      </c>
      <c r="G14" s="378" t="s">
        <v>125</v>
      </c>
      <c r="H14" s="381" t="s">
        <v>125</v>
      </c>
      <c r="I14" s="384" t="s">
        <v>125</v>
      </c>
      <c r="J14" s="378" t="s">
        <v>125</v>
      </c>
      <c r="K14" s="378" t="s">
        <v>133</v>
      </c>
      <c r="L14" s="378" t="s">
        <v>125</v>
      </c>
      <c r="M14" s="381" t="s">
        <v>125</v>
      </c>
      <c r="N14" s="384" t="s">
        <v>125</v>
      </c>
      <c r="O14" s="378" t="s">
        <v>125</v>
      </c>
      <c r="P14" s="378" t="s">
        <v>125</v>
      </c>
      <c r="Q14" s="378" t="s">
        <v>125</v>
      </c>
      <c r="R14" s="381" t="s">
        <v>125</v>
      </c>
      <c r="S14" s="384" t="s">
        <v>125</v>
      </c>
      <c r="T14" s="378" t="s">
        <v>125</v>
      </c>
      <c r="U14" s="378" t="s">
        <v>125</v>
      </c>
      <c r="V14" s="378" t="s">
        <v>125</v>
      </c>
      <c r="W14" s="381" t="s">
        <v>125</v>
      </c>
      <c r="X14" s="384" t="s">
        <v>125</v>
      </c>
      <c r="Y14" s="378" t="s">
        <v>125</v>
      </c>
      <c r="Z14" s="378" t="s">
        <v>134</v>
      </c>
      <c r="AA14" s="378" t="s">
        <v>125</v>
      </c>
      <c r="AB14" s="381" t="s">
        <v>125</v>
      </c>
      <c r="AC14" s="384" t="s">
        <v>105</v>
      </c>
      <c r="AD14" s="378" t="s">
        <v>125</v>
      </c>
      <c r="AE14" s="378" t="s">
        <v>125</v>
      </c>
      <c r="AF14" s="378" t="s">
        <v>125</v>
      </c>
      <c r="AG14" s="381" t="s">
        <v>125</v>
      </c>
      <c r="AH14" s="384" t="s">
        <v>125</v>
      </c>
      <c r="AI14" s="378" t="s">
        <v>105</v>
      </c>
      <c r="AJ14" s="378" t="s">
        <v>125</v>
      </c>
      <c r="AK14" s="378" t="s">
        <v>125</v>
      </c>
      <c r="AL14" s="381" t="s">
        <v>125</v>
      </c>
      <c r="AM14" s="384" t="s">
        <v>105</v>
      </c>
      <c r="AN14" s="378" t="s">
        <v>105</v>
      </c>
      <c r="AO14" s="378" t="s">
        <v>135</v>
      </c>
      <c r="AP14" s="378" t="s">
        <v>125</v>
      </c>
      <c r="AQ14" s="381" t="s">
        <v>125</v>
      </c>
      <c r="AR14" s="384" t="s">
        <v>125</v>
      </c>
      <c r="AS14" s="378" t="s">
        <v>105</v>
      </c>
      <c r="AT14" s="378" t="s">
        <v>125</v>
      </c>
      <c r="AU14" s="378" t="s">
        <v>105</v>
      </c>
      <c r="AV14" s="381" t="s">
        <v>125</v>
      </c>
      <c r="AW14" s="384" t="s">
        <v>125</v>
      </c>
      <c r="AX14" s="378" t="s">
        <v>125</v>
      </c>
      <c r="AY14" s="378" t="s">
        <v>105</v>
      </c>
      <c r="AZ14" s="378" t="s">
        <v>125</v>
      </c>
      <c r="BA14" s="381" t="s">
        <v>125</v>
      </c>
      <c r="BB14" s="384" t="s">
        <v>125</v>
      </c>
      <c r="BC14" s="378" t="s">
        <v>125</v>
      </c>
      <c r="BD14" s="378" t="s">
        <v>125</v>
      </c>
      <c r="BE14" s="378" t="s">
        <v>125</v>
      </c>
      <c r="BF14" s="381" t="s">
        <v>125</v>
      </c>
      <c r="BG14" s="384" t="s">
        <v>125</v>
      </c>
      <c r="BH14" s="378" t="s">
        <v>125</v>
      </c>
      <c r="BI14" s="378" t="s">
        <v>125</v>
      </c>
      <c r="BJ14" s="378" t="s">
        <v>125</v>
      </c>
      <c r="BK14" s="381" t="s">
        <v>125</v>
      </c>
      <c r="BL14" s="384" t="s">
        <v>136</v>
      </c>
      <c r="BM14" s="381" t="s">
        <v>137</v>
      </c>
      <c r="BN14" s="22"/>
      <c r="BO14" s="22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65"/>
      <c r="B15" s="8"/>
      <c r="C15" s="335"/>
      <c r="D15" s="376" t="s">
        <v>125</v>
      </c>
      <c r="E15" s="379" t="s">
        <v>125</v>
      </c>
      <c r="F15" s="379" t="s">
        <v>125</v>
      </c>
      <c r="G15" s="379" t="s">
        <v>125</v>
      </c>
      <c r="H15" s="382" t="s">
        <v>125</v>
      </c>
      <c r="I15" s="385" t="s">
        <v>125</v>
      </c>
      <c r="J15" s="379" t="s">
        <v>125</v>
      </c>
      <c r="K15" s="379" t="s">
        <v>133</v>
      </c>
      <c r="L15" s="379" t="s">
        <v>125</v>
      </c>
      <c r="M15" s="382" t="s">
        <v>125</v>
      </c>
      <c r="N15" s="385" t="s">
        <v>125</v>
      </c>
      <c r="O15" s="379" t="s">
        <v>125</v>
      </c>
      <c r="P15" s="379" t="s">
        <v>125</v>
      </c>
      <c r="Q15" s="379" t="s">
        <v>125</v>
      </c>
      <c r="R15" s="382" t="s">
        <v>125</v>
      </c>
      <c r="S15" s="385" t="s">
        <v>125</v>
      </c>
      <c r="T15" s="379" t="s">
        <v>125</v>
      </c>
      <c r="U15" s="379" t="s">
        <v>125</v>
      </c>
      <c r="V15" s="379" t="s">
        <v>125</v>
      </c>
      <c r="W15" s="382" t="s">
        <v>125</v>
      </c>
      <c r="X15" s="385" t="s">
        <v>125</v>
      </c>
      <c r="Y15" s="379" t="s">
        <v>125</v>
      </c>
      <c r="Z15" s="379" t="s">
        <v>134</v>
      </c>
      <c r="AA15" s="379" t="s">
        <v>125</v>
      </c>
      <c r="AB15" s="382" t="s">
        <v>125</v>
      </c>
      <c r="AC15" s="385" t="s">
        <v>105</v>
      </c>
      <c r="AD15" s="379" t="s">
        <v>125</v>
      </c>
      <c r="AE15" s="379" t="s">
        <v>125</v>
      </c>
      <c r="AF15" s="379" t="s">
        <v>125</v>
      </c>
      <c r="AG15" s="382" t="s">
        <v>125</v>
      </c>
      <c r="AH15" s="385" t="s">
        <v>125</v>
      </c>
      <c r="AI15" s="379" t="s">
        <v>105</v>
      </c>
      <c r="AJ15" s="379" t="s">
        <v>125</v>
      </c>
      <c r="AK15" s="379" t="s">
        <v>125</v>
      </c>
      <c r="AL15" s="382" t="s">
        <v>125</v>
      </c>
      <c r="AM15" s="385" t="s">
        <v>105</v>
      </c>
      <c r="AN15" s="379" t="s">
        <v>105</v>
      </c>
      <c r="AO15" s="379" t="s">
        <v>135</v>
      </c>
      <c r="AP15" s="379" t="s">
        <v>125</v>
      </c>
      <c r="AQ15" s="382" t="s">
        <v>125</v>
      </c>
      <c r="AR15" s="385" t="s">
        <v>125</v>
      </c>
      <c r="AS15" s="379" t="s">
        <v>105</v>
      </c>
      <c r="AT15" s="379" t="s">
        <v>125</v>
      </c>
      <c r="AU15" s="379" t="s">
        <v>105</v>
      </c>
      <c r="AV15" s="382" t="s">
        <v>125</v>
      </c>
      <c r="AW15" s="385" t="s">
        <v>125</v>
      </c>
      <c r="AX15" s="379" t="s">
        <v>125</v>
      </c>
      <c r="AY15" s="379" t="s">
        <v>105</v>
      </c>
      <c r="AZ15" s="379" t="s">
        <v>125</v>
      </c>
      <c r="BA15" s="382" t="s">
        <v>125</v>
      </c>
      <c r="BB15" s="385" t="s">
        <v>125</v>
      </c>
      <c r="BC15" s="379" t="s">
        <v>125</v>
      </c>
      <c r="BD15" s="379" t="s">
        <v>125</v>
      </c>
      <c r="BE15" s="379" t="s">
        <v>125</v>
      </c>
      <c r="BF15" s="382" t="s">
        <v>125</v>
      </c>
      <c r="BG15" s="385" t="s">
        <v>125</v>
      </c>
      <c r="BH15" s="379" t="s">
        <v>125</v>
      </c>
      <c r="BI15" s="379" t="s">
        <v>125</v>
      </c>
      <c r="BJ15" s="379" t="s">
        <v>125</v>
      </c>
      <c r="BK15" s="382" t="s">
        <v>125</v>
      </c>
      <c r="BL15" s="385" t="s">
        <v>136</v>
      </c>
      <c r="BM15" s="382" t="s">
        <v>137</v>
      </c>
      <c r="BN15" s="22"/>
      <c r="BO15" s="22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19</v>
      </c>
      <c r="B16" s="6"/>
      <c r="C16" s="334" t="s">
        <v>124</v>
      </c>
      <c r="D16" s="374" t="s">
        <v>138</v>
      </c>
      <c r="E16" s="377" t="s">
        <v>125</v>
      </c>
      <c r="F16" s="377" t="s">
        <v>139</v>
      </c>
      <c r="G16" s="377" t="s">
        <v>140</v>
      </c>
      <c r="H16" s="380" t="s">
        <v>141</v>
      </c>
      <c r="I16" s="383" t="s">
        <v>125</v>
      </c>
      <c r="J16" s="377" t="s">
        <v>125</v>
      </c>
      <c r="K16" s="377" t="s">
        <v>142</v>
      </c>
      <c r="L16" s="377" t="s">
        <v>125</v>
      </c>
      <c r="M16" s="380" t="s">
        <v>143</v>
      </c>
      <c r="N16" s="383" t="s">
        <v>125</v>
      </c>
      <c r="O16" s="377" t="s">
        <v>125</v>
      </c>
      <c r="P16" s="377" t="s">
        <v>144</v>
      </c>
      <c r="Q16" s="377" t="s">
        <v>145</v>
      </c>
      <c r="R16" s="380" t="s">
        <v>125</v>
      </c>
      <c r="S16" s="383" t="s">
        <v>125</v>
      </c>
      <c r="T16" s="377" t="s">
        <v>125</v>
      </c>
      <c r="U16" s="377" t="s">
        <v>125</v>
      </c>
      <c r="V16" s="377" t="s">
        <v>125</v>
      </c>
      <c r="W16" s="380" t="s">
        <v>146</v>
      </c>
      <c r="X16" s="383" t="s">
        <v>147</v>
      </c>
      <c r="Y16" s="377" t="s">
        <v>125</v>
      </c>
      <c r="Z16" s="377" t="s">
        <v>148</v>
      </c>
      <c r="AA16" s="377" t="s">
        <v>125</v>
      </c>
      <c r="AB16" s="380" t="s">
        <v>149</v>
      </c>
      <c r="AC16" s="383" t="s">
        <v>125</v>
      </c>
      <c r="AD16" s="377" t="s">
        <v>125</v>
      </c>
      <c r="AE16" s="377" t="s">
        <v>125</v>
      </c>
      <c r="AF16" s="377" t="s">
        <v>125</v>
      </c>
      <c r="AG16" s="380" t="s">
        <v>125</v>
      </c>
      <c r="AH16" s="383" t="s">
        <v>150</v>
      </c>
      <c r="AI16" s="377" t="s">
        <v>125</v>
      </c>
      <c r="AJ16" s="377" t="s">
        <v>125</v>
      </c>
      <c r="AK16" s="377" t="s">
        <v>151</v>
      </c>
      <c r="AL16" s="380" t="s">
        <v>125</v>
      </c>
      <c r="AM16" s="383" t="s">
        <v>125</v>
      </c>
      <c r="AN16" s="377" t="s">
        <v>125</v>
      </c>
      <c r="AO16" s="377" t="s">
        <v>152</v>
      </c>
      <c r="AP16" s="377" t="s">
        <v>153</v>
      </c>
      <c r="AQ16" s="380" t="s">
        <v>154</v>
      </c>
      <c r="AR16" s="383" t="s">
        <v>125</v>
      </c>
      <c r="AS16" s="377" t="s">
        <v>155</v>
      </c>
      <c r="AT16" s="377" t="s">
        <v>125</v>
      </c>
      <c r="AU16" s="377" t="s">
        <v>156</v>
      </c>
      <c r="AV16" s="380" t="s">
        <v>125</v>
      </c>
      <c r="AW16" s="383" t="s">
        <v>125</v>
      </c>
      <c r="AX16" s="377" t="s">
        <v>125</v>
      </c>
      <c r="AY16" s="377" t="s">
        <v>125</v>
      </c>
      <c r="AZ16" s="377" t="s">
        <v>125</v>
      </c>
      <c r="BA16" s="380" t="s">
        <v>125</v>
      </c>
      <c r="BB16" s="383" t="s">
        <v>125</v>
      </c>
      <c r="BC16" s="377" t="s">
        <v>125</v>
      </c>
      <c r="BD16" s="377" t="s">
        <v>125</v>
      </c>
      <c r="BE16" s="377" t="s">
        <v>125</v>
      </c>
      <c r="BF16" s="380" t="s">
        <v>125</v>
      </c>
      <c r="BG16" s="383" t="s">
        <v>125</v>
      </c>
      <c r="BH16" s="377" t="s">
        <v>125</v>
      </c>
      <c r="BI16" s="377" t="s">
        <v>157</v>
      </c>
      <c r="BJ16" s="377" t="s">
        <v>158</v>
      </c>
      <c r="BK16" s="380" t="s">
        <v>125</v>
      </c>
      <c r="BL16" s="383" t="s">
        <v>125</v>
      </c>
      <c r="BM16" s="380" t="s">
        <v>125</v>
      </c>
      <c r="BN16" s="22"/>
      <c r="BO16" s="22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65" t="s">
        <v>11</v>
      </c>
      <c r="B17" s="7" t="s">
        <v>22</v>
      </c>
      <c r="C17" s="335"/>
      <c r="D17" s="375" t="s">
        <v>138</v>
      </c>
      <c r="E17" s="378" t="s">
        <v>125</v>
      </c>
      <c r="F17" s="378" t="s">
        <v>139</v>
      </c>
      <c r="G17" s="378" t="s">
        <v>140</v>
      </c>
      <c r="H17" s="381" t="s">
        <v>141</v>
      </c>
      <c r="I17" s="384" t="s">
        <v>125</v>
      </c>
      <c r="J17" s="378" t="s">
        <v>125</v>
      </c>
      <c r="K17" s="378" t="s">
        <v>142</v>
      </c>
      <c r="L17" s="378" t="s">
        <v>125</v>
      </c>
      <c r="M17" s="381" t="s">
        <v>143</v>
      </c>
      <c r="N17" s="384" t="s">
        <v>125</v>
      </c>
      <c r="O17" s="378" t="s">
        <v>125</v>
      </c>
      <c r="P17" s="378" t="s">
        <v>144</v>
      </c>
      <c r="Q17" s="378" t="s">
        <v>145</v>
      </c>
      <c r="R17" s="381" t="s">
        <v>125</v>
      </c>
      <c r="S17" s="384" t="s">
        <v>125</v>
      </c>
      <c r="T17" s="378" t="s">
        <v>125</v>
      </c>
      <c r="U17" s="378" t="s">
        <v>125</v>
      </c>
      <c r="V17" s="378" t="s">
        <v>125</v>
      </c>
      <c r="W17" s="381" t="s">
        <v>146</v>
      </c>
      <c r="X17" s="384" t="s">
        <v>147</v>
      </c>
      <c r="Y17" s="378" t="s">
        <v>125</v>
      </c>
      <c r="Z17" s="378" t="s">
        <v>148</v>
      </c>
      <c r="AA17" s="378" t="s">
        <v>125</v>
      </c>
      <c r="AB17" s="381" t="s">
        <v>149</v>
      </c>
      <c r="AC17" s="384" t="s">
        <v>125</v>
      </c>
      <c r="AD17" s="378" t="s">
        <v>125</v>
      </c>
      <c r="AE17" s="378" t="s">
        <v>125</v>
      </c>
      <c r="AF17" s="378" t="s">
        <v>125</v>
      </c>
      <c r="AG17" s="381" t="s">
        <v>125</v>
      </c>
      <c r="AH17" s="384" t="s">
        <v>150</v>
      </c>
      <c r="AI17" s="378" t="s">
        <v>125</v>
      </c>
      <c r="AJ17" s="378" t="s">
        <v>125</v>
      </c>
      <c r="AK17" s="378" t="s">
        <v>151</v>
      </c>
      <c r="AL17" s="381" t="s">
        <v>125</v>
      </c>
      <c r="AM17" s="384" t="s">
        <v>125</v>
      </c>
      <c r="AN17" s="378" t="s">
        <v>125</v>
      </c>
      <c r="AO17" s="378" t="s">
        <v>152</v>
      </c>
      <c r="AP17" s="378" t="s">
        <v>153</v>
      </c>
      <c r="AQ17" s="381" t="s">
        <v>154</v>
      </c>
      <c r="AR17" s="384" t="s">
        <v>125</v>
      </c>
      <c r="AS17" s="378" t="s">
        <v>155</v>
      </c>
      <c r="AT17" s="378" t="s">
        <v>125</v>
      </c>
      <c r="AU17" s="378" t="s">
        <v>156</v>
      </c>
      <c r="AV17" s="381" t="s">
        <v>125</v>
      </c>
      <c r="AW17" s="384" t="s">
        <v>125</v>
      </c>
      <c r="AX17" s="378" t="s">
        <v>125</v>
      </c>
      <c r="AY17" s="378" t="s">
        <v>125</v>
      </c>
      <c r="AZ17" s="378" t="s">
        <v>125</v>
      </c>
      <c r="BA17" s="381" t="s">
        <v>125</v>
      </c>
      <c r="BB17" s="384" t="s">
        <v>125</v>
      </c>
      <c r="BC17" s="378" t="s">
        <v>125</v>
      </c>
      <c r="BD17" s="378" t="s">
        <v>125</v>
      </c>
      <c r="BE17" s="378" t="s">
        <v>125</v>
      </c>
      <c r="BF17" s="381" t="s">
        <v>125</v>
      </c>
      <c r="BG17" s="384" t="s">
        <v>125</v>
      </c>
      <c r="BH17" s="378" t="s">
        <v>125</v>
      </c>
      <c r="BI17" s="378" t="s">
        <v>157</v>
      </c>
      <c r="BJ17" s="378" t="s">
        <v>158</v>
      </c>
      <c r="BK17" s="381" t="s">
        <v>125</v>
      </c>
      <c r="BL17" s="384" t="s">
        <v>125</v>
      </c>
      <c r="BM17" s="381" t="s">
        <v>125</v>
      </c>
      <c r="BN17" s="22"/>
      <c r="BO17" s="22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65"/>
      <c r="B18" s="8"/>
      <c r="C18" s="335"/>
      <c r="D18" s="376" t="s">
        <v>138</v>
      </c>
      <c r="E18" s="379" t="s">
        <v>125</v>
      </c>
      <c r="F18" s="379" t="s">
        <v>139</v>
      </c>
      <c r="G18" s="379" t="s">
        <v>140</v>
      </c>
      <c r="H18" s="382" t="s">
        <v>141</v>
      </c>
      <c r="I18" s="385" t="s">
        <v>125</v>
      </c>
      <c r="J18" s="379" t="s">
        <v>125</v>
      </c>
      <c r="K18" s="379" t="s">
        <v>142</v>
      </c>
      <c r="L18" s="379" t="s">
        <v>125</v>
      </c>
      <c r="M18" s="382" t="s">
        <v>143</v>
      </c>
      <c r="N18" s="385" t="s">
        <v>125</v>
      </c>
      <c r="O18" s="379" t="s">
        <v>125</v>
      </c>
      <c r="P18" s="379" t="s">
        <v>144</v>
      </c>
      <c r="Q18" s="379" t="s">
        <v>145</v>
      </c>
      <c r="R18" s="382" t="s">
        <v>125</v>
      </c>
      <c r="S18" s="385" t="s">
        <v>125</v>
      </c>
      <c r="T18" s="379" t="s">
        <v>125</v>
      </c>
      <c r="U18" s="379" t="s">
        <v>125</v>
      </c>
      <c r="V18" s="379" t="s">
        <v>125</v>
      </c>
      <c r="W18" s="382" t="s">
        <v>146</v>
      </c>
      <c r="X18" s="385" t="s">
        <v>147</v>
      </c>
      <c r="Y18" s="379" t="s">
        <v>125</v>
      </c>
      <c r="Z18" s="379" t="s">
        <v>148</v>
      </c>
      <c r="AA18" s="379" t="s">
        <v>125</v>
      </c>
      <c r="AB18" s="382" t="s">
        <v>149</v>
      </c>
      <c r="AC18" s="385" t="s">
        <v>125</v>
      </c>
      <c r="AD18" s="379" t="s">
        <v>125</v>
      </c>
      <c r="AE18" s="379" t="s">
        <v>125</v>
      </c>
      <c r="AF18" s="379" t="s">
        <v>125</v>
      </c>
      <c r="AG18" s="382" t="s">
        <v>125</v>
      </c>
      <c r="AH18" s="385" t="s">
        <v>150</v>
      </c>
      <c r="AI18" s="379" t="s">
        <v>125</v>
      </c>
      <c r="AJ18" s="379" t="s">
        <v>125</v>
      </c>
      <c r="AK18" s="379" t="s">
        <v>151</v>
      </c>
      <c r="AL18" s="382" t="s">
        <v>125</v>
      </c>
      <c r="AM18" s="385" t="s">
        <v>125</v>
      </c>
      <c r="AN18" s="379" t="s">
        <v>125</v>
      </c>
      <c r="AO18" s="379" t="s">
        <v>152</v>
      </c>
      <c r="AP18" s="379" t="s">
        <v>153</v>
      </c>
      <c r="AQ18" s="382" t="s">
        <v>154</v>
      </c>
      <c r="AR18" s="385" t="s">
        <v>125</v>
      </c>
      <c r="AS18" s="379" t="s">
        <v>155</v>
      </c>
      <c r="AT18" s="379" t="s">
        <v>125</v>
      </c>
      <c r="AU18" s="379" t="s">
        <v>156</v>
      </c>
      <c r="AV18" s="382" t="s">
        <v>125</v>
      </c>
      <c r="AW18" s="385" t="s">
        <v>125</v>
      </c>
      <c r="AX18" s="379" t="s">
        <v>125</v>
      </c>
      <c r="AY18" s="379" t="s">
        <v>125</v>
      </c>
      <c r="AZ18" s="379" t="s">
        <v>125</v>
      </c>
      <c r="BA18" s="382" t="s">
        <v>125</v>
      </c>
      <c r="BB18" s="385" t="s">
        <v>125</v>
      </c>
      <c r="BC18" s="379" t="s">
        <v>125</v>
      </c>
      <c r="BD18" s="379" t="s">
        <v>125</v>
      </c>
      <c r="BE18" s="379" t="s">
        <v>125</v>
      </c>
      <c r="BF18" s="382" t="s">
        <v>125</v>
      </c>
      <c r="BG18" s="385" t="s">
        <v>125</v>
      </c>
      <c r="BH18" s="379" t="s">
        <v>125</v>
      </c>
      <c r="BI18" s="379" t="s">
        <v>157</v>
      </c>
      <c r="BJ18" s="379" t="s">
        <v>158</v>
      </c>
      <c r="BK18" s="382" t="s">
        <v>125</v>
      </c>
      <c r="BL18" s="385" t="s">
        <v>125</v>
      </c>
      <c r="BM18" s="382" t="s">
        <v>125</v>
      </c>
      <c r="BN18" s="22"/>
      <c r="BO18" s="22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19</v>
      </c>
      <c r="B19" s="6"/>
      <c r="C19" s="334" t="s">
        <v>124</v>
      </c>
      <c r="D19" s="374" t="s">
        <v>159</v>
      </c>
      <c r="E19" s="377" t="s">
        <v>125</v>
      </c>
      <c r="F19" s="377" t="s">
        <v>125</v>
      </c>
      <c r="G19" s="377" t="s">
        <v>160</v>
      </c>
      <c r="H19" s="380" t="s">
        <v>161</v>
      </c>
      <c r="I19" s="383" t="s">
        <v>162</v>
      </c>
      <c r="J19" s="377" t="s">
        <v>136</v>
      </c>
      <c r="K19" s="377" t="s">
        <v>144</v>
      </c>
      <c r="L19" s="377" t="s">
        <v>163</v>
      </c>
      <c r="M19" s="380" t="s">
        <v>125</v>
      </c>
      <c r="N19" s="383" t="s">
        <v>164</v>
      </c>
      <c r="O19" s="377" t="s">
        <v>165</v>
      </c>
      <c r="P19" s="377" t="s">
        <v>166</v>
      </c>
      <c r="Q19" s="377" t="s">
        <v>167</v>
      </c>
      <c r="R19" s="380" t="s">
        <v>168</v>
      </c>
      <c r="S19" s="383" t="s">
        <v>169</v>
      </c>
      <c r="T19" s="377" t="s">
        <v>170</v>
      </c>
      <c r="U19" s="377" t="s">
        <v>171</v>
      </c>
      <c r="V19" s="377" t="s">
        <v>172</v>
      </c>
      <c r="W19" s="380" t="s">
        <v>125</v>
      </c>
      <c r="X19" s="383" t="s">
        <v>125</v>
      </c>
      <c r="Y19" s="377" t="s">
        <v>125</v>
      </c>
      <c r="Z19" s="377" t="s">
        <v>173</v>
      </c>
      <c r="AA19" s="377" t="s">
        <v>125</v>
      </c>
      <c r="AB19" s="380" t="s">
        <v>125</v>
      </c>
      <c r="AC19" s="383" t="s">
        <v>125</v>
      </c>
      <c r="AD19" s="377" t="s">
        <v>125</v>
      </c>
      <c r="AE19" s="377" t="s">
        <v>174</v>
      </c>
      <c r="AF19" s="377" t="s">
        <v>125</v>
      </c>
      <c r="AG19" s="380" t="s">
        <v>175</v>
      </c>
      <c r="AH19" s="383" t="s">
        <v>125</v>
      </c>
      <c r="AI19" s="377" t="s">
        <v>125</v>
      </c>
      <c r="AJ19" s="377" t="s">
        <v>125</v>
      </c>
      <c r="AK19" s="377" t="s">
        <v>176</v>
      </c>
      <c r="AL19" s="380" t="s">
        <v>177</v>
      </c>
      <c r="AM19" s="383" t="s">
        <v>178</v>
      </c>
      <c r="AN19" s="377" t="s">
        <v>179</v>
      </c>
      <c r="AO19" s="377" t="s">
        <v>125</v>
      </c>
      <c r="AP19" s="377" t="s">
        <v>125</v>
      </c>
      <c r="AQ19" s="380" t="s">
        <v>180</v>
      </c>
      <c r="AR19" s="383" t="s">
        <v>181</v>
      </c>
      <c r="AS19" s="377" t="s">
        <v>182</v>
      </c>
      <c r="AT19" s="377" t="s">
        <v>183</v>
      </c>
      <c r="AU19" s="377" t="s">
        <v>184</v>
      </c>
      <c r="AV19" s="380" t="s">
        <v>159</v>
      </c>
      <c r="AW19" s="383" t="s">
        <v>125</v>
      </c>
      <c r="AX19" s="377" t="s">
        <v>125</v>
      </c>
      <c r="AY19" s="377" t="s">
        <v>185</v>
      </c>
      <c r="AZ19" s="377" t="s">
        <v>125</v>
      </c>
      <c r="BA19" s="380" t="s">
        <v>186</v>
      </c>
      <c r="BB19" s="383" t="s">
        <v>187</v>
      </c>
      <c r="BC19" s="377" t="s">
        <v>188</v>
      </c>
      <c r="BD19" s="377" t="s">
        <v>125</v>
      </c>
      <c r="BE19" s="377" t="s">
        <v>125</v>
      </c>
      <c r="BF19" s="380" t="s">
        <v>125</v>
      </c>
      <c r="BG19" s="383" t="s">
        <v>125</v>
      </c>
      <c r="BH19" s="377" t="s">
        <v>125</v>
      </c>
      <c r="BI19" s="377" t="s">
        <v>125</v>
      </c>
      <c r="BJ19" s="377" t="s">
        <v>189</v>
      </c>
      <c r="BK19" s="380" t="s">
        <v>137</v>
      </c>
      <c r="BL19" s="383" t="s">
        <v>125</v>
      </c>
      <c r="BM19" s="380" t="s">
        <v>190</v>
      </c>
      <c r="BN19" s="22"/>
      <c r="BO19" s="22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65" t="s">
        <v>11</v>
      </c>
      <c r="B20" s="7" t="s">
        <v>23</v>
      </c>
      <c r="C20" s="335"/>
      <c r="D20" s="375" t="s">
        <v>159</v>
      </c>
      <c r="E20" s="378" t="s">
        <v>125</v>
      </c>
      <c r="F20" s="378" t="s">
        <v>125</v>
      </c>
      <c r="G20" s="378" t="s">
        <v>160</v>
      </c>
      <c r="H20" s="381" t="s">
        <v>161</v>
      </c>
      <c r="I20" s="384" t="s">
        <v>162</v>
      </c>
      <c r="J20" s="378" t="s">
        <v>136</v>
      </c>
      <c r="K20" s="378" t="s">
        <v>144</v>
      </c>
      <c r="L20" s="378" t="s">
        <v>163</v>
      </c>
      <c r="M20" s="381" t="s">
        <v>125</v>
      </c>
      <c r="N20" s="384" t="s">
        <v>164</v>
      </c>
      <c r="O20" s="378" t="s">
        <v>165</v>
      </c>
      <c r="P20" s="378" t="s">
        <v>166</v>
      </c>
      <c r="Q20" s="378" t="s">
        <v>167</v>
      </c>
      <c r="R20" s="381" t="s">
        <v>168</v>
      </c>
      <c r="S20" s="384" t="s">
        <v>169</v>
      </c>
      <c r="T20" s="378" t="s">
        <v>170</v>
      </c>
      <c r="U20" s="378" t="s">
        <v>171</v>
      </c>
      <c r="V20" s="378" t="s">
        <v>172</v>
      </c>
      <c r="W20" s="381" t="s">
        <v>125</v>
      </c>
      <c r="X20" s="384" t="s">
        <v>125</v>
      </c>
      <c r="Y20" s="378" t="s">
        <v>125</v>
      </c>
      <c r="Z20" s="378" t="s">
        <v>173</v>
      </c>
      <c r="AA20" s="378" t="s">
        <v>125</v>
      </c>
      <c r="AB20" s="381" t="s">
        <v>125</v>
      </c>
      <c r="AC20" s="384" t="s">
        <v>125</v>
      </c>
      <c r="AD20" s="378" t="s">
        <v>125</v>
      </c>
      <c r="AE20" s="378" t="s">
        <v>174</v>
      </c>
      <c r="AF20" s="378" t="s">
        <v>125</v>
      </c>
      <c r="AG20" s="381" t="s">
        <v>175</v>
      </c>
      <c r="AH20" s="384" t="s">
        <v>125</v>
      </c>
      <c r="AI20" s="378" t="s">
        <v>125</v>
      </c>
      <c r="AJ20" s="378" t="s">
        <v>125</v>
      </c>
      <c r="AK20" s="378" t="s">
        <v>176</v>
      </c>
      <c r="AL20" s="381" t="s">
        <v>177</v>
      </c>
      <c r="AM20" s="384" t="s">
        <v>178</v>
      </c>
      <c r="AN20" s="378" t="s">
        <v>179</v>
      </c>
      <c r="AO20" s="378" t="s">
        <v>125</v>
      </c>
      <c r="AP20" s="378" t="s">
        <v>125</v>
      </c>
      <c r="AQ20" s="381" t="s">
        <v>180</v>
      </c>
      <c r="AR20" s="384" t="s">
        <v>181</v>
      </c>
      <c r="AS20" s="378" t="s">
        <v>182</v>
      </c>
      <c r="AT20" s="378" t="s">
        <v>183</v>
      </c>
      <c r="AU20" s="378" t="s">
        <v>184</v>
      </c>
      <c r="AV20" s="381" t="s">
        <v>159</v>
      </c>
      <c r="AW20" s="384" t="s">
        <v>125</v>
      </c>
      <c r="AX20" s="378" t="s">
        <v>125</v>
      </c>
      <c r="AY20" s="378" t="s">
        <v>185</v>
      </c>
      <c r="AZ20" s="378" t="s">
        <v>125</v>
      </c>
      <c r="BA20" s="381" t="s">
        <v>186</v>
      </c>
      <c r="BB20" s="384" t="s">
        <v>187</v>
      </c>
      <c r="BC20" s="378" t="s">
        <v>188</v>
      </c>
      <c r="BD20" s="378" t="s">
        <v>125</v>
      </c>
      <c r="BE20" s="378" t="s">
        <v>125</v>
      </c>
      <c r="BF20" s="381" t="s">
        <v>125</v>
      </c>
      <c r="BG20" s="384" t="s">
        <v>125</v>
      </c>
      <c r="BH20" s="378" t="s">
        <v>125</v>
      </c>
      <c r="BI20" s="378" t="s">
        <v>125</v>
      </c>
      <c r="BJ20" s="378" t="s">
        <v>189</v>
      </c>
      <c r="BK20" s="381" t="s">
        <v>137</v>
      </c>
      <c r="BL20" s="384" t="s">
        <v>125</v>
      </c>
      <c r="BM20" s="381" t="s">
        <v>190</v>
      </c>
      <c r="BN20" s="22"/>
      <c r="BO20" s="22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65"/>
      <c r="B21" s="8"/>
      <c r="C21" s="335"/>
      <c r="D21" s="376" t="s">
        <v>159</v>
      </c>
      <c r="E21" s="379" t="s">
        <v>125</v>
      </c>
      <c r="F21" s="379" t="s">
        <v>125</v>
      </c>
      <c r="G21" s="379" t="s">
        <v>160</v>
      </c>
      <c r="H21" s="382" t="s">
        <v>161</v>
      </c>
      <c r="I21" s="385" t="s">
        <v>162</v>
      </c>
      <c r="J21" s="379" t="s">
        <v>136</v>
      </c>
      <c r="K21" s="379" t="s">
        <v>144</v>
      </c>
      <c r="L21" s="379" t="s">
        <v>163</v>
      </c>
      <c r="M21" s="382" t="s">
        <v>125</v>
      </c>
      <c r="N21" s="385" t="s">
        <v>164</v>
      </c>
      <c r="O21" s="379" t="s">
        <v>165</v>
      </c>
      <c r="P21" s="379" t="s">
        <v>166</v>
      </c>
      <c r="Q21" s="379" t="s">
        <v>167</v>
      </c>
      <c r="R21" s="382" t="s">
        <v>168</v>
      </c>
      <c r="S21" s="385" t="s">
        <v>169</v>
      </c>
      <c r="T21" s="379" t="s">
        <v>170</v>
      </c>
      <c r="U21" s="379" t="s">
        <v>171</v>
      </c>
      <c r="V21" s="379" t="s">
        <v>172</v>
      </c>
      <c r="W21" s="382" t="s">
        <v>125</v>
      </c>
      <c r="X21" s="385" t="s">
        <v>125</v>
      </c>
      <c r="Y21" s="379" t="s">
        <v>125</v>
      </c>
      <c r="Z21" s="379" t="s">
        <v>173</v>
      </c>
      <c r="AA21" s="379" t="s">
        <v>125</v>
      </c>
      <c r="AB21" s="382" t="s">
        <v>125</v>
      </c>
      <c r="AC21" s="385" t="s">
        <v>125</v>
      </c>
      <c r="AD21" s="379" t="s">
        <v>125</v>
      </c>
      <c r="AE21" s="379" t="s">
        <v>174</v>
      </c>
      <c r="AF21" s="379" t="s">
        <v>125</v>
      </c>
      <c r="AG21" s="382" t="s">
        <v>175</v>
      </c>
      <c r="AH21" s="385" t="s">
        <v>125</v>
      </c>
      <c r="AI21" s="379" t="s">
        <v>125</v>
      </c>
      <c r="AJ21" s="379" t="s">
        <v>125</v>
      </c>
      <c r="AK21" s="379" t="s">
        <v>176</v>
      </c>
      <c r="AL21" s="382" t="s">
        <v>177</v>
      </c>
      <c r="AM21" s="385" t="s">
        <v>178</v>
      </c>
      <c r="AN21" s="379" t="s">
        <v>179</v>
      </c>
      <c r="AO21" s="379" t="s">
        <v>125</v>
      </c>
      <c r="AP21" s="379" t="s">
        <v>125</v>
      </c>
      <c r="AQ21" s="382" t="s">
        <v>180</v>
      </c>
      <c r="AR21" s="385" t="s">
        <v>181</v>
      </c>
      <c r="AS21" s="379" t="s">
        <v>182</v>
      </c>
      <c r="AT21" s="379" t="s">
        <v>183</v>
      </c>
      <c r="AU21" s="379" t="s">
        <v>184</v>
      </c>
      <c r="AV21" s="382" t="s">
        <v>159</v>
      </c>
      <c r="AW21" s="385" t="s">
        <v>125</v>
      </c>
      <c r="AX21" s="379" t="s">
        <v>125</v>
      </c>
      <c r="AY21" s="379" t="s">
        <v>185</v>
      </c>
      <c r="AZ21" s="379" t="s">
        <v>125</v>
      </c>
      <c r="BA21" s="382" t="s">
        <v>186</v>
      </c>
      <c r="BB21" s="385" t="s">
        <v>187</v>
      </c>
      <c r="BC21" s="379" t="s">
        <v>188</v>
      </c>
      <c r="BD21" s="379" t="s">
        <v>125</v>
      </c>
      <c r="BE21" s="379" t="s">
        <v>125</v>
      </c>
      <c r="BF21" s="382" t="s">
        <v>125</v>
      </c>
      <c r="BG21" s="385" t="s">
        <v>125</v>
      </c>
      <c r="BH21" s="379" t="s">
        <v>125</v>
      </c>
      <c r="BI21" s="379" t="s">
        <v>125</v>
      </c>
      <c r="BJ21" s="379" t="s">
        <v>189</v>
      </c>
      <c r="BK21" s="382" t="s">
        <v>137</v>
      </c>
      <c r="BL21" s="385" t="s">
        <v>125</v>
      </c>
      <c r="BM21" s="382" t="s">
        <v>190</v>
      </c>
      <c r="BN21" s="22"/>
      <c r="BO21" s="22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19</v>
      </c>
      <c r="B22" s="6"/>
      <c r="C22" s="334" t="s">
        <v>124</v>
      </c>
      <c r="D22" s="374" t="s">
        <v>191</v>
      </c>
      <c r="E22" s="377" t="s">
        <v>192</v>
      </c>
      <c r="F22" s="377" t="s">
        <v>125</v>
      </c>
      <c r="G22" s="377" t="s">
        <v>125</v>
      </c>
      <c r="H22" s="380" t="s">
        <v>125</v>
      </c>
      <c r="I22" s="383" t="s">
        <v>193</v>
      </c>
      <c r="J22" s="377" t="s">
        <v>125</v>
      </c>
      <c r="K22" s="377" t="s">
        <v>194</v>
      </c>
      <c r="L22" s="377" t="s">
        <v>125</v>
      </c>
      <c r="M22" s="380" t="s">
        <v>195</v>
      </c>
      <c r="N22" s="383" t="s">
        <v>125</v>
      </c>
      <c r="O22" s="377" t="s">
        <v>196</v>
      </c>
      <c r="P22" s="377" t="s">
        <v>179</v>
      </c>
      <c r="Q22" s="377" t="s">
        <v>125</v>
      </c>
      <c r="R22" s="380" t="s">
        <v>197</v>
      </c>
      <c r="S22" s="383" t="s">
        <v>125</v>
      </c>
      <c r="T22" s="377" t="s">
        <v>198</v>
      </c>
      <c r="U22" s="377" t="s">
        <v>125</v>
      </c>
      <c r="V22" s="377" t="s">
        <v>125</v>
      </c>
      <c r="W22" s="380" t="s">
        <v>125</v>
      </c>
      <c r="X22" s="383" t="s">
        <v>125</v>
      </c>
      <c r="Y22" s="377" t="s">
        <v>125</v>
      </c>
      <c r="Z22" s="377" t="s">
        <v>199</v>
      </c>
      <c r="AA22" s="377" t="s">
        <v>125</v>
      </c>
      <c r="AB22" s="380" t="s">
        <v>125</v>
      </c>
      <c r="AC22" s="383" t="s">
        <v>125</v>
      </c>
      <c r="AD22" s="377" t="s">
        <v>125</v>
      </c>
      <c r="AE22" s="377" t="s">
        <v>200</v>
      </c>
      <c r="AF22" s="377" t="s">
        <v>125</v>
      </c>
      <c r="AG22" s="380" t="s">
        <v>125</v>
      </c>
      <c r="AH22" s="383" t="s">
        <v>125</v>
      </c>
      <c r="AI22" s="377" t="s">
        <v>125</v>
      </c>
      <c r="AJ22" s="377" t="s">
        <v>125</v>
      </c>
      <c r="AK22" s="377" t="s">
        <v>125</v>
      </c>
      <c r="AL22" s="380" t="s">
        <v>125</v>
      </c>
      <c r="AM22" s="383" t="s">
        <v>125</v>
      </c>
      <c r="AN22" s="377" t="s">
        <v>125</v>
      </c>
      <c r="AO22" s="377" t="s">
        <v>125</v>
      </c>
      <c r="AP22" s="377" t="s">
        <v>125</v>
      </c>
      <c r="AQ22" s="380" t="s">
        <v>201</v>
      </c>
      <c r="AR22" s="383" t="s">
        <v>125</v>
      </c>
      <c r="AS22" s="377" t="s">
        <v>125</v>
      </c>
      <c r="AT22" s="377" t="s">
        <v>179</v>
      </c>
      <c r="AU22" s="377" t="s">
        <v>202</v>
      </c>
      <c r="AV22" s="380" t="s">
        <v>203</v>
      </c>
      <c r="AW22" s="383" t="s">
        <v>204</v>
      </c>
      <c r="AX22" s="377" t="s">
        <v>125</v>
      </c>
      <c r="AY22" s="377" t="s">
        <v>125</v>
      </c>
      <c r="AZ22" s="377" t="s">
        <v>205</v>
      </c>
      <c r="BA22" s="380" t="s">
        <v>206</v>
      </c>
      <c r="BB22" s="383" t="s">
        <v>204</v>
      </c>
      <c r="BC22" s="377" t="s">
        <v>198</v>
      </c>
      <c r="BD22" s="377" t="s">
        <v>207</v>
      </c>
      <c r="BE22" s="377" t="s">
        <v>125</v>
      </c>
      <c r="BF22" s="380" t="s">
        <v>208</v>
      </c>
      <c r="BG22" s="383" t="s">
        <v>125</v>
      </c>
      <c r="BH22" s="377" t="s">
        <v>125</v>
      </c>
      <c r="BI22" s="377" t="s">
        <v>209</v>
      </c>
      <c r="BJ22" s="377" t="s">
        <v>125</v>
      </c>
      <c r="BK22" s="380" t="s">
        <v>125</v>
      </c>
      <c r="BL22" s="383" t="s">
        <v>125</v>
      </c>
      <c r="BM22" s="380" t="s">
        <v>210</v>
      </c>
      <c r="BN22" s="22"/>
      <c r="BO22" s="22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65" t="s">
        <v>11</v>
      </c>
      <c r="B23" s="7" t="s">
        <v>24</v>
      </c>
      <c r="C23" s="335"/>
      <c r="D23" s="375" t="s">
        <v>191</v>
      </c>
      <c r="E23" s="378" t="s">
        <v>192</v>
      </c>
      <c r="F23" s="378" t="s">
        <v>125</v>
      </c>
      <c r="G23" s="378" t="s">
        <v>125</v>
      </c>
      <c r="H23" s="381" t="s">
        <v>125</v>
      </c>
      <c r="I23" s="384" t="s">
        <v>193</v>
      </c>
      <c r="J23" s="378" t="s">
        <v>125</v>
      </c>
      <c r="K23" s="378" t="s">
        <v>194</v>
      </c>
      <c r="L23" s="378" t="s">
        <v>125</v>
      </c>
      <c r="M23" s="381" t="s">
        <v>195</v>
      </c>
      <c r="N23" s="384" t="s">
        <v>125</v>
      </c>
      <c r="O23" s="378" t="s">
        <v>196</v>
      </c>
      <c r="P23" s="378" t="s">
        <v>179</v>
      </c>
      <c r="Q23" s="378" t="s">
        <v>125</v>
      </c>
      <c r="R23" s="381" t="s">
        <v>197</v>
      </c>
      <c r="S23" s="384" t="s">
        <v>125</v>
      </c>
      <c r="T23" s="378" t="s">
        <v>198</v>
      </c>
      <c r="U23" s="378" t="s">
        <v>125</v>
      </c>
      <c r="V23" s="378" t="s">
        <v>125</v>
      </c>
      <c r="W23" s="381" t="s">
        <v>125</v>
      </c>
      <c r="X23" s="384" t="s">
        <v>125</v>
      </c>
      <c r="Y23" s="378" t="s">
        <v>125</v>
      </c>
      <c r="Z23" s="378" t="s">
        <v>199</v>
      </c>
      <c r="AA23" s="378" t="s">
        <v>125</v>
      </c>
      <c r="AB23" s="381" t="s">
        <v>125</v>
      </c>
      <c r="AC23" s="384" t="s">
        <v>125</v>
      </c>
      <c r="AD23" s="378" t="s">
        <v>125</v>
      </c>
      <c r="AE23" s="378" t="s">
        <v>200</v>
      </c>
      <c r="AF23" s="378" t="s">
        <v>125</v>
      </c>
      <c r="AG23" s="381" t="s">
        <v>125</v>
      </c>
      <c r="AH23" s="384" t="s">
        <v>125</v>
      </c>
      <c r="AI23" s="378" t="s">
        <v>125</v>
      </c>
      <c r="AJ23" s="378" t="s">
        <v>125</v>
      </c>
      <c r="AK23" s="378" t="s">
        <v>125</v>
      </c>
      <c r="AL23" s="381" t="s">
        <v>125</v>
      </c>
      <c r="AM23" s="384" t="s">
        <v>125</v>
      </c>
      <c r="AN23" s="378" t="s">
        <v>125</v>
      </c>
      <c r="AO23" s="378" t="s">
        <v>125</v>
      </c>
      <c r="AP23" s="378" t="s">
        <v>125</v>
      </c>
      <c r="AQ23" s="381" t="s">
        <v>201</v>
      </c>
      <c r="AR23" s="384" t="s">
        <v>125</v>
      </c>
      <c r="AS23" s="378" t="s">
        <v>125</v>
      </c>
      <c r="AT23" s="378" t="s">
        <v>179</v>
      </c>
      <c r="AU23" s="378" t="s">
        <v>202</v>
      </c>
      <c r="AV23" s="381" t="s">
        <v>203</v>
      </c>
      <c r="AW23" s="384" t="s">
        <v>204</v>
      </c>
      <c r="AX23" s="378" t="s">
        <v>125</v>
      </c>
      <c r="AY23" s="378" t="s">
        <v>125</v>
      </c>
      <c r="AZ23" s="378" t="s">
        <v>205</v>
      </c>
      <c r="BA23" s="381" t="s">
        <v>206</v>
      </c>
      <c r="BB23" s="384" t="s">
        <v>204</v>
      </c>
      <c r="BC23" s="378" t="s">
        <v>198</v>
      </c>
      <c r="BD23" s="378" t="s">
        <v>207</v>
      </c>
      <c r="BE23" s="378" t="s">
        <v>125</v>
      </c>
      <c r="BF23" s="381" t="s">
        <v>208</v>
      </c>
      <c r="BG23" s="384" t="s">
        <v>125</v>
      </c>
      <c r="BH23" s="378" t="s">
        <v>125</v>
      </c>
      <c r="BI23" s="378" t="s">
        <v>209</v>
      </c>
      <c r="BJ23" s="378" t="s">
        <v>125</v>
      </c>
      <c r="BK23" s="381" t="s">
        <v>125</v>
      </c>
      <c r="BL23" s="384" t="s">
        <v>125</v>
      </c>
      <c r="BM23" s="381" t="s">
        <v>210</v>
      </c>
      <c r="BN23" s="22"/>
      <c r="BO23" s="22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65"/>
      <c r="B24" s="8"/>
      <c r="C24" s="335"/>
      <c r="D24" s="376" t="s">
        <v>191</v>
      </c>
      <c r="E24" s="379" t="s">
        <v>192</v>
      </c>
      <c r="F24" s="379" t="s">
        <v>125</v>
      </c>
      <c r="G24" s="379" t="s">
        <v>125</v>
      </c>
      <c r="H24" s="382" t="s">
        <v>125</v>
      </c>
      <c r="I24" s="385" t="s">
        <v>193</v>
      </c>
      <c r="J24" s="379" t="s">
        <v>125</v>
      </c>
      <c r="K24" s="379" t="s">
        <v>194</v>
      </c>
      <c r="L24" s="379" t="s">
        <v>125</v>
      </c>
      <c r="M24" s="382" t="s">
        <v>195</v>
      </c>
      <c r="N24" s="385" t="s">
        <v>125</v>
      </c>
      <c r="O24" s="379" t="s">
        <v>196</v>
      </c>
      <c r="P24" s="379" t="s">
        <v>179</v>
      </c>
      <c r="Q24" s="379" t="s">
        <v>125</v>
      </c>
      <c r="R24" s="382" t="s">
        <v>197</v>
      </c>
      <c r="S24" s="385" t="s">
        <v>125</v>
      </c>
      <c r="T24" s="379" t="s">
        <v>198</v>
      </c>
      <c r="U24" s="379" t="s">
        <v>125</v>
      </c>
      <c r="V24" s="379" t="s">
        <v>125</v>
      </c>
      <c r="W24" s="382" t="s">
        <v>125</v>
      </c>
      <c r="X24" s="385" t="s">
        <v>125</v>
      </c>
      <c r="Y24" s="379" t="s">
        <v>125</v>
      </c>
      <c r="Z24" s="379" t="s">
        <v>199</v>
      </c>
      <c r="AA24" s="379" t="s">
        <v>125</v>
      </c>
      <c r="AB24" s="382" t="s">
        <v>125</v>
      </c>
      <c r="AC24" s="385" t="s">
        <v>125</v>
      </c>
      <c r="AD24" s="379" t="s">
        <v>125</v>
      </c>
      <c r="AE24" s="379" t="s">
        <v>200</v>
      </c>
      <c r="AF24" s="379" t="s">
        <v>125</v>
      </c>
      <c r="AG24" s="382" t="s">
        <v>125</v>
      </c>
      <c r="AH24" s="385" t="s">
        <v>125</v>
      </c>
      <c r="AI24" s="379" t="s">
        <v>125</v>
      </c>
      <c r="AJ24" s="379" t="s">
        <v>125</v>
      </c>
      <c r="AK24" s="379" t="s">
        <v>125</v>
      </c>
      <c r="AL24" s="382" t="s">
        <v>125</v>
      </c>
      <c r="AM24" s="385" t="s">
        <v>125</v>
      </c>
      <c r="AN24" s="379" t="s">
        <v>125</v>
      </c>
      <c r="AO24" s="379" t="s">
        <v>125</v>
      </c>
      <c r="AP24" s="379" t="s">
        <v>125</v>
      </c>
      <c r="AQ24" s="382" t="s">
        <v>201</v>
      </c>
      <c r="AR24" s="385" t="s">
        <v>125</v>
      </c>
      <c r="AS24" s="379" t="s">
        <v>125</v>
      </c>
      <c r="AT24" s="379" t="s">
        <v>179</v>
      </c>
      <c r="AU24" s="379" t="s">
        <v>202</v>
      </c>
      <c r="AV24" s="382" t="s">
        <v>203</v>
      </c>
      <c r="AW24" s="385" t="s">
        <v>204</v>
      </c>
      <c r="AX24" s="379" t="s">
        <v>125</v>
      </c>
      <c r="AY24" s="379" t="s">
        <v>125</v>
      </c>
      <c r="AZ24" s="379" t="s">
        <v>205</v>
      </c>
      <c r="BA24" s="382" t="s">
        <v>206</v>
      </c>
      <c r="BB24" s="385" t="s">
        <v>204</v>
      </c>
      <c r="BC24" s="379" t="s">
        <v>198</v>
      </c>
      <c r="BD24" s="379" t="s">
        <v>207</v>
      </c>
      <c r="BE24" s="379" t="s">
        <v>125</v>
      </c>
      <c r="BF24" s="382" t="s">
        <v>208</v>
      </c>
      <c r="BG24" s="385" t="s">
        <v>125</v>
      </c>
      <c r="BH24" s="379" t="s">
        <v>125</v>
      </c>
      <c r="BI24" s="379" t="s">
        <v>209</v>
      </c>
      <c r="BJ24" s="379" t="s">
        <v>125</v>
      </c>
      <c r="BK24" s="382" t="s">
        <v>125</v>
      </c>
      <c r="BL24" s="385" t="s">
        <v>125</v>
      </c>
      <c r="BM24" s="382" t="s">
        <v>210</v>
      </c>
      <c r="BN24" s="22"/>
      <c r="BO24" s="22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19</v>
      </c>
      <c r="B25" s="6" t="s">
        <v>9</v>
      </c>
      <c r="C25" s="334" t="s">
        <v>124</v>
      </c>
      <c r="D25" s="374" t="s">
        <v>105</v>
      </c>
      <c r="E25" s="377" t="s">
        <v>125</v>
      </c>
      <c r="F25" s="377" t="s">
        <v>125</v>
      </c>
      <c r="G25" s="377" t="s">
        <v>105</v>
      </c>
      <c r="H25" s="380" t="s">
        <v>125</v>
      </c>
      <c r="I25" s="383" t="s">
        <v>105</v>
      </c>
      <c r="J25" s="377" t="s">
        <v>105</v>
      </c>
      <c r="K25" s="377" t="s">
        <v>105</v>
      </c>
      <c r="L25" s="377" t="s">
        <v>105</v>
      </c>
      <c r="M25" s="380" t="s">
        <v>105</v>
      </c>
      <c r="N25" s="383" t="s">
        <v>105</v>
      </c>
      <c r="O25" s="377" t="s">
        <v>105</v>
      </c>
      <c r="P25" s="377" t="s">
        <v>105</v>
      </c>
      <c r="Q25" s="377" t="s">
        <v>105</v>
      </c>
      <c r="R25" s="380" t="s">
        <v>105</v>
      </c>
      <c r="S25" s="383" t="s">
        <v>105</v>
      </c>
      <c r="T25" s="377" t="s">
        <v>105</v>
      </c>
      <c r="U25" s="377" t="s">
        <v>105</v>
      </c>
      <c r="V25" s="377" t="s">
        <v>105</v>
      </c>
      <c r="W25" s="380" t="s">
        <v>105</v>
      </c>
      <c r="X25" s="383" t="s">
        <v>105</v>
      </c>
      <c r="Y25" s="377" t="s">
        <v>105</v>
      </c>
      <c r="Z25" s="377" t="s">
        <v>105</v>
      </c>
      <c r="AA25" s="377" t="s">
        <v>105</v>
      </c>
      <c r="AB25" s="380" t="s">
        <v>105</v>
      </c>
      <c r="AC25" s="383" t="s">
        <v>105</v>
      </c>
      <c r="AD25" s="377" t="s">
        <v>105</v>
      </c>
      <c r="AE25" s="377" t="s">
        <v>105</v>
      </c>
      <c r="AF25" s="377" t="s">
        <v>105</v>
      </c>
      <c r="AG25" s="380" t="s">
        <v>105</v>
      </c>
      <c r="AH25" s="383" t="s">
        <v>105</v>
      </c>
      <c r="AI25" s="377" t="s">
        <v>105</v>
      </c>
      <c r="AJ25" s="377" t="s">
        <v>105</v>
      </c>
      <c r="AK25" s="377" t="s">
        <v>105</v>
      </c>
      <c r="AL25" s="380" t="s">
        <v>105</v>
      </c>
      <c r="AM25" s="383" t="s">
        <v>105</v>
      </c>
      <c r="AN25" s="377" t="s">
        <v>105</v>
      </c>
      <c r="AO25" s="377" t="s">
        <v>105</v>
      </c>
      <c r="AP25" s="377" t="s">
        <v>105</v>
      </c>
      <c r="AQ25" s="380" t="s">
        <v>105</v>
      </c>
      <c r="AR25" s="383" t="s">
        <v>105</v>
      </c>
      <c r="AS25" s="377" t="s">
        <v>105</v>
      </c>
      <c r="AT25" s="377" t="s">
        <v>105</v>
      </c>
      <c r="AU25" s="377" t="s">
        <v>105</v>
      </c>
      <c r="AV25" s="380" t="s">
        <v>105</v>
      </c>
      <c r="AW25" s="383" t="s">
        <v>105</v>
      </c>
      <c r="AX25" s="377" t="s">
        <v>105</v>
      </c>
      <c r="AY25" s="377" t="s">
        <v>105</v>
      </c>
      <c r="AZ25" s="377" t="s">
        <v>105</v>
      </c>
      <c r="BA25" s="380" t="s">
        <v>105</v>
      </c>
      <c r="BB25" s="383" t="s">
        <v>105</v>
      </c>
      <c r="BC25" s="377" t="s">
        <v>105</v>
      </c>
      <c r="BD25" s="377" t="s">
        <v>105</v>
      </c>
      <c r="BE25" s="377" t="s">
        <v>105</v>
      </c>
      <c r="BF25" s="380" t="s">
        <v>105</v>
      </c>
      <c r="BG25" s="383" t="s">
        <v>105</v>
      </c>
      <c r="BH25" s="377" t="s">
        <v>105</v>
      </c>
      <c r="BI25" s="377" t="s">
        <v>202</v>
      </c>
      <c r="BJ25" s="377" t="s">
        <v>125</v>
      </c>
      <c r="BK25" s="380" t="s">
        <v>125</v>
      </c>
      <c r="BL25" s="383" t="s">
        <v>125</v>
      </c>
      <c r="BM25" s="380" t="s">
        <v>105</v>
      </c>
      <c r="BN25" s="22"/>
      <c r="BO25" s="22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65" t="s">
        <v>11</v>
      </c>
      <c r="B26" s="7" t="s">
        <v>12</v>
      </c>
      <c r="C26" s="335"/>
      <c r="D26" s="375" t="s">
        <v>105</v>
      </c>
      <c r="E26" s="378" t="s">
        <v>125</v>
      </c>
      <c r="F26" s="378" t="s">
        <v>125</v>
      </c>
      <c r="G26" s="378" t="s">
        <v>105</v>
      </c>
      <c r="H26" s="381" t="s">
        <v>125</v>
      </c>
      <c r="I26" s="384" t="s">
        <v>105</v>
      </c>
      <c r="J26" s="378" t="s">
        <v>105</v>
      </c>
      <c r="K26" s="378" t="s">
        <v>105</v>
      </c>
      <c r="L26" s="378" t="s">
        <v>105</v>
      </c>
      <c r="M26" s="381" t="s">
        <v>105</v>
      </c>
      <c r="N26" s="384" t="s">
        <v>105</v>
      </c>
      <c r="O26" s="378" t="s">
        <v>105</v>
      </c>
      <c r="P26" s="378" t="s">
        <v>105</v>
      </c>
      <c r="Q26" s="378" t="s">
        <v>105</v>
      </c>
      <c r="R26" s="381" t="s">
        <v>105</v>
      </c>
      <c r="S26" s="384" t="s">
        <v>105</v>
      </c>
      <c r="T26" s="378" t="s">
        <v>105</v>
      </c>
      <c r="U26" s="378" t="s">
        <v>105</v>
      </c>
      <c r="V26" s="378" t="s">
        <v>105</v>
      </c>
      <c r="W26" s="381" t="s">
        <v>105</v>
      </c>
      <c r="X26" s="384" t="s">
        <v>105</v>
      </c>
      <c r="Y26" s="378" t="s">
        <v>105</v>
      </c>
      <c r="Z26" s="378" t="s">
        <v>105</v>
      </c>
      <c r="AA26" s="378" t="s">
        <v>105</v>
      </c>
      <c r="AB26" s="381" t="s">
        <v>105</v>
      </c>
      <c r="AC26" s="384" t="s">
        <v>105</v>
      </c>
      <c r="AD26" s="378" t="s">
        <v>105</v>
      </c>
      <c r="AE26" s="378" t="s">
        <v>105</v>
      </c>
      <c r="AF26" s="378" t="s">
        <v>105</v>
      </c>
      <c r="AG26" s="381" t="s">
        <v>105</v>
      </c>
      <c r="AH26" s="384" t="s">
        <v>105</v>
      </c>
      <c r="AI26" s="378" t="s">
        <v>105</v>
      </c>
      <c r="AJ26" s="378" t="s">
        <v>105</v>
      </c>
      <c r="AK26" s="378" t="s">
        <v>105</v>
      </c>
      <c r="AL26" s="381" t="s">
        <v>105</v>
      </c>
      <c r="AM26" s="384" t="s">
        <v>105</v>
      </c>
      <c r="AN26" s="378" t="s">
        <v>105</v>
      </c>
      <c r="AO26" s="378" t="s">
        <v>105</v>
      </c>
      <c r="AP26" s="378" t="s">
        <v>105</v>
      </c>
      <c r="AQ26" s="381" t="s">
        <v>105</v>
      </c>
      <c r="AR26" s="384" t="s">
        <v>105</v>
      </c>
      <c r="AS26" s="378" t="s">
        <v>105</v>
      </c>
      <c r="AT26" s="378" t="s">
        <v>105</v>
      </c>
      <c r="AU26" s="378" t="s">
        <v>105</v>
      </c>
      <c r="AV26" s="381" t="s">
        <v>105</v>
      </c>
      <c r="AW26" s="384" t="s">
        <v>105</v>
      </c>
      <c r="AX26" s="378" t="s">
        <v>105</v>
      </c>
      <c r="AY26" s="378" t="s">
        <v>105</v>
      </c>
      <c r="AZ26" s="378" t="s">
        <v>105</v>
      </c>
      <c r="BA26" s="381" t="s">
        <v>105</v>
      </c>
      <c r="BB26" s="384" t="s">
        <v>105</v>
      </c>
      <c r="BC26" s="378" t="s">
        <v>105</v>
      </c>
      <c r="BD26" s="378" t="s">
        <v>105</v>
      </c>
      <c r="BE26" s="378" t="s">
        <v>105</v>
      </c>
      <c r="BF26" s="381" t="s">
        <v>105</v>
      </c>
      <c r="BG26" s="384" t="s">
        <v>105</v>
      </c>
      <c r="BH26" s="378" t="s">
        <v>105</v>
      </c>
      <c r="BI26" s="378" t="s">
        <v>202</v>
      </c>
      <c r="BJ26" s="378" t="s">
        <v>125</v>
      </c>
      <c r="BK26" s="381" t="s">
        <v>125</v>
      </c>
      <c r="BL26" s="384" t="s">
        <v>125</v>
      </c>
      <c r="BM26" s="381" t="s">
        <v>105</v>
      </c>
      <c r="BN26" s="22"/>
      <c r="BO26" s="22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65"/>
      <c r="B27" s="8" t="s">
        <v>25</v>
      </c>
      <c r="C27" s="335"/>
      <c r="D27" s="376" t="s">
        <v>105</v>
      </c>
      <c r="E27" s="379" t="s">
        <v>125</v>
      </c>
      <c r="F27" s="379" t="s">
        <v>125</v>
      </c>
      <c r="G27" s="379" t="s">
        <v>105</v>
      </c>
      <c r="H27" s="382" t="s">
        <v>125</v>
      </c>
      <c r="I27" s="385" t="s">
        <v>105</v>
      </c>
      <c r="J27" s="379" t="s">
        <v>105</v>
      </c>
      <c r="K27" s="379" t="s">
        <v>105</v>
      </c>
      <c r="L27" s="379" t="s">
        <v>105</v>
      </c>
      <c r="M27" s="382" t="s">
        <v>105</v>
      </c>
      <c r="N27" s="385" t="s">
        <v>105</v>
      </c>
      <c r="O27" s="379" t="s">
        <v>105</v>
      </c>
      <c r="P27" s="379" t="s">
        <v>105</v>
      </c>
      <c r="Q27" s="379" t="s">
        <v>105</v>
      </c>
      <c r="R27" s="382" t="s">
        <v>105</v>
      </c>
      <c r="S27" s="385" t="s">
        <v>105</v>
      </c>
      <c r="T27" s="379" t="s">
        <v>105</v>
      </c>
      <c r="U27" s="379" t="s">
        <v>105</v>
      </c>
      <c r="V27" s="379" t="s">
        <v>105</v>
      </c>
      <c r="W27" s="382" t="s">
        <v>105</v>
      </c>
      <c r="X27" s="385" t="s">
        <v>105</v>
      </c>
      <c r="Y27" s="379" t="s">
        <v>105</v>
      </c>
      <c r="Z27" s="379" t="s">
        <v>105</v>
      </c>
      <c r="AA27" s="379" t="s">
        <v>105</v>
      </c>
      <c r="AB27" s="382" t="s">
        <v>105</v>
      </c>
      <c r="AC27" s="385" t="s">
        <v>105</v>
      </c>
      <c r="AD27" s="379" t="s">
        <v>105</v>
      </c>
      <c r="AE27" s="379" t="s">
        <v>105</v>
      </c>
      <c r="AF27" s="379" t="s">
        <v>105</v>
      </c>
      <c r="AG27" s="382" t="s">
        <v>105</v>
      </c>
      <c r="AH27" s="385" t="s">
        <v>105</v>
      </c>
      <c r="AI27" s="379" t="s">
        <v>105</v>
      </c>
      <c r="AJ27" s="379" t="s">
        <v>105</v>
      </c>
      <c r="AK27" s="379" t="s">
        <v>105</v>
      </c>
      <c r="AL27" s="382" t="s">
        <v>105</v>
      </c>
      <c r="AM27" s="385" t="s">
        <v>105</v>
      </c>
      <c r="AN27" s="379" t="s">
        <v>105</v>
      </c>
      <c r="AO27" s="379" t="s">
        <v>105</v>
      </c>
      <c r="AP27" s="379" t="s">
        <v>105</v>
      </c>
      <c r="AQ27" s="382" t="s">
        <v>105</v>
      </c>
      <c r="AR27" s="385" t="s">
        <v>105</v>
      </c>
      <c r="AS27" s="379" t="s">
        <v>105</v>
      </c>
      <c r="AT27" s="379" t="s">
        <v>105</v>
      </c>
      <c r="AU27" s="379" t="s">
        <v>105</v>
      </c>
      <c r="AV27" s="382" t="s">
        <v>105</v>
      </c>
      <c r="AW27" s="385" t="s">
        <v>105</v>
      </c>
      <c r="AX27" s="379" t="s">
        <v>105</v>
      </c>
      <c r="AY27" s="379" t="s">
        <v>105</v>
      </c>
      <c r="AZ27" s="379" t="s">
        <v>105</v>
      </c>
      <c r="BA27" s="382" t="s">
        <v>105</v>
      </c>
      <c r="BB27" s="385" t="s">
        <v>105</v>
      </c>
      <c r="BC27" s="379" t="s">
        <v>105</v>
      </c>
      <c r="BD27" s="379" t="s">
        <v>105</v>
      </c>
      <c r="BE27" s="379" t="s">
        <v>105</v>
      </c>
      <c r="BF27" s="382" t="s">
        <v>105</v>
      </c>
      <c r="BG27" s="385" t="s">
        <v>105</v>
      </c>
      <c r="BH27" s="379" t="s">
        <v>105</v>
      </c>
      <c r="BI27" s="379" t="s">
        <v>202</v>
      </c>
      <c r="BJ27" s="379" t="s">
        <v>125</v>
      </c>
      <c r="BK27" s="382" t="s">
        <v>125</v>
      </c>
      <c r="BL27" s="385" t="s">
        <v>125</v>
      </c>
      <c r="BM27" s="382" t="s">
        <v>105</v>
      </c>
      <c r="BN27" s="22"/>
      <c r="BO27" s="22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19</v>
      </c>
      <c r="B28" s="6" t="s">
        <v>15</v>
      </c>
      <c r="C28" s="334" t="s">
        <v>124</v>
      </c>
      <c r="D28" s="374" t="s">
        <v>105</v>
      </c>
      <c r="E28" s="377" t="s">
        <v>125</v>
      </c>
      <c r="F28" s="377" t="s">
        <v>125</v>
      </c>
      <c r="G28" s="377" t="s">
        <v>125</v>
      </c>
      <c r="H28" s="380" t="s">
        <v>125</v>
      </c>
      <c r="I28" s="383" t="s">
        <v>105</v>
      </c>
      <c r="J28" s="377" t="s">
        <v>105</v>
      </c>
      <c r="K28" s="377" t="s">
        <v>105</v>
      </c>
      <c r="L28" s="377" t="s">
        <v>105</v>
      </c>
      <c r="M28" s="380" t="s">
        <v>105</v>
      </c>
      <c r="N28" s="383" t="s">
        <v>105</v>
      </c>
      <c r="O28" s="377" t="s">
        <v>105</v>
      </c>
      <c r="P28" s="377" t="s">
        <v>105</v>
      </c>
      <c r="Q28" s="377" t="s">
        <v>105</v>
      </c>
      <c r="R28" s="380" t="s">
        <v>105</v>
      </c>
      <c r="S28" s="383" t="s">
        <v>105</v>
      </c>
      <c r="T28" s="377" t="s">
        <v>105</v>
      </c>
      <c r="U28" s="377" t="s">
        <v>105</v>
      </c>
      <c r="V28" s="377" t="s">
        <v>105</v>
      </c>
      <c r="W28" s="380" t="s">
        <v>105</v>
      </c>
      <c r="X28" s="383" t="s">
        <v>105</v>
      </c>
      <c r="Y28" s="377" t="s">
        <v>105</v>
      </c>
      <c r="Z28" s="377" t="s">
        <v>105</v>
      </c>
      <c r="AA28" s="377" t="s">
        <v>105</v>
      </c>
      <c r="AB28" s="380" t="s">
        <v>105</v>
      </c>
      <c r="AC28" s="383" t="s">
        <v>105</v>
      </c>
      <c r="AD28" s="377" t="s">
        <v>105</v>
      </c>
      <c r="AE28" s="377" t="s">
        <v>105</v>
      </c>
      <c r="AF28" s="377" t="s">
        <v>105</v>
      </c>
      <c r="AG28" s="380" t="s">
        <v>105</v>
      </c>
      <c r="AH28" s="383" t="s">
        <v>105</v>
      </c>
      <c r="AI28" s="377" t="s">
        <v>105</v>
      </c>
      <c r="AJ28" s="377" t="s">
        <v>105</v>
      </c>
      <c r="AK28" s="377" t="s">
        <v>105</v>
      </c>
      <c r="AL28" s="380" t="s">
        <v>105</v>
      </c>
      <c r="AM28" s="383" t="s">
        <v>105</v>
      </c>
      <c r="AN28" s="377" t="s">
        <v>105</v>
      </c>
      <c r="AO28" s="377" t="s">
        <v>105</v>
      </c>
      <c r="AP28" s="377" t="s">
        <v>105</v>
      </c>
      <c r="AQ28" s="380" t="s">
        <v>105</v>
      </c>
      <c r="AR28" s="383" t="s">
        <v>105</v>
      </c>
      <c r="AS28" s="377" t="s">
        <v>105</v>
      </c>
      <c r="AT28" s="377" t="s">
        <v>105</v>
      </c>
      <c r="AU28" s="377" t="s">
        <v>105</v>
      </c>
      <c r="AV28" s="380" t="s">
        <v>105</v>
      </c>
      <c r="AW28" s="383" t="s">
        <v>105</v>
      </c>
      <c r="AX28" s="377" t="s">
        <v>105</v>
      </c>
      <c r="AY28" s="377" t="s">
        <v>105</v>
      </c>
      <c r="AZ28" s="377" t="s">
        <v>105</v>
      </c>
      <c r="BA28" s="380" t="s">
        <v>105</v>
      </c>
      <c r="BB28" s="383" t="s">
        <v>105</v>
      </c>
      <c r="BC28" s="377" t="s">
        <v>105</v>
      </c>
      <c r="BD28" s="377" t="s">
        <v>105</v>
      </c>
      <c r="BE28" s="377" t="s">
        <v>105</v>
      </c>
      <c r="BF28" s="380" t="s">
        <v>105</v>
      </c>
      <c r="BG28" s="383" t="s">
        <v>105</v>
      </c>
      <c r="BH28" s="377" t="s">
        <v>105</v>
      </c>
      <c r="BI28" s="377" t="s">
        <v>125</v>
      </c>
      <c r="BJ28" s="377" t="s">
        <v>125</v>
      </c>
      <c r="BK28" s="380" t="s">
        <v>125</v>
      </c>
      <c r="BL28" s="383" t="s">
        <v>125</v>
      </c>
      <c r="BM28" s="380" t="s">
        <v>105</v>
      </c>
      <c r="BN28" s="22"/>
      <c r="BO28" s="22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65" t="s">
        <v>11</v>
      </c>
      <c r="B29" s="7" t="s">
        <v>12</v>
      </c>
      <c r="C29" s="335"/>
      <c r="D29" s="375" t="s">
        <v>105</v>
      </c>
      <c r="E29" s="378" t="s">
        <v>125</v>
      </c>
      <c r="F29" s="378" t="s">
        <v>125</v>
      </c>
      <c r="G29" s="378" t="s">
        <v>125</v>
      </c>
      <c r="H29" s="381" t="s">
        <v>125</v>
      </c>
      <c r="I29" s="384" t="s">
        <v>105</v>
      </c>
      <c r="J29" s="378" t="s">
        <v>105</v>
      </c>
      <c r="K29" s="378" t="s">
        <v>105</v>
      </c>
      <c r="L29" s="378" t="s">
        <v>105</v>
      </c>
      <c r="M29" s="381" t="s">
        <v>105</v>
      </c>
      <c r="N29" s="384" t="s">
        <v>105</v>
      </c>
      <c r="O29" s="378" t="s">
        <v>105</v>
      </c>
      <c r="P29" s="378" t="s">
        <v>105</v>
      </c>
      <c r="Q29" s="378" t="s">
        <v>105</v>
      </c>
      <c r="R29" s="381" t="s">
        <v>105</v>
      </c>
      <c r="S29" s="384" t="s">
        <v>105</v>
      </c>
      <c r="T29" s="378" t="s">
        <v>105</v>
      </c>
      <c r="U29" s="378" t="s">
        <v>105</v>
      </c>
      <c r="V29" s="378" t="s">
        <v>105</v>
      </c>
      <c r="W29" s="381" t="s">
        <v>105</v>
      </c>
      <c r="X29" s="384" t="s">
        <v>105</v>
      </c>
      <c r="Y29" s="378" t="s">
        <v>105</v>
      </c>
      <c r="Z29" s="378" t="s">
        <v>105</v>
      </c>
      <c r="AA29" s="378" t="s">
        <v>105</v>
      </c>
      <c r="AB29" s="381" t="s">
        <v>105</v>
      </c>
      <c r="AC29" s="384" t="s">
        <v>105</v>
      </c>
      <c r="AD29" s="378" t="s">
        <v>105</v>
      </c>
      <c r="AE29" s="378" t="s">
        <v>105</v>
      </c>
      <c r="AF29" s="378" t="s">
        <v>105</v>
      </c>
      <c r="AG29" s="381" t="s">
        <v>105</v>
      </c>
      <c r="AH29" s="384" t="s">
        <v>105</v>
      </c>
      <c r="AI29" s="378" t="s">
        <v>105</v>
      </c>
      <c r="AJ29" s="378" t="s">
        <v>105</v>
      </c>
      <c r="AK29" s="378" t="s">
        <v>105</v>
      </c>
      <c r="AL29" s="381" t="s">
        <v>105</v>
      </c>
      <c r="AM29" s="384" t="s">
        <v>105</v>
      </c>
      <c r="AN29" s="378" t="s">
        <v>105</v>
      </c>
      <c r="AO29" s="378" t="s">
        <v>105</v>
      </c>
      <c r="AP29" s="378" t="s">
        <v>105</v>
      </c>
      <c r="AQ29" s="381" t="s">
        <v>105</v>
      </c>
      <c r="AR29" s="384" t="s">
        <v>105</v>
      </c>
      <c r="AS29" s="378" t="s">
        <v>105</v>
      </c>
      <c r="AT29" s="378" t="s">
        <v>105</v>
      </c>
      <c r="AU29" s="378" t="s">
        <v>105</v>
      </c>
      <c r="AV29" s="381" t="s">
        <v>105</v>
      </c>
      <c r="AW29" s="384" t="s">
        <v>105</v>
      </c>
      <c r="AX29" s="378" t="s">
        <v>105</v>
      </c>
      <c r="AY29" s="378" t="s">
        <v>105</v>
      </c>
      <c r="AZ29" s="378" t="s">
        <v>105</v>
      </c>
      <c r="BA29" s="381" t="s">
        <v>105</v>
      </c>
      <c r="BB29" s="384" t="s">
        <v>105</v>
      </c>
      <c r="BC29" s="378" t="s">
        <v>105</v>
      </c>
      <c r="BD29" s="378" t="s">
        <v>105</v>
      </c>
      <c r="BE29" s="378" t="s">
        <v>105</v>
      </c>
      <c r="BF29" s="381" t="s">
        <v>105</v>
      </c>
      <c r="BG29" s="384" t="s">
        <v>105</v>
      </c>
      <c r="BH29" s="378" t="s">
        <v>105</v>
      </c>
      <c r="BI29" s="378" t="s">
        <v>125</v>
      </c>
      <c r="BJ29" s="378" t="s">
        <v>125</v>
      </c>
      <c r="BK29" s="381" t="s">
        <v>125</v>
      </c>
      <c r="BL29" s="384" t="s">
        <v>125</v>
      </c>
      <c r="BM29" s="381" t="s">
        <v>105</v>
      </c>
      <c r="BN29" s="22"/>
      <c r="BO29" s="22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65"/>
      <c r="B30" s="8" t="s">
        <v>25</v>
      </c>
      <c r="C30" s="335"/>
      <c r="D30" s="376" t="s">
        <v>105</v>
      </c>
      <c r="E30" s="379" t="s">
        <v>125</v>
      </c>
      <c r="F30" s="379" t="s">
        <v>125</v>
      </c>
      <c r="G30" s="379" t="s">
        <v>125</v>
      </c>
      <c r="H30" s="382" t="s">
        <v>125</v>
      </c>
      <c r="I30" s="385" t="s">
        <v>105</v>
      </c>
      <c r="J30" s="379" t="s">
        <v>105</v>
      </c>
      <c r="K30" s="379" t="s">
        <v>105</v>
      </c>
      <c r="L30" s="379" t="s">
        <v>105</v>
      </c>
      <c r="M30" s="382" t="s">
        <v>105</v>
      </c>
      <c r="N30" s="385" t="s">
        <v>105</v>
      </c>
      <c r="O30" s="379" t="s">
        <v>105</v>
      </c>
      <c r="P30" s="379" t="s">
        <v>105</v>
      </c>
      <c r="Q30" s="379" t="s">
        <v>105</v>
      </c>
      <c r="R30" s="382" t="s">
        <v>105</v>
      </c>
      <c r="S30" s="385" t="s">
        <v>105</v>
      </c>
      <c r="T30" s="379" t="s">
        <v>105</v>
      </c>
      <c r="U30" s="379" t="s">
        <v>105</v>
      </c>
      <c r="V30" s="379" t="s">
        <v>105</v>
      </c>
      <c r="W30" s="382" t="s">
        <v>105</v>
      </c>
      <c r="X30" s="385" t="s">
        <v>105</v>
      </c>
      <c r="Y30" s="379" t="s">
        <v>105</v>
      </c>
      <c r="Z30" s="379" t="s">
        <v>105</v>
      </c>
      <c r="AA30" s="379" t="s">
        <v>105</v>
      </c>
      <c r="AB30" s="382" t="s">
        <v>105</v>
      </c>
      <c r="AC30" s="385" t="s">
        <v>105</v>
      </c>
      <c r="AD30" s="379" t="s">
        <v>105</v>
      </c>
      <c r="AE30" s="379" t="s">
        <v>105</v>
      </c>
      <c r="AF30" s="379" t="s">
        <v>105</v>
      </c>
      <c r="AG30" s="382" t="s">
        <v>105</v>
      </c>
      <c r="AH30" s="385" t="s">
        <v>105</v>
      </c>
      <c r="AI30" s="379" t="s">
        <v>105</v>
      </c>
      <c r="AJ30" s="379" t="s">
        <v>105</v>
      </c>
      <c r="AK30" s="379" t="s">
        <v>105</v>
      </c>
      <c r="AL30" s="382" t="s">
        <v>105</v>
      </c>
      <c r="AM30" s="385" t="s">
        <v>105</v>
      </c>
      <c r="AN30" s="379" t="s">
        <v>105</v>
      </c>
      <c r="AO30" s="379" t="s">
        <v>105</v>
      </c>
      <c r="AP30" s="379" t="s">
        <v>105</v>
      </c>
      <c r="AQ30" s="382" t="s">
        <v>105</v>
      </c>
      <c r="AR30" s="385" t="s">
        <v>105</v>
      </c>
      <c r="AS30" s="379" t="s">
        <v>105</v>
      </c>
      <c r="AT30" s="379" t="s">
        <v>105</v>
      </c>
      <c r="AU30" s="379" t="s">
        <v>105</v>
      </c>
      <c r="AV30" s="382" t="s">
        <v>105</v>
      </c>
      <c r="AW30" s="385" t="s">
        <v>105</v>
      </c>
      <c r="AX30" s="379" t="s">
        <v>105</v>
      </c>
      <c r="AY30" s="379" t="s">
        <v>105</v>
      </c>
      <c r="AZ30" s="379" t="s">
        <v>105</v>
      </c>
      <c r="BA30" s="382" t="s">
        <v>105</v>
      </c>
      <c r="BB30" s="385" t="s">
        <v>105</v>
      </c>
      <c r="BC30" s="379" t="s">
        <v>105</v>
      </c>
      <c r="BD30" s="379" t="s">
        <v>105</v>
      </c>
      <c r="BE30" s="379" t="s">
        <v>105</v>
      </c>
      <c r="BF30" s="382" t="s">
        <v>105</v>
      </c>
      <c r="BG30" s="385" t="s">
        <v>105</v>
      </c>
      <c r="BH30" s="379" t="s">
        <v>105</v>
      </c>
      <c r="BI30" s="379" t="s">
        <v>125</v>
      </c>
      <c r="BJ30" s="379" t="s">
        <v>125</v>
      </c>
      <c r="BK30" s="382" t="s">
        <v>125</v>
      </c>
      <c r="BL30" s="385" t="s">
        <v>125</v>
      </c>
      <c r="BM30" s="382" t="s">
        <v>105</v>
      </c>
      <c r="BN30" s="22"/>
      <c r="BO30" s="22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19</v>
      </c>
      <c r="B31" s="6" t="s">
        <v>26</v>
      </c>
      <c r="C31" s="334" t="s">
        <v>124</v>
      </c>
      <c r="D31" s="374" t="s">
        <v>105</v>
      </c>
      <c r="E31" s="377" t="s">
        <v>125</v>
      </c>
      <c r="F31" s="377" t="s">
        <v>105</v>
      </c>
      <c r="G31" s="377" t="s">
        <v>125</v>
      </c>
      <c r="H31" s="380" t="s">
        <v>125</v>
      </c>
      <c r="I31" s="383" t="s">
        <v>105</v>
      </c>
      <c r="J31" s="377" t="s">
        <v>105</v>
      </c>
      <c r="K31" s="377" t="s">
        <v>105</v>
      </c>
      <c r="L31" s="377" t="s">
        <v>105</v>
      </c>
      <c r="M31" s="380" t="s">
        <v>105</v>
      </c>
      <c r="N31" s="383" t="s">
        <v>105</v>
      </c>
      <c r="O31" s="377" t="s">
        <v>105</v>
      </c>
      <c r="P31" s="377" t="s">
        <v>105</v>
      </c>
      <c r="Q31" s="377" t="s">
        <v>105</v>
      </c>
      <c r="R31" s="380" t="s">
        <v>105</v>
      </c>
      <c r="S31" s="383" t="s">
        <v>105</v>
      </c>
      <c r="T31" s="377" t="s">
        <v>105</v>
      </c>
      <c r="U31" s="377" t="s">
        <v>105</v>
      </c>
      <c r="V31" s="377" t="s">
        <v>105</v>
      </c>
      <c r="W31" s="380" t="s">
        <v>105</v>
      </c>
      <c r="X31" s="383" t="s">
        <v>105</v>
      </c>
      <c r="Y31" s="377" t="s">
        <v>105</v>
      </c>
      <c r="Z31" s="377" t="s">
        <v>105</v>
      </c>
      <c r="AA31" s="377" t="s">
        <v>105</v>
      </c>
      <c r="AB31" s="380" t="s">
        <v>105</v>
      </c>
      <c r="AC31" s="383" t="s">
        <v>105</v>
      </c>
      <c r="AD31" s="377" t="s">
        <v>105</v>
      </c>
      <c r="AE31" s="377" t="s">
        <v>105</v>
      </c>
      <c r="AF31" s="377" t="s">
        <v>105</v>
      </c>
      <c r="AG31" s="380" t="s">
        <v>105</v>
      </c>
      <c r="AH31" s="383" t="s">
        <v>105</v>
      </c>
      <c r="AI31" s="377" t="s">
        <v>105</v>
      </c>
      <c r="AJ31" s="377" t="s">
        <v>105</v>
      </c>
      <c r="AK31" s="377" t="s">
        <v>105</v>
      </c>
      <c r="AL31" s="380" t="s">
        <v>105</v>
      </c>
      <c r="AM31" s="383" t="s">
        <v>105</v>
      </c>
      <c r="AN31" s="377" t="s">
        <v>105</v>
      </c>
      <c r="AO31" s="377" t="s">
        <v>105</v>
      </c>
      <c r="AP31" s="377" t="s">
        <v>105</v>
      </c>
      <c r="AQ31" s="380" t="s">
        <v>105</v>
      </c>
      <c r="AR31" s="383" t="s">
        <v>105</v>
      </c>
      <c r="AS31" s="377" t="s">
        <v>105</v>
      </c>
      <c r="AT31" s="377" t="s">
        <v>105</v>
      </c>
      <c r="AU31" s="377" t="s">
        <v>105</v>
      </c>
      <c r="AV31" s="380" t="s">
        <v>105</v>
      </c>
      <c r="AW31" s="383" t="s">
        <v>105</v>
      </c>
      <c r="AX31" s="377" t="s">
        <v>105</v>
      </c>
      <c r="AY31" s="377" t="s">
        <v>105</v>
      </c>
      <c r="AZ31" s="377" t="s">
        <v>105</v>
      </c>
      <c r="BA31" s="380" t="s">
        <v>105</v>
      </c>
      <c r="BB31" s="383" t="s">
        <v>105</v>
      </c>
      <c r="BC31" s="377" t="s">
        <v>105</v>
      </c>
      <c r="BD31" s="377" t="s">
        <v>105</v>
      </c>
      <c r="BE31" s="377" t="s">
        <v>105</v>
      </c>
      <c r="BF31" s="380" t="s">
        <v>105</v>
      </c>
      <c r="BG31" s="383" t="s">
        <v>105</v>
      </c>
      <c r="BH31" s="377" t="s">
        <v>105</v>
      </c>
      <c r="BI31" s="377" t="s">
        <v>125</v>
      </c>
      <c r="BJ31" s="377" t="s">
        <v>125</v>
      </c>
      <c r="BK31" s="380" t="s">
        <v>125</v>
      </c>
      <c r="BL31" s="383" t="s">
        <v>188</v>
      </c>
      <c r="BM31" s="380" t="s">
        <v>105</v>
      </c>
      <c r="BN31" s="22"/>
      <c r="BO31" s="22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65" t="s">
        <v>11</v>
      </c>
      <c r="B32" s="7" t="s">
        <v>12</v>
      </c>
      <c r="C32" s="335"/>
      <c r="D32" s="375" t="s">
        <v>105</v>
      </c>
      <c r="E32" s="378" t="s">
        <v>125</v>
      </c>
      <c r="F32" s="378" t="s">
        <v>105</v>
      </c>
      <c r="G32" s="378" t="s">
        <v>125</v>
      </c>
      <c r="H32" s="381" t="s">
        <v>125</v>
      </c>
      <c r="I32" s="384" t="s">
        <v>105</v>
      </c>
      <c r="J32" s="378" t="s">
        <v>105</v>
      </c>
      <c r="K32" s="378" t="s">
        <v>105</v>
      </c>
      <c r="L32" s="378" t="s">
        <v>105</v>
      </c>
      <c r="M32" s="381" t="s">
        <v>105</v>
      </c>
      <c r="N32" s="384" t="s">
        <v>105</v>
      </c>
      <c r="O32" s="378" t="s">
        <v>105</v>
      </c>
      <c r="P32" s="378" t="s">
        <v>105</v>
      </c>
      <c r="Q32" s="378" t="s">
        <v>105</v>
      </c>
      <c r="R32" s="381" t="s">
        <v>105</v>
      </c>
      <c r="S32" s="384" t="s">
        <v>105</v>
      </c>
      <c r="T32" s="378" t="s">
        <v>105</v>
      </c>
      <c r="U32" s="378" t="s">
        <v>105</v>
      </c>
      <c r="V32" s="378" t="s">
        <v>105</v>
      </c>
      <c r="W32" s="381" t="s">
        <v>105</v>
      </c>
      <c r="X32" s="384" t="s">
        <v>105</v>
      </c>
      <c r="Y32" s="378" t="s">
        <v>105</v>
      </c>
      <c r="Z32" s="378" t="s">
        <v>105</v>
      </c>
      <c r="AA32" s="378" t="s">
        <v>105</v>
      </c>
      <c r="AB32" s="381" t="s">
        <v>105</v>
      </c>
      <c r="AC32" s="384" t="s">
        <v>105</v>
      </c>
      <c r="AD32" s="378" t="s">
        <v>105</v>
      </c>
      <c r="AE32" s="378" t="s">
        <v>105</v>
      </c>
      <c r="AF32" s="378" t="s">
        <v>105</v>
      </c>
      <c r="AG32" s="381" t="s">
        <v>105</v>
      </c>
      <c r="AH32" s="384" t="s">
        <v>105</v>
      </c>
      <c r="AI32" s="378" t="s">
        <v>105</v>
      </c>
      <c r="AJ32" s="378" t="s">
        <v>105</v>
      </c>
      <c r="AK32" s="378" t="s">
        <v>105</v>
      </c>
      <c r="AL32" s="381" t="s">
        <v>105</v>
      </c>
      <c r="AM32" s="384" t="s">
        <v>105</v>
      </c>
      <c r="AN32" s="378" t="s">
        <v>105</v>
      </c>
      <c r="AO32" s="378" t="s">
        <v>105</v>
      </c>
      <c r="AP32" s="378" t="s">
        <v>105</v>
      </c>
      <c r="AQ32" s="381" t="s">
        <v>105</v>
      </c>
      <c r="AR32" s="384" t="s">
        <v>105</v>
      </c>
      <c r="AS32" s="378" t="s">
        <v>105</v>
      </c>
      <c r="AT32" s="378" t="s">
        <v>105</v>
      </c>
      <c r="AU32" s="378" t="s">
        <v>105</v>
      </c>
      <c r="AV32" s="381" t="s">
        <v>105</v>
      </c>
      <c r="AW32" s="384" t="s">
        <v>105</v>
      </c>
      <c r="AX32" s="378" t="s">
        <v>105</v>
      </c>
      <c r="AY32" s="378" t="s">
        <v>105</v>
      </c>
      <c r="AZ32" s="378" t="s">
        <v>105</v>
      </c>
      <c r="BA32" s="381" t="s">
        <v>105</v>
      </c>
      <c r="BB32" s="384" t="s">
        <v>105</v>
      </c>
      <c r="BC32" s="378" t="s">
        <v>105</v>
      </c>
      <c r="BD32" s="378" t="s">
        <v>105</v>
      </c>
      <c r="BE32" s="378" t="s">
        <v>105</v>
      </c>
      <c r="BF32" s="381" t="s">
        <v>105</v>
      </c>
      <c r="BG32" s="384" t="s">
        <v>105</v>
      </c>
      <c r="BH32" s="378" t="s">
        <v>105</v>
      </c>
      <c r="BI32" s="378" t="s">
        <v>125</v>
      </c>
      <c r="BJ32" s="378" t="s">
        <v>125</v>
      </c>
      <c r="BK32" s="381" t="s">
        <v>125</v>
      </c>
      <c r="BL32" s="384" t="s">
        <v>188</v>
      </c>
      <c r="BM32" s="381" t="s">
        <v>105</v>
      </c>
      <c r="BN32" s="22"/>
      <c r="BO32" s="22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65"/>
      <c r="B33" s="8" t="s">
        <v>25</v>
      </c>
      <c r="C33" s="335"/>
      <c r="D33" s="376" t="s">
        <v>105</v>
      </c>
      <c r="E33" s="379" t="s">
        <v>125</v>
      </c>
      <c r="F33" s="379" t="s">
        <v>105</v>
      </c>
      <c r="G33" s="379" t="s">
        <v>125</v>
      </c>
      <c r="H33" s="382" t="s">
        <v>125</v>
      </c>
      <c r="I33" s="385" t="s">
        <v>105</v>
      </c>
      <c r="J33" s="379" t="s">
        <v>105</v>
      </c>
      <c r="K33" s="379" t="s">
        <v>105</v>
      </c>
      <c r="L33" s="379" t="s">
        <v>105</v>
      </c>
      <c r="M33" s="382" t="s">
        <v>105</v>
      </c>
      <c r="N33" s="385" t="s">
        <v>105</v>
      </c>
      <c r="O33" s="379" t="s">
        <v>105</v>
      </c>
      <c r="P33" s="379" t="s">
        <v>105</v>
      </c>
      <c r="Q33" s="379" t="s">
        <v>105</v>
      </c>
      <c r="R33" s="382" t="s">
        <v>105</v>
      </c>
      <c r="S33" s="385" t="s">
        <v>105</v>
      </c>
      <c r="T33" s="379" t="s">
        <v>105</v>
      </c>
      <c r="U33" s="379" t="s">
        <v>105</v>
      </c>
      <c r="V33" s="379" t="s">
        <v>105</v>
      </c>
      <c r="W33" s="382" t="s">
        <v>105</v>
      </c>
      <c r="X33" s="385" t="s">
        <v>105</v>
      </c>
      <c r="Y33" s="379" t="s">
        <v>105</v>
      </c>
      <c r="Z33" s="379" t="s">
        <v>105</v>
      </c>
      <c r="AA33" s="379" t="s">
        <v>105</v>
      </c>
      <c r="AB33" s="382" t="s">
        <v>105</v>
      </c>
      <c r="AC33" s="385" t="s">
        <v>105</v>
      </c>
      <c r="AD33" s="379" t="s">
        <v>105</v>
      </c>
      <c r="AE33" s="379" t="s">
        <v>105</v>
      </c>
      <c r="AF33" s="379" t="s">
        <v>105</v>
      </c>
      <c r="AG33" s="382" t="s">
        <v>105</v>
      </c>
      <c r="AH33" s="385" t="s">
        <v>105</v>
      </c>
      <c r="AI33" s="379" t="s">
        <v>105</v>
      </c>
      <c r="AJ33" s="379" t="s">
        <v>105</v>
      </c>
      <c r="AK33" s="379" t="s">
        <v>105</v>
      </c>
      <c r="AL33" s="382" t="s">
        <v>105</v>
      </c>
      <c r="AM33" s="385" t="s">
        <v>105</v>
      </c>
      <c r="AN33" s="379" t="s">
        <v>105</v>
      </c>
      <c r="AO33" s="379" t="s">
        <v>105</v>
      </c>
      <c r="AP33" s="379" t="s">
        <v>105</v>
      </c>
      <c r="AQ33" s="382" t="s">
        <v>105</v>
      </c>
      <c r="AR33" s="385" t="s">
        <v>105</v>
      </c>
      <c r="AS33" s="379" t="s">
        <v>105</v>
      </c>
      <c r="AT33" s="379" t="s">
        <v>105</v>
      </c>
      <c r="AU33" s="379" t="s">
        <v>105</v>
      </c>
      <c r="AV33" s="382" t="s">
        <v>105</v>
      </c>
      <c r="AW33" s="385" t="s">
        <v>105</v>
      </c>
      <c r="AX33" s="379" t="s">
        <v>105</v>
      </c>
      <c r="AY33" s="379" t="s">
        <v>105</v>
      </c>
      <c r="AZ33" s="379" t="s">
        <v>105</v>
      </c>
      <c r="BA33" s="382" t="s">
        <v>105</v>
      </c>
      <c r="BB33" s="385" t="s">
        <v>105</v>
      </c>
      <c r="BC33" s="379" t="s">
        <v>105</v>
      </c>
      <c r="BD33" s="379" t="s">
        <v>105</v>
      </c>
      <c r="BE33" s="379" t="s">
        <v>105</v>
      </c>
      <c r="BF33" s="382" t="s">
        <v>105</v>
      </c>
      <c r="BG33" s="385" t="s">
        <v>105</v>
      </c>
      <c r="BH33" s="379" t="s">
        <v>105</v>
      </c>
      <c r="BI33" s="379" t="s">
        <v>125</v>
      </c>
      <c r="BJ33" s="379" t="s">
        <v>125</v>
      </c>
      <c r="BK33" s="382" t="s">
        <v>125</v>
      </c>
      <c r="BL33" s="385" t="s">
        <v>188</v>
      </c>
      <c r="BM33" s="382" t="s">
        <v>105</v>
      </c>
      <c r="BN33" s="22"/>
      <c r="BO33" s="22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19</v>
      </c>
      <c r="B34" s="6"/>
      <c r="C34" s="334" t="s">
        <v>124</v>
      </c>
      <c r="D34" s="374" t="s">
        <v>211</v>
      </c>
      <c r="E34" s="377" t="s">
        <v>125</v>
      </c>
      <c r="F34" s="377" t="s">
        <v>125</v>
      </c>
      <c r="G34" s="377" t="s">
        <v>125</v>
      </c>
      <c r="H34" s="380" t="s">
        <v>125</v>
      </c>
      <c r="I34" s="383" t="s">
        <v>125</v>
      </c>
      <c r="J34" s="377" t="s">
        <v>125</v>
      </c>
      <c r="K34" s="377" t="s">
        <v>212</v>
      </c>
      <c r="L34" s="377" t="s">
        <v>213</v>
      </c>
      <c r="M34" s="380" t="s">
        <v>125</v>
      </c>
      <c r="N34" s="383" t="s">
        <v>214</v>
      </c>
      <c r="O34" s="377" t="s">
        <v>125</v>
      </c>
      <c r="P34" s="377" t="s">
        <v>215</v>
      </c>
      <c r="Q34" s="377" t="s">
        <v>216</v>
      </c>
      <c r="R34" s="380" t="s">
        <v>217</v>
      </c>
      <c r="S34" s="383" t="s">
        <v>146</v>
      </c>
      <c r="T34" s="377" t="s">
        <v>197</v>
      </c>
      <c r="U34" s="377" t="s">
        <v>218</v>
      </c>
      <c r="V34" s="377" t="s">
        <v>219</v>
      </c>
      <c r="W34" s="380" t="s">
        <v>133</v>
      </c>
      <c r="X34" s="383" t="s">
        <v>220</v>
      </c>
      <c r="Y34" s="377" t="s">
        <v>125</v>
      </c>
      <c r="Z34" s="377" t="s">
        <v>125</v>
      </c>
      <c r="AA34" s="377" t="s">
        <v>125</v>
      </c>
      <c r="AB34" s="380" t="s">
        <v>186</v>
      </c>
      <c r="AC34" s="383" t="s">
        <v>125</v>
      </c>
      <c r="AD34" s="377" t="s">
        <v>125</v>
      </c>
      <c r="AE34" s="377" t="s">
        <v>125</v>
      </c>
      <c r="AF34" s="377" t="s">
        <v>221</v>
      </c>
      <c r="AG34" s="380" t="s">
        <v>222</v>
      </c>
      <c r="AH34" s="383" t="s">
        <v>125</v>
      </c>
      <c r="AI34" s="377" t="s">
        <v>125</v>
      </c>
      <c r="AJ34" s="377" t="s">
        <v>125</v>
      </c>
      <c r="AK34" s="377" t="s">
        <v>125</v>
      </c>
      <c r="AL34" s="380" t="s">
        <v>125</v>
      </c>
      <c r="AM34" s="383" t="s">
        <v>125</v>
      </c>
      <c r="AN34" s="377" t="s">
        <v>223</v>
      </c>
      <c r="AO34" s="377" t="s">
        <v>125</v>
      </c>
      <c r="AP34" s="377" t="s">
        <v>224</v>
      </c>
      <c r="AQ34" s="380" t="s">
        <v>225</v>
      </c>
      <c r="AR34" s="383" t="s">
        <v>125</v>
      </c>
      <c r="AS34" s="377" t="s">
        <v>226</v>
      </c>
      <c r="AT34" s="377" t="s">
        <v>227</v>
      </c>
      <c r="AU34" s="377" t="s">
        <v>185</v>
      </c>
      <c r="AV34" s="380" t="s">
        <v>228</v>
      </c>
      <c r="AW34" s="383" t="s">
        <v>192</v>
      </c>
      <c r="AX34" s="377" t="s">
        <v>229</v>
      </c>
      <c r="AY34" s="377" t="s">
        <v>230</v>
      </c>
      <c r="AZ34" s="377" t="s">
        <v>161</v>
      </c>
      <c r="BA34" s="380" t="s">
        <v>231</v>
      </c>
      <c r="BB34" s="383" t="s">
        <v>232</v>
      </c>
      <c r="BC34" s="377" t="s">
        <v>125</v>
      </c>
      <c r="BD34" s="377" t="s">
        <v>125</v>
      </c>
      <c r="BE34" s="377" t="s">
        <v>214</v>
      </c>
      <c r="BF34" s="380" t="s">
        <v>125</v>
      </c>
      <c r="BG34" s="383" t="s">
        <v>125</v>
      </c>
      <c r="BH34" s="377" t="s">
        <v>125</v>
      </c>
      <c r="BI34" s="377" t="s">
        <v>125</v>
      </c>
      <c r="BJ34" s="377" t="s">
        <v>125</v>
      </c>
      <c r="BK34" s="380" t="s">
        <v>125</v>
      </c>
      <c r="BL34" s="383" t="s">
        <v>125</v>
      </c>
      <c r="BM34" s="380" t="s">
        <v>125</v>
      </c>
      <c r="BN34" s="22"/>
      <c r="BO34" s="22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65" t="s">
        <v>11</v>
      </c>
      <c r="B35" s="7" t="s">
        <v>27</v>
      </c>
      <c r="C35" s="335"/>
      <c r="D35" s="375" t="s">
        <v>211</v>
      </c>
      <c r="E35" s="378" t="s">
        <v>125</v>
      </c>
      <c r="F35" s="378" t="s">
        <v>125</v>
      </c>
      <c r="G35" s="378" t="s">
        <v>125</v>
      </c>
      <c r="H35" s="381" t="s">
        <v>125</v>
      </c>
      <c r="I35" s="384" t="s">
        <v>125</v>
      </c>
      <c r="J35" s="378" t="s">
        <v>125</v>
      </c>
      <c r="K35" s="378" t="s">
        <v>212</v>
      </c>
      <c r="L35" s="378" t="s">
        <v>213</v>
      </c>
      <c r="M35" s="381" t="s">
        <v>125</v>
      </c>
      <c r="N35" s="384" t="s">
        <v>214</v>
      </c>
      <c r="O35" s="378" t="s">
        <v>125</v>
      </c>
      <c r="P35" s="378" t="s">
        <v>215</v>
      </c>
      <c r="Q35" s="378" t="s">
        <v>216</v>
      </c>
      <c r="R35" s="381" t="s">
        <v>217</v>
      </c>
      <c r="S35" s="384" t="s">
        <v>146</v>
      </c>
      <c r="T35" s="378" t="s">
        <v>197</v>
      </c>
      <c r="U35" s="378" t="s">
        <v>218</v>
      </c>
      <c r="V35" s="378" t="s">
        <v>219</v>
      </c>
      <c r="W35" s="381" t="s">
        <v>133</v>
      </c>
      <c r="X35" s="384" t="s">
        <v>220</v>
      </c>
      <c r="Y35" s="378" t="s">
        <v>125</v>
      </c>
      <c r="Z35" s="378" t="s">
        <v>125</v>
      </c>
      <c r="AA35" s="378" t="s">
        <v>125</v>
      </c>
      <c r="AB35" s="381" t="s">
        <v>186</v>
      </c>
      <c r="AC35" s="384" t="s">
        <v>125</v>
      </c>
      <c r="AD35" s="378" t="s">
        <v>125</v>
      </c>
      <c r="AE35" s="378" t="s">
        <v>125</v>
      </c>
      <c r="AF35" s="378" t="s">
        <v>221</v>
      </c>
      <c r="AG35" s="381" t="s">
        <v>222</v>
      </c>
      <c r="AH35" s="384" t="s">
        <v>125</v>
      </c>
      <c r="AI35" s="378" t="s">
        <v>125</v>
      </c>
      <c r="AJ35" s="378" t="s">
        <v>125</v>
      </c>
      <c r="AK35" s="378" t="s">
        <v>125</v>
      </c>
      <c r="AL35" s="381" t="s">
        <v>125</v>
      </c>
      <c r="AM35" s="384" t="s">
        <v>125</v>
      </c>
      <c r="AN35" s="378" t="s">
        <v>223</v>
      </c>
      <c r="AO35" s="378" t="s">
        <v>125</v>
      </c>
      <c r="AP35" s="378" t="s">
        <v>224</v>
      </c>
      <c r="AQ35" s="381" t="s">
        <v>225</v>
      </c>
      <c r="AR35" s="384" t="s">
        <v>125</v>
      </c>
      <c r="AS35" s="378" t="s">
        <v>226</v>
      </c>
      <c r="AT35" s="378" t="s">
        <v>227</v>
      </c>
      <c r="AU35" s="378" t="s">
        <v>185</v>
      </c>
      <c r="AV35" s="381" t="s">
        <v>228</v>
      </c>
      <c r="AW35" s="384" t="s">
        <v>192</v>
      </c>
      <c r="AX35" s="378" t="s">
        <v>229</v>
      </c>
      <c r="AY35" s="378" t="s">
        <v>230</v>
      </c>
      <c r="AZ35" s="378" t="s">
        <v>161</v>
      </c>
      <c r="BA35" s="381" t="s">
        <v>231</v>
      </c>
      <c r="BB35" s="384" t="s">
        <v>232</v>
      </c>
      <c r="BC35" s="378" t="s">
        <v>125</v>
      </c>
      <c r="BD35" s="378" t="s">
        <v>125</v>
      </c>
      <c r="BE35" s="378" t="s">
        <v>214</v>
      </c>
      <c r="BF35" s="381" t="s">
        <v>125</v>
      </c>
      <c r="BG35" s="384" t="s">
        <v>125</v>
      </c>
      <c r="BH35" s="378" t="s">
        <v>125</v>
      </c>
      <c r="BI35" s="378" t="s">
        <v>125</v>
      </c>
      <c r="BJ35" s="378" t="s">
        <v>125</v>
      </c>
      <c r="BK35" s="381" t="s">
        <v>125</v>
      </c>
      <c r="BL35" s="384" t="s">
        <v>125</v>
      </c>
      <c r="BM35" s="381" t="s">
        <v>125</v>
      </c>
      <c r="BN35" s="22"/>
      <c r="BO35" s="22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65"/>
      <c r="B36" s="8"/>
      <c r="C36" s="335"/>
      <c r="D36" s="376" t="s">
        <v>211</v>
      </c>
      <c r="E36" s="379" t="s">
        <v>125</v>
      </c>
      <c r="F36" s="379" t="s">
        <v>125</v>
      </c>
      <c r="G36" s="379" t="s">
        <v>125</v>
      </c>
      <c r="H36" s="382" t="s">
        <v>125</v>
      </c>
      <c r="I36" s="385" t="s">
        <v>125</v>
      </c>
      <c r="J36" s="379" t="s">
        <v>125</v>
      </c>
      <c r="K36" s="379" t="s">
        <v>212</v>
      </c>
      <c r="L36" s="379" t="s">
        <v>213</v>
      </c>
      <c r="M36" s="382" t="s">
        <v>125</v>
      </c>
      <c r="N36" s="385" t="s">
        <v>214</v>
      </c>
      <c r="O36" s="379" t="s">
        <v>125</v>
      </c>
      <c r="P36" s="379" t="s">
        <v>215</v>
      </c>
      <c r="Q36" s="379" t="s">
        <v>216</v>
      </c>
      <c r="R36" s="382" t="s">
        <v>217</v>
      </c>
      <c r="S36" s="385" t="s">
        <v>146</v>
      </c>
      <c r="T36" s="379" t="s">
        <v>197</v>
      </c>
      <c r="U36" s="379" t="s">
        <v>218</v>
      </c>
      <c r="V36" s="379" t="s">
        <v>219</v>
      </c>
      <c r="W36" s="382" t="s">
        <v>133</v>
      </c>
      <c r="X36" s="385" t="s">
        <v>220</v>
      </c>
      <c r="Y36" s="379" t="s">
        <v>125</v>
      </c>
      <c r="Z36" s="379" t="s">
        <v>125</v>
      </c>
      <c r="AA36" s="379" t="s">
        <v>125</v>
      </c>
      <c r="AB36" s="382" t="s">
        <v>186</v>
      </c>
      <c r="AC36" s="385" t="s">
        <v>125</v>
      </c>
      <c r="AD36" s="379" t="s">
        <v>125</v>
      </c>
      <c r="AE36" s="379" t="s">
        <v>125</v>
      </c>
      <c r="AF36" s="379" t="s">
        <v>221</v>
      </c>
      <c r="AG36" s="382" t="s">
        <v>222</v>
      </c>
      <c r="AH36" s="385" t="s">
        <v>125</v>
      </c>
      <c r="AI36" s="379" t="s">
        <v>125</v>
      </c>
      <c r="AJ36" s="379" t="s">
        <v>125</v>
      </c>
      <c r="AK36" s="379" t="s">
        <v>125</v>
      </c>
      <c r="AL36" s="382" t="s">
        <v>125</v>
      </c>
      <c r="AM36" s="385" t="s">
        <v>125</v>
      </c>
      <c r="AN36" s="379" t="s">
        <v>223</v>
      </c>
      <c r="AO36" s="379" t="s">
        <v>125</v>
      </c>
      <c r="AP36" s="379" t="s">
        <v>224</v>
      </c>
      <c r="AQ36" s="382" t="s">
        <v>225</v>
      </c>
      <c r="AR36" s="385" t="s">
        <v>125</v>
      </c>
      <c r="AS36" s="379" t="s">
        <v>226</v>
      </c>
      <c r="AT36" s="379" t="s">
        <v>227</v>
      </c>
      <c r="AU36" s="379" t="s">
        <v>185</v>
      </c>
      <c r="AV36" s="382" t="s">
        <v>228</v>
      </c>
      <c r="AW36" s="385" t="s">
        <v>192</v>
      </c>
      <c r="AX36" s="379" t="s">
        <v>229</v>
      </c>
      <c r="AY36" s="379" t="s">
        <v>230</v>
      </c>
      <c r="AZ36" s="379" t="s">
        <v>161</v>
      </c>
      <c r="BA36" s="382" t="s">
        <v>231</v>
      </c>
      <c r="BB36" s="385" t="s">
        <v>232</v>
      </c>
      <c r="BC36" s="379" t="s">
        <v>125</v>
      </c>
      <c r="BD36" s="379" t="s">
        <v>125</v>
      </c>
      <c r="BE36" s="379" t="s">
        <v>214</v>
      </c>
      <c r="BF36" s="382" t="s">
        <v>125</v>
      </c>
      <c r="BG36" s="385" t="s">
        <v>125</v>
      </c>
      <c r="BH36" s="379" t="s">
        <v>125</v>
      </c>
      <c r="BI36" s="379" t="s">
        <v>125</v>
      </c>
      <c r="BJ36" s="379" t="s">
        <v>125</v>
      </c>
      <c r="BK36" s="382" t="s">
        <v>125</v>
      </c>
      <c r="BL36" s="385" t="s">
        <v>125</v>
      </c>
      <c r="BM36" s="382" t="s">
        <v>125</v>
      </c>
      <c r="BN36" s="22"/>
      <c r="BO36" s="22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19</v>
      </c>
      <c r="B37" s="6"/>
      <c r="C37" s="334" t="s">
        <v>124</v>
      </c>
      <c r="D37" s="374" t="s">
        <v>125</v>
      </c>
      <c r="E37" s="377" t="s">
        <v>125</v>
      </c>
      <c r="F37" s="377" t="s">
        <v>105</v>
      </c>
      <c r="G37" s="377" t="s">
        <v>125</v>
      </c>
      <c r="H37" s="380" t="s">
        <v>125</v>
      </c>
      <c r="I37" s="383" t="s">
        <v>125</v>
      </c>
      <c r="J37" s="377" t="s">
        <v>151</v>
      </c>
      <c r="K37" s="377" t="s">
        <v>125</v>
      </c>
      <c r="L37" s="377" t="s">
        <v>125</v>
      </c>
      <c r="M37" s="380" t="s">
        <v>125</v>
      </c>
      <c r="N37" s="383" t="s">
        <v>187</v>
      </c>
      <c r="O37" s="377" t="s">
        <v>125</v>
      </c>
      <c r="P37" s="377" t="s">
        <v>225</v>
      </c>
      <c r="Q37" s="377" t="s">
        <v>233</v>
      </c>
      <c r="R37" s="380" t="s">
        <v>125</v>
      </c>
      <c r="S37" s="383" t="s">
        <v>125</v>
      </c>
      <c r="T37" s="377" t="s">
        <v>234</v>
      </c>
      <c r="U37" s="377" t="s">
        <v>105</v>
      </c>
      <c r="V37" s="377" t="s">
        <v>125</v>
      </c>
      <c r="W37" s="380" t="s">
        <v>125</v>
      </c>
      <c r="X37" s="383" t="s">
        <v>125</v>
      </c>
      <c r="Y37" s="377" t="s">
        <v>125</v>
      </c>
      <c r="Z37" s="377" t="s">
        <v>137</v>
      </c>
      <c r="AA37" s="377" t="s">
        <v>125</v>
      </c>
      <c r="AB37" s="380" t="s">
        <v>125</v>
      </c>
      <c r="AC37" s="383" t="s">
        <v>125</v>
      </c>
      <c r="AD37" s="377" t="s">
        <v>198</v>
      </c>
      <c r="AE37" s="377" t="s">
        <v>125</v>
      </c>
      <c r="AF37" s="377" t="s">
        <v>229</v>
      </c>
      <c r="AG37" s="380" t="s">
        <v>235</v>
      </c>
      <c r="AH37" s="383" t="s">
        <v>131</v>
      </c>
      <c r="AI37" s="377" t="s">
        <v>236</v>
      </c>
      <c r="AJ37" s="377" t="s">
        <v>184</v>
      </c>
      <c r="AK37" s="377" t="s">
        <v>185</v>
      </c>
      <c r="AL37" s="380" t="s">
        <v>125</v>
      </c>
      <c r="AM37" s="383" t="s">
        <v>179</v>
      </c>
      <c r="AN37" s="377" t="s">
        <v>125</v>
      </c>
      <c r="AO37" s="377" t="s">
        <v>125</v>
      </c>
      <c r="AP37" s="377" t="s">
        <v>125</v>
      </c>
      <c r="AQ37" s="380" t="s">
        <v>125</v>
      </c>
      <c r="AR37" s="383" t="s">
        <v>125</v>
      </c>
      <c r="AS37" s="377" t="s">
        <v>237</v>
      </c>
      <c r="AT37" s="377" t="s">
        <v>105</v>
      </c>
      <c r="AU37" s="377" t="s">
        <v>238</v>
      </c>
      <c r="AV37" s="380" t="s">
        <v>140</v>
      </c>
      <c r="AW37" s="383" t="s">
        <v>182</v>
      </c>
      <c r="AX37" s="377" t="s">
        <v>183</v>
      </c>
      <c r="AY37" s="377" t="s">
        <v>216</v>
      </c>
      <c r="AZ37" s="377" t="s">
        <v>239</v>
      </c>
      <c r="BA37" s="380" t="s">
        <v>125</v>
      </c>
      <c r="BB37" s="383" t="s">
        <v>125</v>
      </c>
      <c r="BC37" s="377" t="s">
        <v>125</v>
      </c>
      <c r="BD37" s="377" t="s">
        <v>125</v>
      </c>
      <c r="BE37" s="377" t="s">
        <v>125</v>
      </c>
      <c r="BF37" s="380" t="s">
        <v>105</v>
      </c>
      <c r="BG37" s="383" t="s">
        <v>125</v>
      </c>
      <c r="BH37" s="377" t="s">
        <v>125</v>
      </c>
      <c r="BI37" s="377" t="s">
        <v>125</v>
      </c>
      <c r="BJ37" s="377" t="s">
        <v>125</v>
      </c>
      <c r="BK37" s="380" t="s">
        <v>125</v>
      </c>
      <c r="BL37" s="383" t="s">
        <v>125</v>
      </c>
      <c r="BM37" s="380" t="s">
        <v>125</v>
      </c>
      <c r="BN37" s="22"/>
      <c r="BO37" s="22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65" t="s">
        <v>11</v>
      </c>
      <c r="B38" s="7" t="s">
        <v>28</v>
      </c>
      <c r="C38" s="335"/>
      <c r="D38" s="375" t="s">
        <v>125</v>
      </c>
      <c r="E38" s="378" t="s">
        <v>125</v>
      </c>
      <c r="F38" s="378" t="s">
        <v>105</v>
      </c>
      <c r="G38" s="378" t="s">
        <v>125</v>
      </c>
      <c r="H38" s="381" t="s">
        <v>125</v>
      </c>
      <c r="I38" s="384" t="s">
        <v>125</v>
      </c>
      <c r="J38" s="378" t="s">
        <v>151</v>
      </c>
      <c r="K38" s="378" t="s">
        <v>125</v>
      </c>
      <c r="L38" s="378" t="s">
        <v>125</v>
      </c>
      <c r="M38" s="381" t="s">
        <v>125</v>
      </c>
      <c r="N38" s="384" t="s">
        <v>187</v>
      </c>
      <c r="O38" s="378" t="s">
        <v>125</v>
      </c>
      <c r="P38" s="378" t="s">
        <v>225</v>
      </c>
      <c r="Q38" s="378" t="s">
        <v>233</v>
      </c>
      <c r="R38" s="381" t="s">
        <v>125</v>
      </c>
      <c r="S38" s="384" t="s">
        <v>125</v>
      </c>
      <c r="T38" s="378" t="s">
        <v>234</v>
      </c>
      <c r="U38" s="378" t="s">
        <v>105</v>
      </c>
      <c r="V38" s="378" t="s">
        <v>125</v>
      </c>
      <c r="W38" s="381" t="s">
        <v>125</v>
      </c>
      <c r="X38" s="384" t="s">
        <v>125</v>
      </c>
      <c r="Y38" s="378" t="s">
        <v>125</v>
      </c>
      <c r="Z38" s="378" t="s">
        <v>137</v>
      </c>
      <c r="AA38" s="378" t="s">
        <v>125</v>
      </c>
      <c r="AB38" s="381" t="s">
        <v>125</v>
      </c>
      <c r="AC38" s="384" t="s">
        <v>125</v>
      </c>
      <c r="AD38" s="378" t="s">
        <v>198</v>
      </c>
      <c r="AE38" s="378" t="s">
        <v>125</v>
      </c>
      <c r="AF38" s="378" t="s">
        <v>229</v>
      </c>
      <c r="AG38" s="381" t="s">
        <v>235</v>
      </c>
      <c r="AH38" s="384" t="s">
        <v>131</v>
      </c>
      <c r="AI38" s="378" t="s">
        <v>236</v>
      </c>
      <c r="AJ38" s="378" t="s">
        <v>184</v>
      </c>
      <c r="AK38" s="378" t="s">
        <v>185</v>
      </c>
      <c r="AL38" s="381" t="s">
        <v>125</v>
      </c>
      <c r="AM38" s="384" t="s">
        <v>179</v>
      </c>
      <c r="AN38" s="378" t="s">
        <v>125</v>
      </c>
      <c r="AO38" s="378" t="s">
        <v>125</v>
      </c>
      <c r="AP38" s="378" t="s">
        <v>125</v>
      </c>
      <c r="AQ38" s="381" t="s">
        <v>125</v>
      </c>
      <c r="AR38" s="384" t="s">
        <v>125</v>
      </c>
      <c r="AS38" s="378" t="s">
        <v>237</v>
      </c>
      <c r="AT38" s="378" t="s">
        <v>105</v>
      </c>
      <c r="AU38" s="378" t="s">
        <v>238</v>
      </c>
      <c r="AV38" s="381" t="s">
        <v>140</v>
      </c>
      <c r="AW38" s="384" t="s">
        <v>182</v>
      </c>
      <c r="AX38" s="378" t="s">
        <v>183</v>
      </c>
      <c r="AY38" s="378" t="s">
        <v>216</v>
      </c>
      <c r="AZ38" s="378" t="s">
        <v>239</v>
      </c>
      <c r="BA38" s="381" t="s">
        <v>125</v>
      </c>
      <c r="BB38" s="384" t="s">
        <v>125</v>
      </c>
      <c r="BC38" s="378" t="s">
        <v>125</v>
      </c>
      <c r="BD38" s="378" t="s">
        <v>125</v>
      </c>
      <c r="BE38" s="378" t="s">
        <v>125</v>
      </c>
      <c r="BF38" s="381" t="s">
        <v>105</v>
      </c>
      <c r="BG38" s="384" t="s">
        <v>125</v>
      </c>
      <c r="BH38" s="378" t="s">
        <v>125</v>
      </c>
      <c r="BI38" s="378" t="s">
        <v>125</v>
      </c>
      <c r="BJ38" s="378" t="s">
        <v>125</v>
      </c>
      <c r="BK38" s="381" t="s">
        <v>125</v>
      </c>
      <c r="BL38" s="384" t="s">
        <v>125</v>
      </c>
      <c r="BM38" s="381" t="s">
        <v>125</v>
      </c>
      <c r="BN38" s="22"/>
      <c r="BO38" s="22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65"/>
      <c r="B39" s="8"/>
      <c r="C39" s="335"/>
      <c r="D39" s="376" t="s">
        <v>125</v>
      </c>
      <c r="E39" s="379" t="s">
        <v>125</v>
      </c>
      <c r="F39" s="379" t="s">
        <v>105</v>
      </c>
      <c r="G39" s="379" t="s">
        <v>125</v>
      </c>
      <c r="H39" s="382" t="s">
        <v>125</v>
      </c>
      <c r="I39" s="385" t="s">
        <v>125</v>
      </c>
      <c r="J39" s="379" t="s">
        <v>151</v>
      </c>
      <c r="K39" s="379" t="s">
        <v>125</v>
      </c>
      <c r="L39" s="379" t="s">
        <v>125</v>
      </c>
      <c r="M39" s="382" t="s">
        <v>125</v>
      </c>
      <c r="N39" s="385" t="s">
        <v>187</v>
      </c>
      <c r="O39" s="379" t="s">
        <v>125</v>
      </c>
      <c r="P39" s="379" t="s">
        <v>225</v>
      </c>
      <c r="Q39" s="379" t="s">
        <v>233</v>
      </c>
      <c r="R39" s="382" t="s">
        <v>125</v>
      </c>
      <c r="S39" s="385" t="s">
        <v>125</v>
      </c>
      <c r="T39" s="379" t="s">
        <v>234</v>
      </c>
      <c r="U39" s="379" t="s">
        <v>105</v>
      </c>
      <c r="V39" s="379" t="s">
        <v>125</v>
      </c>
      <c r="W39" s="382" t="s">
        <v>125</v>
      </c>
      <c r="X39" s="385" t="s">
        <v>125</v>
      </c>
      <c r="Y39" s="379" t="s">
        <v>125</v>
      </c>
      <c r="Z39" s="379" t="s">
        <v>137</v>
      </c>
      <c r="AA39" s="379" t="s">
        <v>125</v>
      </c>
      <c r="AB39" s="382" t="s">
        <v>125</v>
      </c>
      <c r="AC39" s="385" t="s">
        <v>125</v>
      </c>
      <c r="AD39" s="379" t="s">
        <v>198</v>
      </c>
      <c r="AE39" s="379" t="s">
        <v>125</v>
      </c>
      <c r="AF39" s="379" t="s">
        <v>229</v>
      </c>
      <c r="AG39" s="382" t="s">
        <v>235</v>
      </c>
      <c r="AH39" s="385" t="s">
        <v>131</v>
      </c>
      <c r="AI39" s="379" t="s">
        <v>236</v>
      </c>
      <c r="AJ39" s="379" t="s">
        <v>184</v>
      </c>
      <c r="AK39" s="379" t="s">
        <v>185</v>
      </c>
      <c r="AL39" s="382" t="s">
        <v>125</v>
      </c>
      <c r="AM39" s="385" t="s">
        <v>179</v>
      </c>
      <c r="AN39" s="379" t="s">
        <v>125</v>
      </c>
      <c r="AO39" s="379" t="s">
        <v>125</v>
      </c>
      <c r="AP39" s="379" t="s">
        <v>125</v>
      </c>
      <c r="AQ39" s="382" t="s">
        <v>125</v>
      </c>
      <c r="AR39" s="385" t="s">
        <v>125</v>
      </c>
      <c r="AS39" s="379" t="s">
        <v>237</v>
      </c>
      <c r="AT39" s="379" t="s">
        <v>105</v>
      </c>
      <c r="AU39" s="379" t="s">
        <v>238</v>
      </c>
      <c r="AV39" s="382" t="s">
        <v>140</v>
      </c>
      <c r="AW39" s="385" t="s">
        <v>182</v>
      </c>
      <c r="AX39" s="379" t="s">
        <v>183</v>
      </c>
      <c r="AY39" s="379" t="s">
        <v>216</v>
      </c>
      <c r="AZ39" s="379" t="s">
        <v>239</v>
      </c>
      <c r="BA39" s="382" t="s">
        <v>125</v>
      </c>
      <c r="BB39" s="385" t="s">
        <v>125</v>
      </c>
      <c r="BC39" s="379" t="s">
        <v>125</v>
      </c>
      <c r="BD39" s="379" t="s">
        <v>125</v>
      </c>
      <c r="BE39" s="379" t="s">
        <v>125</v>
      </c>
      <c r="BF39" s="382" t="s">
        <v>105</v>
      </c>
      <c r="BG39" s="385" t="s">
        <v>125</v>
      </c>
      <c r="BH39" s="379" t="s">
        <v>125</v>
      </c>
      <c r="BI39" s="379" t="s">
        <v>125</v>
      </c>
      <c r="BJ39" s="379" t="s">
        <v>125</v>
      </c>
      <c r="BK39" s="382" t="s">
        <v>125</v>
      </c>
      <c r="BL39" s="385" t="s">
        <v>125</v>
      </c>
      <c r="BM39" s="382" t="s">
        <v>125</v>
      </c>
      <c r="BN39" s="22"/>
      <c r="BO39" s="22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19</v>
      </c>
      <c r="B40" s="6" t="s">
        <v>9</v>
      </c>
      <c r="C40" s="334" t="s">
        <v>124</v>
      </c>
      <c r="D40" s="374" t="s">
        <v>105</v>
      </c>
      <c r="E40" s="377" t="s">
        <v>105</v>
      </c>
      <c r="F40" s="377" t="s">
        <v>105</v>
      </c>
      <c r="G40" s="377" t="s">
        <v>105</v>
      </c>
      <c r="H40" s="380" t="s">
        <v>105</v>
      </c>
      <c r="I40" s="383" t="s">
        <v>105</v>
      </c>
      <c r="J40" s="377" t="s">
        <v>105</v>
      </c>
      <c r="K40" s="377" t="s">
        <v>105</v>
      </c>
      <c r="L40" s="377" t="s">
        <v>105</v>
      </c>
      <c r="M40" s="380" t="s">
        <v>105</v>
      </c>
      <c r="N40" s="383" t="s">
        <v>105</v>
      </c>
      <c r="O40" s="377" t="s">
        <v>105</v>
      </c>
      <c r="P40" s="377" t="s">
        <v>105</v>
      </c>
      <c r="Q40" s="377" t="s">
        <v>105</v>
      </c>
      <c r="R40" s="380" t="s">
        <v>105</v>
      </c>
      <c r="S40" s="383" t="s">
        <v>105</v>
      </c>
      <c r="T40" s="377" t="s">
        <v>105</v>
      </c>
      <c r="U40" s="377" t="s">
        <v>105</v>
      </c>
      <c r="V40" s="377" t="s">
        <v>105</v>
      </c>
      <c r="W40" s="380" t="s">
        <v>105</v>
      </c>
      <c r="X40" s="383" t="s">
        <v>105</v>
      </c>
      <c r="Y40" s="377" t="s">
        <v>105</v>
      </c>
      <c r="Z40" s="377" t="s">
        <v>105</v>
      </c>
      <c r="AA40" s="377" t="s">
        <v>105</v>
      </c>
      <c r="AB40" s="380" t="s">
        <v>105</v>
      </c>
      <c r="AC40" s="383" t="s">
        <v>105</v>
      </c>
      <c r="AD40" s="377" t="s">
        <v>105</v>
      </c>
      <c r="AE40" s="377" t="s">
        <v>105</v>
      </c>
      <c r="AF40" s="377" t="s">
        <v>125</v>
      </c>
      <c r="AG40" s="380" t="s">
        <v>105</v>
      </c>
      <c r="AH40" s="383" t="s">
        <v>125</v>
      </c>
      <c r="AI40" s="377" t="s">
        <v>125</v>
      </c>
      <c r="AJ40" s="377" t="s">
        <v>125</v>
      </c>
      <c r="AK40" s="377" t="s">
        <v>125</v>
      </c>
      <c r="AL40" s="380" t="s">
        <v>105</v>
      </c>
      <c r="AM40" s="383" t="s">
        <v>105</v>
      </c>
      <c r="AN40" s="377" t="s">
        <v>105</v>
      </c>
      <c r="AO40" s="377" t="s">
        <v>105</v>
      </c>
      <c r="AP40" s="377" t="s">
        <v>105</v>
      </c>
      <c r="AQ40" s="380" t="s">
        <v>105</v>
      </c>
      <c r="AR40" s="383" t="s">
        <v>105</v>
      </c>
      <c r="AS40" s="377" t="s">
        <v>105</v>
      </c>
      <c r="AT40" s="377" t="s">
        <v>105</v>
      </c>
      <c r="AU40" s="377" t="s">
        <v>105</v>
      </c>
      <c r="AV40" s="380" t="s">
        <v>105</v>
      </c>
      <c r="AW40" s="383" t="s">
        <v>105</v>
      </c>
      <c r="AX40" s="377" t="s">
        <v>105</v>
      </c>
      <c r="AY40" s="377" t="s">
        <v>105</v>
      </c>
      <c r="AZ40" s="377" t="s">
        <v>105</v>
      </c>
      <c r="BA40" s="380" t="s">
        <v>105</v>
      </c>
      <c r="BB40" s="383" t="s">
        <v>105</v>
      </c>
      <c r="BC40" s="377" t="s">
        <v>105</v>
      </c>
      <c r="BD40" s="377" t="s">
        <v>105</v>
      </c>
      <c r="BE40" s="377" t="s">
        <v>105</v>
      </c>
      <c r="BF40" s="380" t="s">
        <v>105</v>
      </c>
      <c r="BG40" s="383" t="s">
        <v>105</v>
      </c>
      <c r="BH40" s="377" t="s">
        <v>105</v>
      </c>
      <c r="BI40" s="377" t="s">
        <v>105</v>
      </c>
      <c r="BJ40" s="377" t="s">
        <v>105</v>
      </c>
      <c r="BK40" s="380" t="s">
        <v>105</v>
      </c>
      <c r="BL40" s="383" t="s">
        <v>105</v>
      </c>
      <c r="BM40" s="380" t="s">
        <v>105</v>
      </c>
      <c r="BN40" s="22"/>
      <c r="BO40" s="22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65" t="s">
        <v>11</v>
      </c>
      <c r="B41" s="7" t="s">
        <v>12</v>
      </c>
      <c r="C41" s="335"/>
      <c r="D41" s="375" t="s">
        <v>105</v>
      </c>
      <c r="E41" s="378" t="s">
        <v>105</v>
      </c>
      <c r="F41" s="378" t="s">
        <v>105</v>
      </c>
      <c r="G41" s="378" t="s">
        <v>105</v>
      </c>
      <c r="H41" s="381" t="s">
        <v>105</v>
      </c>
      <c r="I41" s="384" t="s">
        <v>105</v>
      </c>
      <c r="J41" s="378" t="s">
        <v>105</v>
      </c>
      <c r="K41" s="378" t="s">
        <v>105</v>
      </c>
      <c r="L41" s="378" t="s">
        <v>105</v>
      </c>
      <c r="M41" s="381" t="s">
        <v>105</v>
      </c>
      <c r="N41" s="384" t="s">
        <v>105</v>
      </c>
      <c r="O41" s="378" t="s">
        <v>105</v>
      </c>
      <c r="P41" s="378" t="s">
        <v>105</v>
      </c>
      <c r="Q41" s="378" t="s">
        <v>105</v>
      </c>
      <c r="R41" s="381" t="s">
        <v>105</v>
      </c>
      <c r="S41" s="384" t="s">
        <v>105</v>
      </c>
      <c r="T41" s="378" t="s">
        <v>105</v>
      </c>
      <c r="U41" s="378" t="s">
        <v>105</v>
      </c>
      <c r="V41" s="378" t="s">
        <v>105</v>
      </c>
      <c r="W41" s="381" t="s">
        <v>105</v>
      </c>
      <c r="X41" s="384" t="s">
        <v>105</v>
      </c>
      <c r="Y41" s="378" t="s">
        <v>105</v>
      </c>
      <c r="Z41" s="378" t="s">
        <v>105</v>
      </c>
      <c r="AA41" s="378" t="s">
        <v>105</v>
      </c>
      <c r="AB41" s="381" t="s">
        <v>105</v>
      </c>
      <c r="AC41" s="384" t="s">
        <v>105</v>
      </c>
      <c r="AD41" s="378" t="s">
        <v>105</v>
      </c>
      <c r="AE41" s="378" t="s">
        <v>105</v>
      </c>
      <c r="AF41" s="378" t="s">
        <v>125</v>
      </c>
      <c r="AG41" s="381" t="s">
        <v>105</v>
      </c>
      <c r="AH41" s="384" t="s">
        <v>125</v>
      </c>
      <c r="AI41" s="378" t="s">
        <v>125</v>
      </c>
      <c r="AJ41" s="378" t="s">
        <v>125</v>
      </c>
      <c r="AK41" s="378" t="s">
        <v>125</v>
      </c>
      <c r="AL41" s="381" t="s">
        <v>105</v>
      </c>
      <c r="AM41" s="384" t="s">
        <v>105</v>
      </c>
      <c r="AN41" s="378" t="s">
        <v>105</v>
      </c>
      <c r="AO41" s="378" t="s">
        <v>105</v>
      </c>
      <c r="AP41" s="378" t="s">
        <v>105</v>
      </c>
      <c r="AQ41" s="381" t="s">
        <v>105</v>
      </c>
      <c r="AR41" s="384" t="s">
        <v>105</v>
      </c>
      <c r="AS41" s="378" t="s">
        <v>105</v>
      </c>
      <c r="AT41" s="378" t="s">
        <v>105</v>
      </c>
      <c r="AU41" s="378" t="s">
        <v>105</v>
      </c>
      <c r="AV41" s="381" t="s">
        <v>105</v>
      </c>
      <c r="AW41" s="384" t="s">
        <v>105</v>
      </c>
      <c r="AX41" s="378" t="s">
        <v>105</v>
      </c>
      <c r="AY41" s="378" t="s">
        <v>105</v>
      </c>
      <c r="AZ41" s="378" t="s">
        <v>105</v>
      </c>
      <c r="BA41" s="381" t="s">
        <v>105</v>
      </c>
      <c r="BB41" s="384" t="s">
        <v>105</v>
      </c>
      <c r="BC41" s="378" t="s">
        <v>105</v>
      </c>
      <c r="BD41" s="378" t="s">
        <v>105</v>
      </c>
      <c r="BE41" s="378" t="s">
        <v>105</v>
      </c>
      <c r="BF41" s="381" t="s">
        <v>105</v>
      </c>
      <c r="BG41" s="384" t="s">
        <v>105</v>
      </c>
      <c r="BH41" s="378" t="s">
        <v>105</v>
      </c>
      <c r="BI41" s="378" t="s">
        <v>105</v>
      </c>
      <c r="BJ41" s="378" t="s">
        <v>105</v>
      </c>
      <c r="BK41" s="381" t="s">
        <v>105</v>
      </c>
      <c r="BL41" s="384" t="s">
        <v>105</v>
      </c>
      <c r="BM41" s="381" t="s">
        <v>105</v>
      </c>
      <c r="BN41" s="22"/>
      <c r="BO41" s="22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65"/>
      <c r="B42" s="8" t="s">
        <v>29</v>
      </c>
      <c r="C42" s="335"/>
      <c r="D42" s="376" t="s">
        <v>105</v>
      </c>
      <c r="E42" s="379" t="s">
        <v>105</v>
      </c>
      <c r="F42" s="379" t="s">
        <v>105</v>
      </c>
      <c r="G42" s="379" t="s">
        <v>105</v>
      </c>
      <c r="H42" s="382" t="s">
        <v>105</v>
      </c>
      <c r="I42" s="385" t="s">
        <v>105</v>
      </c>
      <c r="J42" s="379" t="s">
        <v>105</v>
      </c>
      <c r="K42" s="379" t="s">
        <v>105</v>
      </c>
      <c r="L42" s="379" t="s">
        <v>105</v>
      </c>
      <c r="M42" s="382" t="s">
        <v>105</v>
      </c>
      <c r="N42" s="385" t="s">
        <v>105</v>
      </c>
      <c r="O42" s="379" t="s">
        <v>105</v>
      </c>
      <c r="P42" s="379" t="s">
        <v>105</v>
      </c>
      <c r="Q42" s="379" t="s">
        <v>105</v>
      </c>
      <c r="R42" s="382" t="s">
        <v>105</v>
      </c>
      <c r="S42" s="385" t="s">
        <v>105</v>
      </c>
      <c r="T42" s="379" t="s">
        <v>105</v>
      </c>
      <c r="U42" s="379" t="s">
        <v>105</v>
      </c>
      <c r="V42" s="379" t="s">
        <v>105</v>
      </c>
      <c r="W42" s="382" t="s">
        <v>105</v>
      </c>
      <c r="X42" s="385" t="s">
        <v>105</v>
      </c>
      <c r="Y42" s="379" t="s">
        <v>105</v>
      </c>
      <c r="Z42" s="379" t="s">
        <v>105</v>
      </c>
      <c r="AA42" s="379" t="s">
        <v>105</v>
      </c>
      <c r="AB42" s="382" t="s">
        <v>105</v>
      </c>
      <c r="AC42" s="385" t="s">
        <v>105</v>
      </c>
      <c r="AD42" s="379" t="s">
        <v>105</v>
      </c>
      <c r="AE42" s="379" t="s">
        <v>105</v>
      </c>
      <c r="AF42" s="379" t="s">
        <v>125</v>
      </c>
      <c r="AG42" s="382" t="s">
        <v>105</v>
      </c>
      <c r="AH42" s="385" t="s">
        <v>125</v>
      </c>
      <c r="AI42" s="379" t="s">
        <v>125</v>
      </c>
      <c r="AJ42" s="379" t="s">
        <v>125</v>
      </c>
      <c r="AK42" s="379" t="s">
        <v>125</v>
      </c>
      <c r="AL42" s="382" t="s">
        <v>105</v>
      </c>
      <c r="AM42" s="385" t="s">
        <v>105</v>
      </c>
      <c r="AN42" s="379" t="s">
        <v>105</v>
      </c>
      <c r="AO42" s="379" t="s">
        <v>105</v>
      </c>
      <c r="AP42" s="379" t="s">
        <v>105</v>
      </c>
      <c r="AQ42" s="382" t="s">
        <v>105</v>
      </c>
      <c r="AR42" s="385" t="s">
        <v>105</v>
      </c>
      <c r="AS42" s="379" t="s">
        <v>105</v>
      </c>
      <c r="AT42" s="379" t="s">
        <v>105</v>
      </c>
      <c r="AU42" s="379" t="s">
        <v>105</v>
      </c>
      <c r="AV42" s="382" t="s">
        <v>105</v>
      </c>
      <c r="AW42" s="385" t="s">
        <v>105</v>
      </c>
      <c r="AX42" s="379" t="s">
        <v>105</v>
      </c>
      <c r="AY42" s="379" t="s">
        <v>105</v>
      </c>
      <c r="AZ42" s="379" t="s">
        <v>105</v>
      </c>
      <c r="BA42" s="382" t="s">
        <v>105</v>
      </c>
      <c r="BB42" s="385" t="s">
        <v>105</v>
      </c>
      <c r="BC42" s="379" t="s">
        <v>105</v>
      </c>
      <c r="BD42" s="379" t="s">
        <v>105</v>
      </c>
      <c r="BE42" s="379" t="s">
        <v>105</v>
      </c>
      <c r="BF42" s="382" t="s">
        <v>105</v>
      </c>
      <c r="BG42" s="385" t="s">
        <v>105</v>
      </c>
      <c r="BH42" s="379" t="s">
        <v>105</v>
      </c>
      <c r="BI42" s="379" t="s">
        <v>105</v>
      </c>
      <c r="BJ42" s="379" t="s">
        <v>105</v>
      </c>
      <c r="BK42" s="382" t="s">
        <v>105</v>
      </c>
      <c r="BL42" s="385" t="s">
        <v>105</v>
      </c>
      <c r="BM42" s="382" t="s">
        <v>105</v>
      </c>
      <c r="BN42" s="22"/>
      <c r="BO42" s="22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19</v>
      </c>
      <c r="B43" s="6" t="s">
        <v>15</v>
      </c>
      <c r="C43" s="334" t="s">
        <v>124</v>
      </c>
      <c r="D43" s="374" t="s">
        <v>105</v>
      </c>
      <c r="E43" s="377" t="s">
        <v>105</v>
      </c>
      <c r="F43" s="377" t="s">
        <v>105</v>
      </c>
      <c r="G43" s="377" t="s">
        <v>105</v>
      </c>
      <c r="H43" s="380" t="s">
        <v>105</v>
      </c>
      <c r="I43" s="383" t="s">
        <v>105</v>
      </c>
      <c r="J43" s="377" t="s">
        <v>105</v>
      </c>
      <c r="K43" s="377" t="s">
        <v>105</v>
      </c>
      <c r="L43" s="377" t="s">
        <v>105</v>
      </c>
      <c r="M43" s="380" t="s">
        <v>105</v>
      </c>
      <c r="N43" s="383" t="s">
        <v>105</v>
      </c>
      <c r="O43" s="377" t="s">
        <v>105</v>
      </c>
      <c r="P43" s="377" t="s">
        <v>105</v>
      </c>
      <c r="Q43" s="377" t="s">
        <v>105</v>
      </c>
      <c r="R43" s="380" t="s">
        <v>105</v>
      </c>
      <c r="S43" s="383" t="s">
        <v>105</v>
      </c>
      <c r="T43" s="377" t="s">
        <v>105</v>
      </c>
      <c r="U43" s="377" t="s">
        <v>105</v>
      </c>
      <c r="V43" s="377" t="s">
        <v>105</v>
      </c>
      <c r="W43" s="380" t="s">
        <v>105</v>
      </c>
      <c r="X43" s="383" t="s">
        <v>105</v>
      </c>
      <c r="Y43" s="377" t="s">
        <v>105</v>
      </c>
      <c r="Z43" s="377" t="s">
        <v>105</v>
      </c>
      <c r="AA43" s="377" t="s">
        <v>105</v>
      </c>
      <c r="AB43" s="380" t="s">
        <v>105</v>
      </c>
      <c r="AC43" s="383" t="s">
        <v>105</v>
      </c>
      <c r="AD43" s="377" t="s">
        <v>105</v>
      </c>
      <c r="AE43" s="377" t="s">
        <v>105</v>
      </c>
      <c r="AF43" s="377" t="s">
        <v>125</v>
      </c>
      <c r="AG43" s="380" t="s">
        <v>125</v>
      </c>
      <c r="AH43" s="383" t="s">
        <v>125</v>
      </c>
      <c r="AI43" s="377" t="s">
        <v>125</v>
      </c>
      <c r="AJ43" s="377" t="s">
        <v>125</v>
      </c>
      <c r="AK43" s="377" t="s">
        <v>232</v>
      </c>
      <c r="AL43" s="380" t="s">
        <v>105</v>
      </c>
      <c r="AM43" s="383" t="s">
        <v>105</v>
      </c>
      <c r="AN43" s="377" t="s">
        <v>105</v>
      </c>
      <c r="AO43" s="377" t="s">
        <v>105</v>
      </c>
      <c r="AP43" s="377" t="s">
        <v>105</v>
      </c>
      <c r="AQ43" s="380" t="s">
        <v>105</v>
      </c>
      <c r="AR43" s="383" t="s">
        <v>105</v>
      </c>
      <c r="AS43" s="377" t="s">
        <v>105</v>
      </c>
      <c r="AT43" s="377" t="s">
        <v>105</v>
      </c>
      <c r="AU43" s="377" t="s">
        <v>105</v>
      </c>
      <c r="AV43" s="380" t="s">
        <v>105</v>
      </c>
      <c r="AW43" s="383" t="s">
        <v>105</v>
      </c>
      <c r="AX43" s="377" t="s">
        <v>105</v>
      </c>
      <c r="AY43" s="377" t="s">
        <v>105</v>
      </c>
      <c r="AZ43" s="377" t="s">
        <v>105</v>
      </c>
      <c r="BA43" s="380" t="s">
        <v>105</v>
      </c>
      <c r="BB43" s="383" t="s">
        <v>105</v>
      </c>
      <c r="BC43" s="377" t="s">
        <v>105</v>
      </c>
      <c r="BD43" s="377" t="s">
        <v>105</v>
      </c>
      <c r="BE43" s="377" t="s">
        <v>105</v>
      </c>
      <c r="BF43" s="380" t="s">
        <v>105</v>
      </c>
      <c r="BG43" s="383" t="s">
        <v>105</v>
      </c>
      <c r="BH43" s="377" t="s">
        <v>105</v>
      </c>
      <c r="BI43" s="377" t="s">
        <v>105</v>
      </c>
      <c r="BJ43" s="377" t="s">
        <v>105</v>
      </c>
      <c r="BK43" s="380" t="s">
        <v>105</v>
      </c>
      <c r="BL43" s="383" t="s">
        <v>105</v>
      </c>
      <c r="BM43" s="380" t="s">
        <v>105</v>
      </c>
      <c r="BN43" s="22"/>
      <c r="BO43" s="22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65" t="s">
        <v>11</v>
      </c>
      <c r="B44" s="7" t="s">
        <v>12</v>
      </c>
      <c r="C44" s="335"/>
      <c r="D44" s="375" t="s">
        <v>105</v>
      </c>
      <c r="E44" s="378" t="s">
        <v>105</v>
      </c>
      <c r="F44" s="378" t="s">
        <v>105</v>
      </c>
      <c r="G44" s="378" t="s">
        <v>105</v>
      </c>
      <c r="H44" s="381" t="s">
        <v>105</v>
      </c>
      <c r="I44" s="384" t="s">
        <v>105</v>
      </c>
      <c r="J44" s="378" t="s">
        <v>105</v>
      </c>
      <c r="K44" s="378" t="s">
        <v>105</v>
      </c>
      <c r="L44" s="378" t="s">
        <v>105</v>
      </c>
      <c r="M44" s="381" t="s">
        <v>105</v>
      </c>
      <c r="N44" s="384" t="s">
        <v>105</v>
      </c>
      <c r="O44" s="378" t="s">
        <v>105</v>
      </c>
      <c r="P44" s="378" t="s">
        <v>105</v>
      </c>
      <c r="Q44" s="378" t="s">
        <v>105</v>
      </c>
      <c r="R44" s="381" t="s">
        <v>105</v>
      </c>
      <c r="S44" s="384" t="s">
        <v>105</v>
      </c>
      <c r="T44" s="378" t="s">
        <v>105</v>
      </c>
      <c r="U44" s="378" t="s">
        <v>105</v>
      </c>
      <c r="V44" s="378" t="s">
        <v>105</v>
      </c>
      <c r="W44" s="381" t="s">
        <v>105</v>
      </c>
      <c r="X44" s="384" t="s">
        <v>105</v>
      </c>
      <c r="Y44" s="378" t="s">
        <v>105</v>
      </c>
      <c r="Z44" s="378" t="s">
        <v>105</v>
      </c>
      <c r="AA44" s="378" t="s">
        <v>105</v>
      </c>
      <c r="AB44" s="381" t="s">
        <v>105</v>
      </c>
      <c r="AC44" s="384" t="s">
        <v>105</v>
      </c>
      <c r="AD44" s="378" t="s">
        <v>105</v>
      </c>
      <c r="AE44" s="378" t="s">
        <v>105</v>
      </c>
      <c r="AF44" s="378" t="s">
        <v>125</v>
      </c>
      <c r="AG44" s="381" t="s">
        <v>125</v>
      </c>
      <c r="AH44" s="384" t="s">
        <v>125</v>
      </c>
      <c r="AI44" s="378" t="s">
        <v>125</v>
      </c>
      <c r="AJ44" s="378" t="s">
        <v>125</v>
      </c>
      <c r="AK44" s="378" t="s">
        <v>232</v>
      </c>
      <c r="AL44" s="381" t="s">
        <v>105</v>
      </c>
      <c r="AM44" s="384" t="s">
        <v>105</v>
      </c>
      <c r="AN44" s="378" t="s">
        <v>105</v>
      </c>
      <c r="AO44" s="378" t="s">
        <v>105</v>
      </c>
      <c r="AP44" s="378" t="s">
        <v>105</v>
      </c>
      <c r="AQ44" s="381" t="s">
        <v>105</v>
      </c>
      <c r="AR44" s="384" t="s">
        <v>105</v>
      </c>
      <c r="AS44" s="378" t="s">
        <v>105</v>
      </c>
      <c r="AT44" s="378" t="s">
        <v>105</v>
      </c>
      <c r="AU44" s="378" t="s">
        <v>105</v>
      </c>
      <c r="AV44" s="381" t="s">
        <v>105</v>
      </c>
      <c r="AW44" s="384" t="s">
        <v>105</v>
      </c>
      <c r="AX44" s="378" t="s">
        <v>105</v>
      </c>
      <c r="AY44" s="378" t="s">
        <v>105</v>
      </c>
      <c r="AZ44" s="378" t="s">
        <v>105</v>
      </c>
      <c r="BA44" s="381" t="s">
        <v>105</v>
      </c>
      <c r="BB44" s="384" t="s">
        <v>105</v>
      </c>
      <c r="BC44" s="378" t="s">
        <v>105</v>
      </c>
      <c r="BD44" s="378" t="s">
        <v>105</v>
      </c>
      <c r="BE44" s="378" t="s">
        <v>105</v>
      </c>
      <c r="BF44" s="381" t="s">
        <v>105</v>
      </c>
      <c r="BG44" s="384" t="s">
        <v>105</v>
      </c>
      <c r="BH44" s="378" t="s">
        <v>105</v>
      </c>
      <c r="BI44" s="378" t="s">
        <v>105</v>
      </c>
      <c r="BJ44" s="378" t="s">
        <v>105</v>
      </c>
      <c r="BK44" s="381" t="s">
        <v>105</v>
      </c>
      <c r="BL44" s="384" t="s">
        <v>105</v>
      </c>
      <c r="BM44" s="381" t="s">
        <v>105</v>
      </c>
      <c r="BN44" s="22"/>
      <c r="BO44" s="22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65"/>
      <c r="B45" s="8" t="s">
        <v>30</v>
      </c>
      <c r="C45" s="335"/>
      <c r="D45" s="376" t="s">
        <v>105</v>
      </c>
      <c r="E45" s="379" t="s">
        <v>105</v>
      </c>
      <c r="F45" s="379" t="s">
        <v>105</v>
      </c>
      <c r="G45" s="379" t="s">
        <v>105</v>
      </c>
      <c r="H45" s="382" t="s">
        <v>105</v>
      </c>
      <c r="I45" s="385" t="s">
        <v>105</v>
      </c>
      <c r="J45" s="379" t="s">
        <v>105</v>
      </c>
      <c r="K45" s="379" t="s">
        <v>105</v>
      </c>
      <c r="L45" s="379" t="s">
        <v>105</v>
      </c>
      <c r="M45" s="382" t="s">
        <v>105</v>
      </c>
      <c r="N45" s="385" t="s">
        <v>105</v>
      </c>
      <c r="O45" s="379" t="s">
        <v>105</v>
      </c>
      <c r="P45" s="379" t="s">
        <v>105</v>
      </c>
      <c r="Q45" s="379" t="s">
        <v>105</v>
      </c>
      <c r="R45" s="382" t="s">
        <v>105</v>
      </c>
      <c r="S45" s="385" t="s">
        <v>105</v>
      </c>
      <c r="T45" s="379" t="s">
        <v>105</v>
      </c>
      <c r="U45" s="379" t="s">
        <v>105</v>
      </c>
      <c r="V45" s="379" t="s">
        <v>105</v>
      </c>
      <c r="W45" s="382" t="s">
        <v>105</v>
      </c>
      <c r="X45" s="385" t="s">
        <v>105</v>
      </c>
      <c r="Y45" s="379" t="s">
        <v>105</v>
      </c>
      <c r="Z45" s="379" t="s">
        <v>105</v>
      </c>
      <c r="AA45" s="379" t="s">
        <v>105</v>
      </c>
      <c r="AB45" s="382" t="s">
        <v>105</v>
      </c>
      <c r="AC45" s="385" t="s">
        <v>105</v>
      </c>
      <c r="AD45" s="379" t="s">
        <v>105</v>
      </c>
      <c r="AE45" s="379" t="s">
        <v>105</v>
      </c>
      <c r="AF45" s="379" t="s">
        <v>125</v>
      </c>
      <c r="AG45" s="382" t="s">
        <v>125</v>
      </c>
      <c r="AH45" s="385" t="s">
        <v>125</v>
      </c>
      <c r="AI45" s="379" t="s">
        <v>125</v>
      </c>
      <c r="AJ45" s="379" t="s">
        <v>125</v>
      </c>
      <c r="AK45" s="379" t="s">
        <v>232</v>
      </c>
      <c r="AL45" s="382" t="s">
        <v>105</v>
      </c>
      <c r="AM45" s="385" t="s">
        <v>105</v>
      </c>
      <c r="AN45" s="379" t="s">
        <v>105</v>
      </c>
      <c r="AO45" s="379" t="s">
        <v>105</v>
      </c>
      <c r="AP45" s="379" t="s">
        <v>105</v>
      </c>
      <c r="AQ45" s="382" t="s">
        <v>105</v>
      </c>
      <c r="AR45" s="385" t="s">
        <v>105</v>
      </c>
      <c r="AS45" s="379" t="s">
        <v>105</v>
      </c>
      <c r="AT45" s="379" t="s">
        <v>105</v>
      </c>
      <c r="AU45" s="379" t="s">
        <v>105</v>
      </c>
      <c r="AV45" s="382" t="s">
        <v>105</v>
      </c>
      <c r="AW45" s="385" t="s">
        <v>105</v>
      </c>
      <c r="AX45" s="379" t="s">
        <v>105</v>
      </c>
      <c r="AY45" s="379" t="s">
        <v>105</v>
      </c>
      <c r="AZ45" s="379" t="s">
        <v>105</v>
      </c>
      <c r="BA45" s="382" t="s">
        <v>105</v>
      </c>
      <c r="BB45" s="385" t="s">
        <v>105</v>
      </c>
      <c r="BC45" s="379" t="s">
        <v>105</v>
      </c>
      <c r="BD45" s="379" t="s">
        <v>105</v>
      </c>
      <c r="BE45" s="379" t="s">
        <v>105</v>
      </c>
      <c r="BF45" s="382" t="s">
        <v>105</v>
      </c>
      <c r="BG45" s="385" t="s">
        <v>105</v>
      </c>
      <c r="BH45" s="379" t="s">
        <v>105</v>
      </c>
      <c r="BI45" s="379" t="s">
        <v>105</v>
      </c>
      <c r="BJ45" s="379" t="s">
        <v>105</v>
      </c>
      <c r="BK45" s="382" t="s">
        <v>105</v>
      </c>
      <c r="BL45" s="385" t="s">
        <v>105</v>
      </c>
      <c r="BM45" s="382" t="s">
        <v>105</v>
      </c>
      <c r="BN45" s="22"/>
      <c r="BO45" s="22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19</v>
      </c>
      <c r="B46" s="6" t="s">
        <v>17</v>
      </c>
      <c r="C46" s="334" t="s">
        <v>124</v>
      </c>
      <c r="D46" s="374" t="s">
        <v>105</v>
      </c>
      <c r="E46" s="377" t="s">
        <v>105</v>
      </c>
      <c r="F46" s="377" t="s">
        <v>105</v>
      </c>
      <c r="G46" s="377" t="s">
        <v>105</v>
      </c>
      <c r="H46" s="380" t="s">
        <v>105</v>
      </c>
      <c r="I46" s="383" t="s">
        <v>105</v>
      </c>
      <c r="J46" s="377" t="s">
        <v>105</v>
      </c>
      <c r="K46" s="377" t="s">
        <v>105</v>
      </c>
      <c r="L46" s="377" t="s">
        <v>105</v>
      </c>
      <c r="M46" s="380" t="s">
        <v>105</v>
      </c>
      <c r="N46" s="383" t="s">
        <v>105</v>
      </c>
      <c r="O46" s="377" t="s">
        <v>105</v>
      </c>
      <c r="P46" s="377" t="s">
        <v>105</v>
      </c>
      <c r="Q46" s="377" t="s">
        <v>105</v>
      </c>
      <c r="R46" s="380" t="s">
        <v>105</v>
      </c>
      <c r="S46" s="383" t="s">
        <v>105</v>
      </c>
      <c r="T46" s="377" t="s">
        <v>105</v>
      </c>
      <c r="U46" s="377" t="s">
        <v>105</v>
      </c>
      <c r="V46" s="377" t="s">
        <v>105</v>
      </c>
      <c r="W46" s="380" t="s">
        <v>105</v>
      </c>
      <c r="X46" s="383" t="s">
        <v>105</v>
      </c>
      <c r="Y46" s="377" t="s">
        <v>105</v>
      </c>
      <c r="Z46" s="377" t="s">
        <v>105</v>
      </c>
      <c r="AA46" s="377" t="s">
        <v>105</v>
      </c>
      <c r="AB46" s="380" t="s">
        <v>105</v>
      </c>
      <c r="AC46" s="383" t="s">
        <v>105</v>
      </c>
      <c r="AD46" s="377" t="s">
        <v>105</v>
      </c>
      <c r="AE46" s="377" t="s">
        <v>105</v>
      </c>
      <c r="AF46" s="377" t="s">
        <v>125</v>
      </c>
      <c r="AG46" s="380" t="s">
        <v>105</v>
      </c>
      <c r="AH46" s="383" t="s">
        <v>125</v>
      </c>
      <c r="AI46" s="377" t="s">
        <v>125</v>
      </c>
      <c r="AJ46" s="377" t="s">
        <v>125</v>
      </c>
      <c r="AK46" s="377" t="s">
        <v>125</v>
      </c>
      <c r="AL46" s="380" t="s">
        <v>105</v>
      </c>
      <c r="AM46" s="383" t="s">
        <v>105</v>
      </c>
      <c r="AN46" s="377" t="s">
        <v>105</v>
      </c>
      <c r="AO46" s="377" t="s">
        <v>105</v>
      </c>
      <c r="AP46" s="377" t="s">
        <v>105</v>
      </c>
      <c r="AQ46" s="380" t="s">
        <v>105</v>
      </c>
      <c r="AR46" s="383" t="s">
        <v>105</v>
      </c>
      <c r="AS46" s="377" t="s">
        <v>105</v>
      </c>
      <c r="AT46" s="377" t="s">
        <v>105</v>
      </c>
      <c r="AU46" s="377" t="s">
        <v>105</v>
      </c>
      <c r="AV46" s="380" t="s">
        <v>105</v>
      </c>
      <c r="AW46" s="383" t="s">
        <v>105</v>
      </c>
      <c r="AX46" s="377" t="s">
        <v>105</v>
      </c>
      <c r="AY46" s="377" t="s">
        <v>105</v>
      </c>
      <c r="AZ46" s="377" t="s">
        <v>105</v>
      </c>
      <c r="BA46" s="380" t="s">
        <v>105</v>
      </c>
      <c r="BB46" s="383" t="s">
        <v>105</v>
      </c>
      <c r="BC46" s="377" t="s">
        <v>105</v>
      </c>
      <c r="BD46" s="377" t="s">
        <v>105</v>
      </c>
      <c r="BE46" s="377" t="s">
        <v>105</v>
      </c>
      <c r="BF46" s="380" t="s">
        <v>105</v>
      </c>
      <c r="BG46" s="383" t="s">
        <v>105</v>
      </c>
      <c r="BH46" s="377" t="s">
        <v>105</v>
      </c>
      <c r="BI46" s="377" t="s">
        <v>105</v>
      </c>
      <c r="BJ46" s="377" t="s">
        <v>105</v>
      </c>
      <c r="BK46" s="380" t="s">
        <v>105</v>
      </c>
      <c r="BL46" s="383" t="s">
        <v>105</v>
      </c>
      <c r="BM46" s="380" t="s">
        <v>105</v>
      </c>
      <c r="BN46" s="22"/>
      <c r="BO46" s="22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65" t="s">
        <v>11</v>
      </c>
      <c r="B47" s="7" t="s">
        <v>12</v>
      </c>
      <c r="C47" s="335"/>
      <c r="D47" s="375" t="s">
        <v>105</v>
      </c>
      <c r="E47" s="378" t="s">
        <v>105</v>
      </c>
      <c r="F47" s="378" t="s">
        <v>105</v>
      </c>
      <c r="G47" s="378" t="s">
        <v>105</v>
      </c>
      <c r="H47" s="381" t="s">
        <v>105</v>
      </c>
      <c r="I47" s="384" t="s">
        <v>105</v>
      </c>
      <c r="J47" s="378" t="s">
        <v>105</v>
      </c>
      <c r="K47" s="378" t="s">
        <v>105</v>
      </c>
      <c r="L47" s="378" t="s">
        <v>105</v>
      </c>
      <c r="M47" s="381" t="s">
        <v>105</v>
      </c>
      <c r="N47" s="384" t="s">
        <v>105</v>
      </c>
      <c r="O47" s="378" t="s">
        <v>105</v>
      </c>
      <c r="P47" s="378" t="s">
        <v>105</v>
      </c>
      <c r="Q47" s="378" t="s">
        <v>105</v>
      </c>
      <c r="R47" s="381" t="s">
        <v>105</v>
      </c>
      <c r="S47" s="384" t="s">
        <v>105</v>
      </c>
      <c r="T47" s="378" t="s">
        <v>105</v>
      </c>
      <c r="U47" s="378" t="s">
        <v>105</v>
      </c>
      <c r="V47" s="378" t="s">
        <v>105</v>
      </c>
      <c r="W47" s="381" t="s">
        <v>105</v>
      </c>
      <c r="X47" s="384" t="s">
        <v>105</v>
      </c>
      <c r="Y47" s="378" t="s">
        <v>105</v>
      </c>
      <c r="Z47" s="378" t="s">
        <v>105</v>
      </c>
      <c r="AA47" s="378" t="s">
        <v>105</v>
      </c>
      <c r="AB47" s="381" t="s">
        <v>105</v>
      </c>
      <c r="AC47" s="384" t="s">
        <v>105</v>
      </c>
      <c r="AD47" s="378" t="s">
        <v>105</v>
      </c>
      <c r="AE47" s="378" t="s">
        <v>105</v>
      </c>
      <c r="AF47" s="378" t="s">
        <v>125</v>
      </c>
      <c r="AG47" s="381" t="s">
        <v>105</v>
      </c>
      <c r="AH47" s="384" t="s">
        <v>125</v>
      </c>
      <c r="AI47" s="378" t="s">
        <v>125</v>
      </c>
      <c r="AJ47" s="378" t="s">
        <v>125</v>
      </c>
      <c r="AK47" s="378" t="s">
        <v>125</v>
      </c>
      <c r="AL47" s="381" t="s">
        <v>105</v>
      </c>
      <c r="AM47" s="384" t="s">
        <v>105</v>
      </c>
      <c r="AN47" s="378" t="s">
        <v>105</v>
      </c>
      <c r="AO47" s="378" t="s">
        <v>105</v>
      </c>
      <c r="AP47" s="378" t="s">
        <v>105</v>
      </c>
      <c r="AQ47" s="381" t="s">
        <v>105</v>
      </c>
      <c r="AR47" s="384" t="s">
        <v>105</v>
      </c>
      <c r="AS47" s="378" t="s">
        <v>105</v>
      </c>
      <c r="AT47" s="378" t="s">
        <v>105</v>
      </c>
      <c r="AU47" s="378" t="s">
        <v>105</v>
      </c>
      <c r="AV47" s="381" t="s">
        <v>105</v>
      </c>
      <c r="AW47" s="384" t="s">
        <v>105</v>
      </c>
      <c r="AX47" s="378" t="s">
        <v>105</v>
      </c>
      <c r="AY47" s="378" t="s">
        <v>105</v>
      </c>
      <c r="AZ47" s="378" t="s">
        <v>105</v>
      </c>
      <c r="BA47" s="381" t="s">
        <v>105</v>
      </c>
      <c r="BB47" s="384" t="s">
        <v>105</v>
      </c>
      <c r="BC47" s="378" t="s">
        <v>105</v>
      </c>
      <c r="BD47" s="378" t="s">
        <v>105</v>
      </c>
      <c r="BE47" s="378" t="s">
        <v>105</v>
      </c>
      <c r="BF47" s="381" t="s">
        <v>105</v>
      </c>
      <c r="BG47" s="384" t="s">
        <v>105</v>
      </c>
      <c r="BH47" s="378" t="s">
        <v>105</v>
      </c>
      <c r="BI47" s="378" t="s">
        <v>105</v>
      </c>
      <c r="BJ47" s="378" t="s">
        <v>105</v>
      </c>
      <c r="BK47" s="381" t="s">
        <v>105</v>
      </c>
      <c r="BL47" s="384" t="s">
        <v>105</v>
      </c>
      <c r="BM47" s="381" t="s">
        <v>105</v>
      </c>
      <c r="BN47" s="22"/>
      <c r="BO47" s="22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65"/>
      <c r="B48" s="8" t="s">
        <v>30</v>
      </c>
      <c r="C48" s="335"/>
      <c r="D48" s="376" t="s">
        <v>105</v>
      </c>
      <c r="E48" s="379" t="s">
        <v>105</v>
      </c>
      <c r="F48" s="379" t="s">
        <v>105</v>
      </c>
      <c r="G48" s="379" t="s">
        <v>105</v>
      </c>
      <c r="H48" s="382" t="s">
        <v>105</v>
      </c>
      <c r="I48" s="385" t="s">
        <v>105</v>
      </c>
      <c r="J48" s="379" t="s">
        <v>105</v>
      </c>
      <c r="K48" s="379" t="s">
        <v>105</v>
      </c>
      <c r="L48" s="379" t="s">
        <v>105</v>
      </c>
      <c r="M48" s="382" t="s">
        <v>105</v>
      </c>
      <c r="N48" s="385" t="s">
        <v>105</v>
      </c>
      <c r="O48" s="379" t="s">
        <v>105</v>
      </c>
      <c r="P48" s="379" t="s">
        <v>105</v>
      </c>
      <c r="Q48" s="379" t="s">
        <v>105</v>
      </c>
      <c r="R48" s="382" t="s">
        <v>105</v>
      </c>
      <c r="S48" s="385" t="s">
        <v>105</v>
      </c>
      <c r="T48" s="379" t="s">
        <v>105</v>
      </c>
      <c r="U48" s="379" t="s">
        <v>105</v>
      </c>
      <c r="V48" s="379" t="s">
        <v>105</v>
      </c>
      <c r="W48" s="382" t="s">
        <v>105</v>
      </c>
      <c r="X48" s="385" t="s">
        <v>105</v>
      </c>
      <c r="Y48" s="379" t="s">
        <v>105</v>
      </c>
      <c r="Z48" s="379" t="s">
        <v>105</v>
      </c>
      <c r="AA48" s="379" t="s">
        <v>105</v>
      </c>
      <c r="AB48" s="382" t="s">
        <v>105</v>
      </c>
      <c r="AC48" s="385" t="s">
        <v>105</v>
      </c>
      <c r="AD48" s="379" t="s">
        <v>105</v>
      </c>
      <c r="AE48" s="379" t="s">
        <v>105</v>
      </c>
      <c r="AF48" s="379" t="s">
        <v>125</v>
      </c>
      <c r="AG48" s="382" t="s">
        <v>105</v>
      </c>
      <c r="AH48" s="385" t="s">
        <v>125</v>
      </c>
      <c r="AI48" s="379" t="s">
        <v>125</v>
      </c>
      <c r="AJ48" s="379" t="s">
        <v>125</v>
      </c>
      <c r="AK48" s="379" t="s">
        <v>125</v>
      </c>
      <c r="AL48" s="382" t="s">
        <v>105</v>
      </c>
      <c r="AM48" s="385" t="s">
        <v>105</v>
      </c>
      <c r="AN48" s="379" t="s">
        <v>105</v>
      </c>
      <c r="AO48" s="379" t="s">
        <v>105</v>
      </c>
      <c r="AP48" s="379" t="s">
        <v>105</v>
      </c>
      <c r="AQ48" s="382" t="s">
        <v>105</v>
      </c>
      <c r="AR48" s="385" t="s">
        <v>105</v>
      </c>
      <c r="AS48" s="379" t="s">
        <v>105</v>
      </c>
      <c r="AT48" s="379" t="s">
        <v>105</v>
      </c>
      <c r="AU48" s="379" t="s">
        <v>105</v>
      </c>
      <c r="AV48" s="382" t="s">
        <v>105</v>
      </c>
      <c r="AW48" s="385" t="s">
        <v>105</v>
      </c>
      <c r="AX48" s="379" t="s">
        <v>105</v>
      </c>
      <c r="AY48" s="379" t="s">
        <v>105</v>
      </c>
      <c r="AZ48" s="379" t="s">
        <v>105</v>
      </c>
      <c r="BA48" s="382" t="s">
        <v>105</v>
      </c>
      <c r="BB48" s="385" t="s">
        <v>105</v>
      </c>
      <c r="BC48" s="379" t="s">
        <v>105</v>
      </c>
      <c r="BD48" s="379" t="s">
        <v>105</v>
      </c>
      <c r="BE48" s="379" t="s">
        <v>105</v>
      </c>
      <c r="BF48" s="382" t="s">
        <v>105</v>
      </c>
      <c r="BG48" s="385" t="s">
        <v>105</v>
      </c>
      <c r="BH48" s="379" t="s">
        <v>105</v>
      </c>
      <c r="BI48" s="379" t="s">
        <v>105</v>
      </c>
      <c r="BJ48" s="379" t="s">
        <v>105</v>
      </c>
      <c r="BK48" s="382" t="s">
        <v>105</v>
      </c>
      <c r="BL48" s="385" t="s">
        <v>105</v>
      </c>
      <c r="BM48" s="382" t="s">
        <v>105</v>
      </c>
      <c r="BN48" s="22"/>
      <c r="BO48" s="22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19</v>
      </c>
      <c r="B49" s="6" t="s">
        <v>31</v>
      </c>
      <c r="C49" s="334" t="s">
        <v>124</v>
      </c>
      <c r="D49" s="374" t="s">
        <v>105</v>
      </c>
      <c r="E49" s="377" t="s">
        <v>105</v>
      </c>
      <c r="F49" s="377" t="s">
        <v>105</v>
      </c>
      <c r="G49" s="377" t="s">
        <v>105</v>
      </c>
      <c r="H49" s="380" t="s">
        <v>105</v>
      </c>
      <c r="I49" s="383" t="s">
        <v>105</v>
      </c>
      <c r="J49" s="377" t="s">
        <v>105</v>
      </c>
      <c r="K49" s="377" t="s">
        <v>105</v>
      </c>
      <c r="L49" s="377" t="s">
        <v>105</v>
      </c>
      <c r="M49" s="380" t="s">
        <v>105</v>
      </c>
      <c r="N49" s="383" t="s">
        <v>105</v>
      </c>
      <c r="O49" s="377" t="s">
        <v>105</v>
      </c>
      <c r="P49" s="377" t="s">
        <v>105</v>
      </c>
      <c r="Q49" s="377" t="s">
        <v>105</v>
      </c>
      <c r="R49" s="380" t="s">
        <v>105</v>
      </c>
      <c r="S49" s="383" t="s">
        <v>105</v>
      </c>
      <c r="T49" s="377" t="s">
        <v>105</v>
      </c>
      <c r="U49" s="377" t="s">
        <v>105</v>
      </c>
      <c r="V49" s="377" t="s">
        <v>105</v>
      </c>
      <c r="W49" s="380" t="s">
        <v>105</v>
      </c>
      <c r="X49" s="383" t="s">
        <v>105</v>
      </c>
      <c r="Y49" s="377" t="s">
        <v>105</v>
      </c>
      <c r="Z49" s="377" t="s">
        <v>105</v>
      </c>
      <c r="AA49" s="377" t="s">
        <v>105</v>
      </c>
      <c r="AB49" s="380" t="s">
        <v>105</v>
      </c>
      <c r="AC49" s="383" t="s">
        <v>105</v>
      </c>
      <c r="AD49" s="377" t="s">
        <v>105</v>
      </c>
      <c r="AE49" s="377" t="s">
        <v>105</v>
      </c>
      <c r="AF49" s="377" t="s">
        <v>125</v>
      </c>
      <c r="AG49" s="380" t="s">
        <v>125</v>
      </c>
      <c r="AH49" s="383" t="s">
        <v>125</v>
      </c>
      <c r="AI49" s="377" t="s">
        <v>105</v>
      </c>
      <c r="AJ49" s="377" t="s">
        <v>125</v>
      </c>
      <c r="AK49" s="377" t="s">
        <v>125</v>
      </c>
      <c r="AL49" s="380" t="s">
        <v>105</v>
      </c>
      <c r="AM49" s="383" t="s">
        <v>105</v>
      </c>
      <c r="AN49" s="377" t="s">
        <v>105</v>
      </c>
      <c r="AO49" s="377" t="s">
        <v>105</v>
      </c>
      <c r="AP49" s="377" t="s">
        <v>105</v>
      </c>
      <c r="AQ49" s="380" t="s">
        <v>105</v>
      </c>
      <c r="AR49" s="383" t="s">
        <v>105</v>
      </c>
      <c r="AS49" s="377" t="s">
        <v>105</v>
      </c>
      <c r="AT49" s="377" t="s">
        <v>105</v>
      </c>
      <c r="AU49" s="377" t="s">
        <v>105</v>
      </c>
      <c r="AV49" s="380" t="s">
        <v>105</v>
      </c>
      <c r="AW49" s="383" t="s">
        <v>105</v>
      </c>
      <c r="AX49" s="377" t="s">
        <v>105</v>
      </c>
      <c r="AY49" s="377" t="s">
        <v>105</v>
      </c>
      <c r="AZ49" s="377" t="s">
        <v>105</v>
      </c>
      <c r="BA49" s="380" t="s">
        <v>105</v>
      </c>
      <c r="BB49" s="383" t="s">
        <v>105</v>
      </c>
      <c r="BC49" s="377" t="s">
        <v>105</v>
      </c>
      <c r="BD49" s="377" t="s">
        <v>105</v>
      </c>
      <c r="BE49" s="377" t="s">
        <v>105</v>
      </c>
      <c r="BF49" s="380" t="s">
        <v>105</v>
      </c>
      <c r="BG49" s="383" t="s">
        <v>105</v>
      </c>
      <c r="BH49" s="377" t="s">
        <v>105</v>
      </c>
      <c r="BI49" s="377" t="s">
        <v>105</v>
      </c>
      <c r="BJ49" s="377" t="s">
        <v>105</v>
      </c>
      <c r="BK49" s="380" t="s">
        <v>105</v>
      </c>
      <c r="BL49" s="383" t="s">
        <v>105</v>
      </c>
      <c r="BM49" s="380" t="s">
        <v>105</v>
      </c>
      <c r="BN49" s="22"/>
      <c r="BO49" s="22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65" t="s">
        <v>11</v>
      </c>
      <c r="B50" s="7" t="s">
        <v>18</v>
      </c>
      <c r="C50" s="335"/>
      <c r="D50" s="375" t="s">
        <v>105</v>
      </c>
      <c r="E50" s="378" t="s">
        <v>105</v>
      </c>
      <c r="F50" s="378" t="s">
        <v>105</v>
      </c>
      <c r="G50" s="378" t="s">
        <v>105</v>
      </c>
      <c r="H50" s="381" t="s">
        <v>105</v>
      </c>
      <c r="I50" s="384" t="s">
        <v>105</v>
      </c>
      <c r="J50" s="378" t="s">
        <v>105</v>
      </c>
      <c r="K50" s="378" t="s">
        <v>105</v>
      </c>
      <c r="L50" s="378" t="s">
        <v>105</v>
      </c>
      <c r="M50" s="381" t="s">
        <v>105</v>
      </c>
      <c r="N50" s="384" t="s">
        <v>105</v>
      </c>
      <c r="O50" s="378" t="s">
        <v>105</v>
      </c>
      <c r="P50" s="378" t="s">
        <v>105</v>
      </c>
      <c r="Q50" s="378" t="s">
        <v>105</v>
      </c>
      <c r="R50" s="381" t="s">
        <v>105</v>
      </c>
      <c r="S50" s="384" t="s">
        <v>105</v>
      </c>
      <c r="T50" s="378" t="s">
        <v>105</v>
      </c>
      <c r="U50" s="378" t="s">
        <v>105</v>
      </c>
      <c r="V50" s="378" t="s">
        <v>105</v>
      </c>
      <c r="W50" s="381" t="s">
        <v>105</v>
      </c>
      <c r="X50" s="384" t="s">
        <v>105</v>
      </c>
      <c r="Y50" s="378" t="s">
        <v>105</v>
      </c>
      <c r="Z50" s="378" t="s">
        <v>105</v>
      </c>
      <c r="AA50" s="378" t="s">
        <v>105</v>
      </c>
      <c r="AB50" s="381" t="s">
        <v>105</v>
      </c>
      <c r="AC50" s="384" t="s">
        <v>105</v>
      </c>
      <c r="AD50" s="378" t="s">
        <v>105</v>
      </c>
      <c r="AE50" s="378" t="s">
        <v>105</v>
      </c>
      <c r="AF50" s="378" t="s">
        <v>125</v>
      </c>
      <c r="AG50" s="381" t="s">
        <v>125</v>
      </c>
      <c r="AH50" s="384" t="s">
        <v>125</v>
      </c>
      <c r="AI50" s="378" t="s">
        <v>105</v>
      </c>
      <c r="AJ50" s="378" t="s">
        <v>125</v>
      </c>
      <c r="AK50" s="378" t="s">
        <v>125</v>
      </c>
      <c r="AL50" s="381" t="s">
        <v>105</v>
      </c>
      <c r="AM50" s="384" t="s">
        <v>105</v>
      </c>
      <c r="AN50" s="378" t="s">
        <v>105</v>
      </c>
      <c r="AO50" s="378" t="s">
        <v>105</v>
      </c>
      <c r="AP50" s="378" t="s">
        <v>105</v>
      </c>
      <c r="AQ50" s="381" t="s">
        <v>105</v>
      </c>
      <c r="AR50" s="384" t="s">
        <v>105</v>
      </c>
      <c r="AS50" s="378" t="s">
        <v>105</v>
      </c>
      <c r="AT50" s="378" t="s">
        <v>105</v>
      </c>
      <c r="AU50" s="378" t="s">
        <v>105</v>
      </c>
      <c r="AV50" s="381" t="s">
        <v>105</v>
      </c>
      <c r="AW50" s="384" t="s">
        <v>105</v>
      </c>
      <c r="AX50" s="378" t="s">
        <v>105</v>
      </c>
      <c r="AY50" s="378" t="s">
        <v>105</v>
      </c>
      <c r="AZ50" s="378" t="s">
        <v>105</v>
      </c>
      <c r="BA50" s="381" t="s">
        <v>105</v>
      </c>
      <c r="BB50" s="384" t="s">
        <v>105</v>
      </c>
      <c r="BC50" s="378" t="s">
        <v>105</v>
      </c>
      <c r="BD50" s="378" t="s">
        <v>105</v>
      </c>
      <c r="BE50" s="378" t="s">
        <v>105</v>
      </c>
      <c r="BF50" s="381" t="s">
        <v>105</v>
      </c>
      <c r="BG50" s="384" t="s">
        <v>105</v>
      </c>
      <c r="BH50" s="378" t="s">
        <v>105</v>
      </c>
      <c r="BI50" s="378" t="s">
        <v>105</v>
      </c>
      <c r="BJ50" s="378" t="s">
        <v>105</v>
      </c>
      <c r="BK50" s="381" t="s">
        <v>105</v>
      </c>
      <c r="BL50" s="384" t="s">
        <v>105</v>
      </c>
      <c r="BM50" s="381" t="s">
        <v>105</v>
      </c>
      <c r="BN50" s="22"/>
      <c r="BO50" s="22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65"/>
      <c r="B51" s="8" t="s">
        <v>30</v>
      </c>
      <c r="C51" s="335"/>
      <c r="D51" s="376" t="s">
        <v>105</v>
      </c>
      <c r="E51" s="379" t="s">
        <v>105</v>
      </c>
      <c r="F51" s="379" t="s">
        <v>105</v>
      </c>
      <c r="G51" s="379" t="s">
        <v>105</v>
      </c>
      <c r="H51" s="382" t="s">
        <v>105</v>
      </c>
      <c r="I51" s="385" t="s">
        <v>105</v>
      </c>
      <c r="J51" s="379" t="s">
        <v>105</v>
      </c>
      <c r="K51" s="379" t="s">
        <v>105</v>
      </c>
      <c r="L51" s="379" t="s">
        <v>105</v>
      </c>
      <c r="M51" s="382" t="s">
        <v>105</v>
      </c>
      <c r="N51" s="385" t="s">
        <v>105</v>
      </c>
      <c r="O51" s="379" t="s">
        <v>105</v>
      </c>
      <c r="P51" s="379" t="s">
        <v>105</v>
      </c>
      <c r="Q51" s="379" t="s">
        <v>105</v>
      </c>
      <c r="R51" s="382" t="s">
        <v>105</v>
      </c>
      <c r="S51" s="385" t="s">
        <v>105</v>
      </c>
      <c r="T51" s="379" t="s">
        <v>105</v>
      </c>
      <c r="U51" s="379" t="s">
        <v>105</v>
      </c>
      <c r="V51" s="379" t="s">
        <v>105</v>
      </c>
      <c r="W51" s="382" t="s">
        <v>105</v>
      </c>
      <c r="X51" s="385" t="s">
        <v>105</v>
      </c>
      <c r="Y51" s="379" t="s">
        <v>105</v>
      </c>
      <c r="Z51" s="379" t="s">
        <v>105</v>
      </c>
      <c r="AA51" s="379" t="s">
        <v>105</v>
      </c>
      <c r="AB51" s="382" t="s">
        <v>105</v>
      </c>
      <c r="AC51" s="385" t="s">
        <v>105</v>
      </c>
      <c r="AD51" s="379" t="s">
        <v>105</v>
      </c>
      <c r="AE51" s="379" t="s">
        <v>105</v>
      </c>
      <c r="AF51" s="379" t="s">
        <v>125</v>
      </c>
      <c r="AG51" s="382" t="s">
        <v>125</v>
      </c>
      <c r="AH51" s="385" t="s">
        <v>125</v>
      </c>
      <c r="AI51" s="379" t="s">
        <v>105</v>
      </c>
      <c r="AJ51" s="379" t="s">
        <v>125</v>
      </c>
      <c r="AK51" s="379" t="s">
        <v>125</v>
      </c>
      <c r="AL51" s="382" t="s">
        <v>105</v>
      </c>
      <c r="AM51" s="385" t="s">
        <v>105</v>
      </c>
      <c r="AN51" s="379" t="s">
        <v>105</v>
      </c>
      <c r="AO51" s="379" t="s">
        <v>105</v>
      </c>
      <c r="AP51" s="379" t="s">
        <v>105</v>
      </c>
      <c r="AQ51" s="382" t="s">
        <v>105</v>
      </c>
      <c r="AR51" s="385" t="s">
        <v>105</v>
      </c>
      <c r="AS51" s="379" t="s">
        <v>105</v>
      </c>
      <c r="AT51" s="379" t="s">
        <v>105</v>
      </c>
      <c r="AU51" s="379" t="s">
        <v>105</v>
      </c>
      <c r="AV51" s="382" t="s">
        <v>105</v>
      </c>
      <c r="AW51" s="385" t="s">
        <v>105</v>
      </c>
      <c r="AX51" s="379" t="s">
        <v>105</v>
      </c>
      <c r="AY51" s="379" t="s">
        <v>105</v>
      </c>
      <c r="AZ51" s="379" t="s">
        <v>105</v>
      </c>
      <c r="BA51" s="382" t="s">
        <v>105</v>
      </c>
      <c r="BB51" s="385" t="s">
        <v>105</v>
      </c>
      <c r="BC51" s="379" t="s">
        <v>105</v>
      </c>
      <c r="BD51" s="379" t="s">
        <v>105</v>
      </c>
      <c r="BE51" s="379" t="s">
        <v>105</v>
      </c>
      <c r="BF51" s="382" t="s">
        <v>105</v>
      </c>
      <c r="BG51" s="385" t="s">
        <v>105</v>
      </c>
      <c r="BH51" s="379" t="s">
        <v>105</v>
      </c>
      <c r="BI51" s="379" t="s">
        <v>105</v>
      </c>
      <c r="BJ51" s="379" t="s">
        <v>105</v>
      </c>
      <c r="BK51" s="382" t="s">
        <v>105</v>
      </c>
      <c r="BL51" s="385" t="s">
        <v>105</v>
      </c>
      <c r="BM51" s="382" t="s">
        <v>105</v>
      </c>
      <c r="BN51" s="22"/>
      <c r="BO51" s="22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19</v>
      </c>
      <c r="B52" s="6" t="s">
        <v>32</v>
      </c>
      <c r="C52" s="334" t="s">
        <v>124</v>
      </c>
      <c r="D52" s="374" t="s">
        <v>105</v>
      </c>
      <c r="E52" s="377" t="s">
        <v>105</v>
      </c>
      <c r="F52" s="377" t="s">
        <v>105</v>
      </c>
      <c r="G52" s="377" t="s">
        <v>105</v>
      </c>
      <c r="H52" s="380" t="s">
        <v>105</v>
      </c>
      <c r="I52" s="383" t="s">
        <v>105</v>
      </c>
      <c r="J52" s="377" t="s">
        <v>105</v>
      </c>
      <c r="K52" s="377" t="s">
        <v>105</v>
      </c>
      <c r="L52" s="377" t="s">
        <v>105</v>
      </c>
      <c r="M52" s="380" t="s">
        <v>105</v>
      </c>
      <c r="N52" s="383" t="s">
        <v>105</v>
      </c>
      <c r="O52" s="377" t="s">
        <v>105</v>
      </c>
      <c r="P52" s="377" t="s">
        <v>105</v>
      </c>
      <c r="Q52" s="377" t="s">
        <v>105</v>
      </c>
      <c r="R52" s="380" t="s">
        <v>105</v>
      </c>
      <c r="S52" s="383" t="s">
        <v>105</v>
      </c>
      <c r="T52" s="377" t="s">
        <v>105</v>
      </c>
      <c r="U52" s="377" t="s">
        <v>105</v>
      </c>
      <c r="V52" s="377" t="s">
        <v>105</v>
      </c>
      <c r="W52" s="380" t="s">
        <v>105</v>
      </c>
      <c r="X52" s="383" t="s">
        <v>105</v>
      </c>
      <c r="Y52" s="377" t="s">
        <v>105</v>
      </c>
      <c r="Z52" s="377" t="s">
        <v>105</v>
      </c>
      <c r="AA52" s="377" t="s">
        <v>105</v>
      </c>
      <c r="AB52" s="380" t="s">
        <v>105</v>
      </c>
      <c r="AC52" s="383" t="s">
        <v>105</v>
      </c>
      <c r="AD52" s="377" t="s">
        <v>105</v>
      </c>
      <c r="AE52" s="377" t="s">
        <v>105</v>
      </c>
      <c r="AF52" s="377" t="s">
        <v>125</v>
      </c>
      <c r="AG52" s="380" t="s">
        <v>125</v>
      </c>
      <c r="AH52" s="383" t="s">
        <v>125</v>
      </c>
      <c r="AI52" s="377" t="s">
        <v>125</v>
      </c>
      <c r="AJ52" s="377" t="s">
        <v>125</v>
      </c>
      <c r="AK52" s="377" t="s">
        <v>240</v>
      </c>
      <c r="AL52" s="380" t="s">
        <v>105</v>
      </c>
      <c r="AM52" s="383" t="s">
        <v>105</v>
      </c>
      <c r="AN52" s="377" t="s">
        <v>105</v>
      </c>
      <c r="AO52" s="377" t="s">
        <v>105</v>
      </c>
      <c r="AP52" s="377" t="s">
        <v>105</v>
      </c>
      <c r="AQ52" s="380" t="s">
        <v>105</v>
      </c>
      <c r="AR52" s="383" t="s">
        <v>105</v>
      </c>
      <c r="AS52" s="377" t="s">
        <v>105</v>
      </c>
      <c r="AT52" s="377" t="s">
        <v>105</v>
      </c>
      <c r="AU52" s="377" t="s">
        <v>105</v>
      </c>
      <c r="AV52" s="380" t="s">
        <v>105</v>
      </c>
      <c r="AW52" s="383" t="s">
        <v>105</v>
      </c>
      <c r="AX52" s="377" t="s">
        <v>105</v>
      </c>
      <c r="AY52" s="377" t="s">
        <v>105</v>
      </c>
      <c r="AZ52" s="377" t="s">
        <v>105</v>
      </c>
      <c r="BA52" s="380" t="s">
        <v>105</v>
      </c>
      <c r="BB52" s="383" t="s">
        <v>105</v>
      </c>
      <c r="BC52" s="377" t="s">
        <v>105</v>
      </c>
      <c r="BD52" s="377" t="s">
        <v>105</v>
      </c>
      <c r="BE52" s="377" t="s">
        <v>105</v>
      </c>
      <c r="BF52" s="380" t="s">
        <v>105</v>
      </c>
      <c r="BG52" s="383" t="s">
        <v>105</v>
      </c>
      <c r="BH52" s="377" t="s">
        <v>105</v>
      </c>
      <c r="BI52" s="377" t="s">
        <v>105</v>
      </c>
      <c r="BJ52" s="377" t="s">
        <v>105</v>
      </c>
      <c r="BK52" s="380" t="s">
        <v>105</v>
      </c>
      <c r="BL52" s="383" t="s">
        <v>105</v>
      </c>
      <c r="BM52" s="380" t="s">
        <v>105</v>
      </c>
      <c r="BN52" s="22"/>
      <c r="BO52" s="22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65" t="s">
        <v>11</v>
      </c>
      <c r="B53" s="7" t="s">
        <v>12</v>
      </c>
      <c r="C53" s="335"/>
      <c r="D53" s="375" t="s">
        <v>105</v>
      </c>
      <c r="E53" s="378" t="s">
        <v>105</v>
      </c>
      <c r="F53" s="378" t="s">
        <v>105</v>
      </c>
      <c r="G53" s="378" t="s">
        <v>105</v>
      </c>
      <c r="H53" s="381" t="s">
        <v>105</v>
      </c>
      <c r="I53" s="384" t="s">
        <v>105</v>
      </c>
      <c r="J53" s="378" t="s">
        <v>105</v>
      </c>
      <c r="K53" s="378" t="s">
        <v>105</v>
      </c>
      <c r="L53" s="378" t="s">
        <v>105</v>
      </c>
      <c r="M53" s="381" t="s">
        <v>105</v>
      </c>
      <c r="N53" s="384" t="s">
        <v>105</v>
      </c>
      <c r="O53" s="378" t="s">
        <v>105</v>
      </c>
      <c r="P53" s="378" t="s">
        <v>105</v>
      </c>
      <c r="Q53" s="378" t="s">
        <v>105</v>
      </c>
      <c r="R53" s="381" t="s">
        <v>105</v>
      </c>
      <c r="S53" s="384" t="s">
        <v>105</v>
      </c>
      <c r="T53" s="378" t="s">
        <v>105</v>
      </c>
      <c r="U53" s="378" t="s">
        <v>105</v>
      </c>
      <c r="V53" s="378" t="s">
        <v>105</v>
      </c>
      <c r="W53" s="381" t="s">
        <v>105</v>
      </c>
      <c r="X53" s="384" t="s">
        <v>105</v>
      </c>
      <c r="Y53" s="378" t="s">
        <v>105</v>
      </c>
      <c r="Z53" s="378" t="s">
        <v>105</v>
      </c>
      <c r="AA53" s="378" t="s">
        <v>105</v>
      </c>
      <c r="AB53" s="381" t="s">
        <v>105</v>
      </c>
      <c r="AC53" s="384" t="s">
        <v>105</v>
      </c>
      <c r="AD53" s="378" t="s">
        <v>105</v>
      </c>
      <c r="AE53" s="378" t="s">
        <v>105</v>
      </c>
      <c r="AF53" s="378" t="s">
        <v>125</v>
      </c>
      <c r="AG53" s="381" t="s">
        <v>125</v>
      </c>
      <c r="AH53" s="384" t="s">
        <v>125</v>
      </c>
      <c r="AI53" s="378" t="s">
        <v>125</v>
      </c>
      <c r="AJ53" s="378" t="s">
        <v>125</v>
      </c>
      <c r="AK53" s="378" t="s">
        <v>240</v>
      </c>
      <c r="AL53" s="381" t="s">
        <v>105</v>
      </c>
      <c r="AM53" s="384" t="s">
        <v>105</v>
      </c>
      <c r="AN53" s="378" t="s">
        <v>105</v>
      </c>
      <c r="AO53" s="378" t="s">
        <v>105</v>
      </c>
      <c r="AP53" s="378" t="s">
        <v>105</v>
      </c>
      <c r="AQ53" s="381" t="s">
        <v>105</v>
      </c>
      <c r="AR53" s="384" t="s">
        <v>105</v>
      </c>
      <c r="AS53" s="378" t="s">
        <v>105</v>
      </c>
      <c r="AT53" s="378" t="s">
        <v>105</v>
      </c>
      <c r="AU53" s="378" t="s">
        <v>105</v>
      </c>
      <c r="AV53" s="381" t="s">
        <v>105</v>
      </c>
      <c r="AW53" s="384" t="s">
        <v>105</v>
      </c>
      <c r="AX53" s="378" t="s">
        <v>105</v>
      </c>
      <c r="AY53" s="378" t="s">
        <v>105</v>
      </c>
      <c r="AZ53" s="378" t="s">
        <v>105</v>
      </c>
      <c r="BA53" s="381" t="s">
        <v>105</v>
      </c>
      <c r="BB53" s="384" t="s">
        <v>105</v>
      </c>
      <c r="BC53" s="378" t="s">
        <v>105</v>
      </c>
      <c r="BD53" s="378" t="s">
        <v>105</v>
      </c>
      <c r="BE53" s="378" t="s">
        <v>105</v>
      </c>
      <c r="BF53" s="381" t="s">
        <v>105</v>
      </c>
      <c r="BG53" s="384" t="s">
        <v>105</v>
      </c>
      <c r="BH53" s="378" t="s">
        <v>105</v>
      </c>
      <c r="BI53" s="378" t="s">
        <v>105</v>
      </c>
      <c r="BJ53" s="378" t="s">
        <v>105</v>
      </c>
      <c r="BK53" s="381" t="s">
        <v>105</v>
      </c>
      <c r="BL53" s="384" t="s">
        <v>105</v>
      </c>
      <c r="BM53" s="381" t="s">
        <v>105</v>
      </c>
      <c r="BN53" s="22"/>
      <c r="BO53" s="22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65"/>
      <c r="B54" s="8" t="s">
        <v>30</v>
      </c>
      <c r="C54" s="335"/>
      <c r="D54" s="376" t="s">
        <v>105</v>
      </c>
      <c r="E54" s="379" t="s">
        <v>105</v>
      </c>
      <c r="F54" s="379" t="s">
        <v>105</v>
      </c>
      <c r="G54" s="379" t="s">
        <v>105</v>
      </c>
      <c r="H54" s="382" t="s">
        <v>105</v>
      </c>
      <c r="I54" s="385" t="s">
        <v>105</v>
      </c>
      <c r="J54" s="379" t="s">
        <v>105</v>
      </c>
      <c r="K54" s="379" t="s">
        <v>105</v>
      </c>
      <c r="L54" s="379" t="s">
        <v>105</v>
      </c>
      <c r="M54" s="382" t="s">
        <v>105</v>
      </c>
      <c r="N54" s="385" t="s">
        <v>105</v>
      </c>
      <c r="O54" s="379" t="s">
        <v>105</v>
      </c>
      <c r="P54" s="379" t="s">
        <v>105</v>
      </c>
      <c r="Q54" s="379" t="s">
        <v>105</v>
      </c>
      <c r="R54" s="382" t="s">
        <v>105</v>
      </c>
      <c r="S54" s="385" t="s">
        <v>105</v>
      </c>
      <c r="T54" s="379" t="s">
        <v>105</v>
      </c>
      <c r="U54" s="379" t="s">
        <v>105</v>
      </c>
      <c r="V54" s="379" t="s">
        <v>105</v>
      </c>
      <c r="W54" s="382" t="s">
        <v>105</v>
      </c>
      <c r="X54" s="385" t="s">
        <v>105</v>
      </c>
      <c r="Y54" s="379" t="s">
        <v>105</v>
      </c>
      <c r="Z54" s="379" t="s">
        <v>105</v>
      </c>
      <c r="AA54" s="379" t="s">
        <v>105</v>
      </c>
      <c r="AB54" s="382" t="s">
        <v>105</v>
      </c>
      <c r="AC54" s="385" t="s">
        <v>105</v>
      </c>
      <c r="AD54" s="379" t="s">
        <v>105</v>
      </c>
      <c r="AE54" s="379" t="s">
        <v>105</v>
      </c>
      <c r="AF54" s="379" t="s">
        <v>125</v>
      </c>
      <c r="AG54" s="382" t="s">
        <v>125</v>
      </c>
      <c r="AH54" s="385" t="s">
        <v>125</v>
      </c>
      <c r="AI54" s="379" t="s">
        <v>125</v>
      </c>
      <c r="AJ54" s="379" t="s">
        <v>125</v>
      </c>
      <c r="AK54" s="379" t="s">
        <v>240</v>
      </c>
      <c r="AL54" s="382" t="s">
        <v>105</v>
      </c>
      <c r="AM54" s="385" t="s">
        <v>105</v>
      </c>
      <c r="AN54" s="379" t="s">
        <v>105</v>
      </c>
      <c r="AO54" s="379" t="s">
        <v>105</v>
      </c>
      <c r="AP54" s="379" t="s">
        <v>105</v>
      </c>
      <c r="AQ54" s="382" t="s">
        <v>105</v>
      </c>
      <c r="AR54" s="385" t="s">
        <v>105</v>
      </c>
      <c r="AS54" s="379" t="s">
        <v>105</v>
      </c>
      <c r="AT54" s="379" t="s">
        <v>105</v>
      </c>
      <c r="AU54" s="379" t="s">
        <v>105</v>
      </c>
      <c r="AV54" s="382" t="s">
        <v>105</v>
      </c>
      <c r="AW54" s="385" t="s">
        <v>105</v>
      </c>
      <c r="AX54" s="379" t="s">
        <v>105</v>
      </c>
      <c r="AY54" s="379" t="s">
        <v>105</v>
      </c>
      <c r="AZ54" s="379" t="s">
        <v>105</v>
      </c>
      <c r="BA54" s="382" t="s">
        <v>105</v>
      </c>
      <c r="BB54" s="385" t="s">
        <v>105</v>
      </c>
      <c r="BC54" s="379" t="s">
        <v>105</v>
      </c>
      <c r="BD54" s="379" t="s">
        <v>105</v>
      </c>
      <c r="BE54" s="379" t="s">
        <v>105</v>
      </c>
      <c r="BF54" s="382" t="s">
        <v>105</v>
      </c>
      <c r="BG54" s="385" t="s">
        <v>105</v>
      </c>
      <c r="BH54" s="379" t="s">
        <v>105</v>
      </c>
      <c r="BI54" s="379" t="s">
        <v>105</v>
      </c>
      <c r="BJ54" s="379" t="s">
        <v>105</v>
      </c>
      <c r="BK54" s="382" t="s">
        <v>105</v>
      </c>
      <c r="BL54" s="385" t="s">
        <v>105</v>
      </c>
      <c r="BM54" s="382" t="s">
        <v>105</v>
      </c>
      <c r="BN54" s="22"/>
      <c r="BO54" s="22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19</v>
      </c>
      <c r="B55" s="6"/>
      <c r="C55" s="334" t="s">
        <v>124</v>
      </c>
      <c r="D55" s="374" t="s">
        <v>125</v>
      </c>
      <c r="E55" s="377" t="s">
        <v>241</v>
      </c>
      <c r="F55" s="377" t="s">
        <v>125</v>
      </c>
      <c r="G55" s="377" t="s">
        <v>125</v>
      </c>
      <c r="H55" s="380" t="s">
        <v>125</v>
      </c>
      <c r="I55" s="383" t="s">
        <v>125</v>
      </c>
      <c r="J55" s="377" t="s">
        <v>125</v>
      </c>
      <c r="K55" s="377" t="s">
        <v>105</v>
      </c>
      <c r="L55" s="377" t="s">
        <v>125</v>
      </c>
      <c r="M55" s="380" t="s">
        <v>125</v>
      </c>
      <c r="N55" s="383" t="s">
        <v>125</v>
      </c>
      <c r="O55" s="377" t="s">
        <v>105</v>
      </c>
      <c r="P55" s="377" t="s">
        <v>216</v>
      </c>
      <c r="Q55" s="377" t="s">
        <v>125</v>
      </c>
      <c r="R55" s="380" t="s">
        <v>125</v>
      </c>
      <c r="S55" s="383" t="s">
        <v>216</v>
      </c>
      <c r="T55" s="377" t="s">
        <v>125</v>
      </c>
      <c r="U55" s="377" t="s">
        <v>125</v>
      </c>
      <c r="V55" s="377" t="s">
        <v>125</v>
      </c>
      <c r="W55" s="380" t="s">
        <v>125</v>
      </c>
      <c r="X55" s="383" t="s">
        <v>125</v>
      </c>
      <c r="Y55" s="377" t="s">
        <v>125</v>
      </c>
      <c r="Z55" s="377" t="s">
        <v>125</v>
      </c>
      <c r="AA55" s="377" t="s">
        <v>125</v>
      </c>
      <c r="AB55" s="380" t="s">
        <v>105</v>
      </c>
      <c r="AC55" s="383" t="s">
        <v>125</v>
      </c>
      <c r="AD55" s="377" t="s">
        <v>242</v>
      </c>
      <c r="AE55" s="377" t="s">
        <v>243</v>
      </c>
      <c r="AF55" s="377" t="s">
        <v>180</v>
      </c>
      <c r="AG55" s="380" t="s">
        <v>125</v>
      </c>
      <c r="AH55" s="383" t="s">
        <v>125</v>
      </c>
      <c r="AI55" s="377" t="s">
        <v>125</v>
      </c>
      <c r="AJ55" s="377" t="s">
        <v>125</v>
      </c>
      <c r="AK55" s="377" t="s">
        <v>244</v>
      </c>
      <c r="AL55" s="380" t="s">
        <v>125</v>
      </c>
      <c r="AM55" s="383" t="s">
        <v>245</v>
      </c>
      <c r="AN55" s="377" t="s">
        <v>125</v>
      </c>
      <c r="AO55" s="377" t="s">
        <v>125</v>
      </c>
      <c r="AP55" s="377" t="s">
        <v>246</v>
      </c>
      <c r="AQ55" s="380" t="s">
        <v>125</v>
      </c>
      <c r="AR55" s="383" t="s">
        <v>125</v>
      </c>
      <c r="AS55" s="377" t="s">
        <v>125</v>
      </c>
      <c r="AT55" s="377" t="s">
        <v>125</v>
      </c>
      <c r="AU55" s="377" t="s">
        <v>125</v>
      </c>
      <c r="AV55" s="380" t="s">
        <v>234</v>
      </c>
      <c r="AW55" s="383" t="s">
        <v>125</v>
      </c>
      <c r="AX55" s="377" t="s">
        <v>125</v>
      </c>
      <c r="AY55" s="377" t="s">
        <v>125</v>
      </c>
      <c r="AZ55" s="377" t="s">
        <v>125</v>
      </c>
      <c r="BA55" s="380" t="s">
        <v>125</v>
      </c>
      <c r="BB55" s="383" t="s">
        <v>125</v>
      </c>
      <c r="BC55" s="377" t="s">
        <v>125</v>
      </c>
      <c r="BD55" s="377" t="s">
        <v>125</v>
      </c>
      <c r="BE55" s="377" t="s">
        <v>185</v>
      </c>
      <c r="BF55" s="380" t="s">
        <v>125</v>
      </c>
      <c r="BG55" s="383" t="s">
        <v>125</v>
      </c>
      <c r="BH55" s="377" t="s">
        <v>125</v>
      </c>
      <c r="BI55" s="377" t="s">
        <v>125</v>
      </c>
      <c r="BJ55" s="377" t="s">
        <v>125</v>
      </c>
      <c r="BK55" s="380" t="s">
        <v>125</v>
      </c>
      <c r="BL55" s="383" t="s">
        <v>125</v>
      </c>
      <c r="BM55" s="380" t="s">
        <v>216</v>
      </c>
      <c r="BN55" s="22"/>
      <c r="BO55" s="22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65" t="s">
        <v>11</v>
      </c>
      <c r="B56" s="7" t="s">
        <v>33</v>
      </c>
      <c r="C56" s="335"/>
      <c r="D56" s="375" t="s">
        <v>125</v>
      </c>
      <c r="E56" s="378" t="s">
        <v>241</v>
      </c>
      <c r="F56" s="378" t="s">
        <v>125</v>
      </c>
      <c r="G56" s="378" t="s">
        <v>125</v>
      </c>
      <c r="H56" s="381" t="s">
        <v>125</v>
      </c>
      <c r="I56" s="384" t="s">
        <v>125</v>
      </c>
      <c r="J56" s="378" t="s">
        <v>125</v>
      </c>
      <c r="K56" s="378" t="s">
        <v>105</v>
      </c>
      <c r="L56" s="378" t="s">
        <v>125</v>
      </c>
      <c r="M56" s="381" t="s">
        <v>125</v>
      </c>
      <c r="N56" s="384" t="s">
        <v>125</v>
      </c>
      <c r="O56" s="378" t="s">
        <v>105</v>
      </c>
      <c r="P56" s="378" t="s">
        <v>216</v>
      </c>
      <c r="Q56" s="378" t="s">
        <v>125</v>
      </c>
      <c r="R56" s="381" t="s">
        <v>125</v>
      </c>
      <c r="S56" s="384" t="s">
        <v>216</v>
      </c>
      <c r="T56" s="378" t="s">
        <v>125</v>
      </c>
      <c r="U56" s="378" t="s">
        <v>125</v>
      </c>
      <c r="V56" s="378" t="s">
        <v>125</v>
      </c>
      <c r="W56" s="381" t="s">
        <v>125</v>
      </c>
      <c r="X56" s="384" t="s">
        <v>125</v>
      </c>
      <c r="Y56" s="378" t="s">
        <v>125</v>
      </c>
      <c r="Z56" s="378" t="s">
        <v>125</v>
      </c>
      <c r="AA56" s="378" t="s">
        <v>125</v>
      </c>
      <c r="AB56" s="381" t="s">
        <v>105</v>
      </c>
      <c r="AC56" s="384" t="s">
        <v>125</v>
      </c>
      <c r="AD56" s="378" t="s">
        <v>242</v>
      </c>
      <c r="AE56" s="378" t="s">
        <v>243</v>
      </c>
      <c r="AF56" s="378" t="s">
        <v>180</v>
      </c>
      <c r="AG56" s="381" t="s">
        <v>125</v>
      </c>
      <c r="AH56" s="384" t="s">
        <v>125</v>
      </c>
      <c r="AI56" s="378" t="s">
        <v>125</v>
      </c>
      <c r="AJ56" s="378" t="s">
        <v>125</v>
      </c>
      <c r="AK56" s="378" t="s">
        <v>244</v>
      </c>
      <c r="AL56" s="381" t="s">
        <v>125</v>
      </c>
      <c r="AM56" s="384" t="s">
        <v>245</v>
      </c>
      <c r="AN56" s="378" t="s">
        <v>125</v>
      </c>
      <c r="AO56" s="378" t="s">
        <v>125</v>
      </c>
      <c r="AP56" s="378" t="s">
        <v>246</v>
      </c>
      <c r="AQ56" s="381" t="s">
        <v>125</v>
      </c>
      <c r="AR56" s="384" t="s">
        <v>125</v>
      </c>
      <c r="AS56" s="378" t="s">
        <v>125</v>
      </c>
      <c r="AT56" s="378" t="s">
        <v>125</v>
      </c>
      <c r="AU56" s="378" t="s">
        <v>125</v>
      </c>
      <c r="AV56" s="381" t="s">
        <v>234</v>
      </c>
      <c r="AW56" s="384" t="s">
        <v>125</v>
      </c>
      <c r="AX56" s="378" t="s">
        <v>125</v>
      </c>
      <c r="AY56" s="378" t="s">
        <v>125</v>
      </c>
      <c r="AZ56" s="378" t="s">
        <v>125</v>
      </c>
      <c r="BA56" s="381" t="s">
        <v>125</v>
      </c>
      <c r="BB56" s="384" t="s">
        <v>125</v>
      </c>
      <c r="BC56" s="378" t="s">
        <v>125</v>
      </c>
      <c r="BD56" s="378" t="s">
        <v>125</v>
      </c>
      <c r="BE56" s="378" t="s">
        <v>185</v>
      </c>
      <c r="BF56" s="381" t="s">
        <v>125</v>
      </c>
      <c r="BG56" s="384" t="s">
        <v>125</v>
      </c>
      <c r="BH56" s="378" t="s">
        <v>125</v>
      </c>
      <c r="BI56" s="378" t="s">
        <v>125</v>
      </c>
      <c r="BJ56" s="378" t="s">
        <v>125</v>
      </c>
      <c r="BK56" s="381" t="s">
        <v>125</v>
      </c>
      <c r="BL56" s="384" t="s">
        <v>125</v>
      </c>
      <c r="BM56" s="381" t="s">
        <v>216</v>
      </c>
      <c r="BN56" s="22"/>
      <c r="BO56" s="22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65"/>
      <c r="B57" s="8"/>
      <c r="C57" s="335"/>
      <c r="D57" s="376" t="s">
        <v>125</v>
      </c>
      <c r="E57" s="379" t="s">
        <v>241</v>
      </c>
      <c r="F57" s="379" t="s">
        <v>125</v>
      </c>
      <c r="G57" s="379" t="s">
        <v>125</v>
      </c>
      <c r="H57" s="382" t="s">
        <v>125</v>
      </c>
      <c r="I57" s="385" t="s">
        <v>125</v>
      </c>
      <c r="J57" s="379" t="s">
        <v>125</v>
      </c>
      <c r="K57" s="379" t="s">
        <v>105</v>
      </c>
      <c r="L57" s="379" t="s">
        <v>125</v>
      </c>
      <c r="M57" s="382" t="s">
        <v>125</v>
      </c>
      <c r="N57" s="385" t="s">
        <v>125</v>
      </c>
      <c r="O57" s="379" t="s">
        <v>105</v>
      </c>
      <c r="P57" s="379" t="s">
        <v>216</v>
      </c>
      <c r="Q57" s="379" t="s">
        <v>125</v>
      </c>
      <c r="R57" s="382" t="s">
        <v>125</v>
      </c>
      <c r="S57" s="385" t="s">
        <v>216</v>
      </c>
      <c r="T57" s="379" t="s">
        <v>125</v>
      </c>
      <c r="U57" s="379" t="s">
        <v>125</v>
      </c>
      <c r="V57" s="379" t="s">
        <v>125</v>
      </c>
      <c r="W57" s="382" t="s">
        <v>125</v>
      </c>
      <c r="X57" s="385" t="s">
        <v>125</v>
      </c>
      <c r="Y57" s="379" t="s">
        <v>125</v>
      </c>
      <c r="Z57" s="379" t="s">
        <v>125</v>
      </c>
      <c r="AA57" s="379" t="s">
        <v>125</v>
      </c>
      <c r="AB57" s="382" t="s">
        <v>105</v>
      </c>
      <c r="AC57" s="385" t="s">
        <v>125</v>
      </c>
      <c r="AD57" s="379" t="s">
        <v>242</v>
      </c>
      <c r="AE57" s="379" t="s">
        <v>243</v>
      </c>
      <c r="AF57" s="379" t="s">
        <v>180</v>
      </c>
      <c r="AG57" s="382" t="s">
        <v>125</v>
      </c>
      <c r="AH57" s="385" t="s">
        <v>125</v>
      </c>
      <c r="AI57" s="379" t="s">
        <v>125</v>
      </c>
      <c r="AJ57" s="379" t="s">
        <v>125</v>
      </c>
      <c r="AK57" s="379" t="s">
        <v>244</v>
      </c>
      <c r="AL57" s="382" t="s">
        <v>125</v>
      </c>
      <c r="AM57" s="385" t="s">
        <v>245</v>
      </c>
      <c r="AN57" s="379" t="s">
        <v>125</v>
      </c>
      <c r="AO57" s="379" t="s">
        <v>125</v>
      </c>
      <c r="AP57" s="379" t="s">
        <v>246</v>
      </c>
      <c r="AQ57" s="382" t="s">
        <v>125</v>
      </c>
      <c r="AR57" s="385" t="s">
        <v>125</v>
      </c>
      <c r="AS57" s="379" t="s">
        <v>125</v>
      </c>
      <c r="AT57" s="379" t="s">
        <v>125</v>
      </c>
      <c r="AU57" s="379" t="s">
        <v>125</v>
      </c>
      <c r="AV57" s="382" t="s">
        <v>234</v>
      </c>
      <c r="AW57" s="385" t="s">
        <v>125</v>
      </c>
      <c r="AX57" s="379" t="s">
        <v>125</v>
      </c>
      <c r="AY57" s="379" t="s">
        <v>125</v>
      </c>
      <c r="AZ57" s="379" t="s">
        <v>125</v>
      </c>
      <c r="BA57" s="382" t="s">
        <v>125</v>
      </c>
      <c r="BB57" s="385" t="s">
        <v>125</v>
      </c>
      <c r="BC57" s="379" t="s">
        <v>125</v>
      </c>
      <c r="BD57" s="379" t="s">
        <v>125</v>
      </c>
      <c r="BE57" s="379" t="s">
        <v>185</v>
      </c>
      <c r="BF57" s="382" t="s">
        <v>125</v>
      </c>
      <c r="BG57" s="385" t="s">
        <v>125</v>
      </c>
      <c r="BH57" s="379" t="s">
        <v>125</v>
      </c>
      <c r="BI57" s="379" t="s">
        <v>125</v>
      </c>
      <c r="BJ57" s="379" t="s">
        <v>125</v>
      </c>
      <c r="BK57" s="382" t="s">
        <v>125</v>
      </c>
      <c r="BL57" s="385" t="s">
        <v>125</v>
      </c>
      <c r="BM57" s="382" t="s">
        <v>216</v>
      </c>
      <c r="BN57" s="22"/>
      <c r="BO57" s="22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19</v>
      </c>
      <c r="B58" s="6"/>
      <c r="C58" s="334" t="s">
        <v>124</v>
      </c>
      <c r="D58" s="374" t="s">
        <v>188</v>
      </c>
      <c r="E58" s="377" t="s">
        <v>218</v>
      </c>
      <c r="F58" s="377" t="s">
        <v>105</v>
      </c>
      <c r="G58" s="377" t="s">
        <v>125</v>
      </c>
      <c r="H58" s="380" t="s">
        <v>125</v>
      </c>
      <c r="I58" s="383" t="s">
        <v>125</v>
      </c>
      <c r="J58" s="377" t="s">
        <v>125</v>
      </c>
      <c r="K58" s="377" t="s">
        <v>125</v>
      </c>
      <c r="L58" s="377" t="s">
        <v>105</v>
      </c>
      <c r="M58" s="380" t="s">
        <v>125</v>
      </c>
      <c r="N58" s="383" t="s">
        <v>125</v>
      </c>
      <c r="O58" s="377" t="s">
        <v>125</v>
      </c>
      <c r="P58" s="377" t="s">
        <v>125</v>
      </c>
      <c r="Q58" s="377" t="s">
        <v>125</v>
      </c>
      <c r="R58" s="380" t="s">
        <v>125</v>
      </c>
      <c r="S58" s="383" t="s">
        <v>125</v>
      </c>
      <c r="T58" s="377" t="s">
        <v>125</v>
      </c>
      <c r="U58" s="377" t="s">
        <v>125</v>
      </c>
      <c r="V58" s="377" t="s">
        <v>125</v>
      </c>
      <c r="W58" s="380" t="s">
        <v>125</v>
      </c>
      <c r="X58" s="383" t="s">
        <v>247</v>
      </c>
      <c r="Y58" s="377" t="s">
        <v>248</v>
      </c>
      <c r="Z58" s="377" t="s">
        <v>137</v>
      </c>
      <c r="AA58" s="377" t="s">
        <v>217</v>
      </c>
      <c r="AB58" s="380" t="s">
        <v>125</v>
      </c>
      <c r="AC58" s="383" t="s">
        <v>125</v>
      </c>
      <c r="AD58" s="377" t="s">
        <v>125</v>
      </c>
      <c r="AE58" s="377" t="s">
        <v>125</v>
      </c>
      <c r="AF58" s="377" t="s">
        <v>249</v>
      </c>
      <c r="AG58" s="380" t="s">
        <v>250</v>
      </c>
      <c r="AH58" s="383" t="s">
        <v>125</v>
      </c>
      <c r="AI58" s="377" t="s">
        <v>251</v>
      </c>
      <c r="AJ58" s="377" t="s">
        <v>125</v>
      </c>
      <c r="AK58" s="377" t="s">
        <v>125</v>
      </c>
      <c r="AL58" s="380" t="s">
        <v>125</v>
      </c>
      <c r="AM58" s="383" t="s">
        <v>125</v>
      </c>
      <c r="AN58" s="377" t="s">
        <v>125</v>
      </c>
      <c r="AO58" s="377" t="s">
        <v>125</v>
      </c>
      <c r="AP58" s="377" t="s">
        <v>218</v>
      </c>
      <c r="AQ58" s="380" t="s">
        <v>125</v>
      </c>
      <c r="AR58" s="383" t="s">
        <v>125</v>
      </c>
      <c r="AS58" s="377" t="s">
        <v>125</v>
      </c>
      <c r="AT58" s="377" t="s">
        <v>125</v>
      </c>
      <c r="AU58" s="377" t="s">
        <v>252</v>
      </c>
      <c r="AV58" s="380" t="s">
        <v>125</v>
      </c>
      <c r="AW58" s="383" t="s">
        <v>125</v>
      </c>
      <c r="AX58" s="377" t="s">
        <v>125</v>
      </c>
      <c r="AY58" s="377" t="s">
        <v>125</v>
      </c>
      <c r="AZ58" s="377" t="s">
        <v>125</v>
      </c>
      <c r="BA58" s="380" t="s">
        <v>125</v>
      </c>
      <c r="BB58" s="383" t="s">
        <v>125</v>
      </c>
      <c r="BC58" s="377" t="s">
        <v>125</v>
      </c>
      <c r="BD58" s="377" t="s">
        <v>125</v>
      </c>
      <c r="BE58" s="377" t="s">
        <v>105</v>
      </c>
      <c r="BF58" s="380" t="s">
        <v>125</v>
      </c>
      <c r="BG58" s="383" t="s">
        <v>105</v>
      </c>
      <c r="BH58" s="377" t="s">
        <v>125</v>
      </c>
      <c r="BI58" s="377" t="s">
        <v>125</v>
      </c>
      <c r="BJ58" s="377" t="s">
        <v>125</v>
      </c>
      <c r="BK58" s="380" t="s">
        <v>125</v>
      </c>
      <c r="BL58" s="383" t="s">
        <v>125</v>
      </c>
      <c r="BM58" s="380" t="s">
        <v>125</v>
      </c>
      <c r="BN58" s="22"/>
      <c r="BO58" s="22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65" t="s">
        <v>11</v>
      </c>
      <c r="B59" s="7" t="s">
        <v>34</v>
      </c>
      <c r="C59" s="335"/>
      <c r="D59" s="375" t="s">
        <v>188</v>
      </c>
      <c r="E59" s="378" t="s">
        <v>218</v>
      </c>
      <c r="F59" s="378" t="s">
        <v>105</v>
      </c>
      <c r="G59" s="378" t="s">
        <v>125</v>
      </c>
      <c r="H59" s="381" t="s">
        <v>125</v>
      </c>
      <c r="I59" s="384" t="s">
        <v>125</v>
      </c>
      <c r="J59" s="378" t="s">
        <v>125</v>
      </c>
      <c r="K59" s="378" t="s">
        <v>125</v>
      </c>
      <c r="L59" s="378" t="s">
        <v>105</v>
      </c>
      <c r="M59" s="381" t="s">
        <v>125</v>
      </c>
      <c r="N59" s="384" t="s">
        <v>125</v>
      </c>
      <c r="O59" s="378" t="s">
        <v>125</v>
      </c>
      <c r="P59" s="378" t="s">
        <v>125</v>
      </c>
      <c r="Q59" s="378" t="s">
        <v>125</v>
      </c>
      <c r="R59" s="381" t="s">
        <v>125</v>
      </c>
      <c r="S59" s="384" t="s">
        <v>125</v>
      </c>
      <c r="T59" s="378" t="s">
        <v>125</v>
      </c>
      <c r="U59" s="378" t="s">
        <v>125</v>
      </c>
      <c r="V59" s="378" t="s">
        <v>125</v>
      </c>
      <c r="W59" s="381" t="s">
        <v>125</v>
      </c>
      <c r="X59" s="384" t="s">
        <v>247</v>
      </c>
      <c r="Y59" s="378" t="s">
        <v>248</v>
      </c>
      <c r="Z59" s="378" t="s">
        <v>137</v>
      </c>
      <c r="AA59" s="378" t="s">
        <v>217</v>
      </c>
      <c r="AB59" s="381" t="s">
        <v>125</v>
      </c>
      <c r="AC59" s="384" t="s">
        <v>125</v>
      </c>
      <c r="AD59" s="378" t="s">
        <v>125</v>
      </c>
      <c r="AE59" s="378" t="s">
        <v>125</v>
      </c>
      <c r="AF59" s="378" t="s">
        <v>249</v>
      </c>
      <c r="AG59" s="381" t="s">
        <v>250</v>
      </c>
      <c r="AH59" s="384" t="s">
        <v>125</v>
      </c>
      <c r="AI59" s="378" t="s">
        <v>251</v>
      </c>
      <c r="AJ59" s="378" t="s">
        <v>125</v>
      </c>
      <c r="AK59" s="378" t="s">
        <v>125</v>
      </c>
      <c r="AL59" s="381" t="s">
        <v>125</v>
      </c>
      <c r="AM59" s="384" t="s">
        <v>125</v>
      </c>
      <c r="AN59" s="378" t="s">
        <v>125</v>
      </c>
      <c r="AO59" s="378" t="s">
        <v>125</v>
      </c>
      <c r="AP59" s="378" t="s">
        <v>218</v>
      </c>
      <c r="AQ59" s="381" t="s">
        <v>125</v>
      </c>
      <c r="AR59" s="384" t="s">
        <v>125</v>
      </c>
      <c r="AS59" s="378" t="s">
        <v>125</v>
      </c>
      <c r="AT59" s="378" t="s">
        <v>125</v>
      </c>
      <c r="AU59" s="378" t="s">
        <v>252</v>
      </c>
      <c r="AV59" s="381" t="s">
        <v>125</v>
      </c>
      <c r="AW59" s="384" t="s">
        <v>125</v>
      </c>
      <c r="AX59" s="378" t="s">
        <v>125</v>
      </c>
      <c r="AY59" s="378" t="s">
        <v>125</v>
      </c>
      <c r="AZ59" s="378" t="s">
        <v>125</v>
      </c>
      <c r="BA59" s="381" t="s">
        <v>125</v>
      </c>
      <c r="BB59" s="384" t="s">
        <v>125</v>
      </c>
      <c r="BC59" s="378" t="s">
        <v>125</v>
      </c>
      <c r="BD59" s="378" t="s">
        <v>125</v>
      </c>
      <c r="BE59" s="378" t="s">
        <v>105</v>
      </c>
      <c r="BF59" s="381" t="s">
        <v>125</v>
      </c>
      <c r="BG59" s="384" t="s">
        <v>105</v>
      </c>
      <c r="BH59" s="378" t="s">
        <v>125</v>
      </c>
      <c r="BI59" s="378" t="s">
        <v>125</v>
      </c>
      <c r="BJ59" s="378" t="s">
        <v>125</v>
      </c>
      <c r="BK59" s="381" t="s">
        <v>125</v>
      </c>
      <c r="BL59" s="384" t="s">
        <v>125</v>
      </c>
      <c r="BM59" s="381" t="s">
        <v>125</v>
      </c>
      <c r="BN59" s="22"/>
      <c r="BO59" s="22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65"/>
      <c r="B60" s="8"/>
      <c r="C60" s="335"/>
      <c r="D60" s="376" t="s">
        <v>188</v>
      </c>
      <c r="E60" s="379" t="s">
        <v>218</v>
      </c>
      <c r="F60" s="379" t="s">
        <v>105</v>
      </c>
      <c r="G60" s="379" t="s">
        <v>125</v>
      </c>
      <c r="H60" s="382" t="s">
        <v>125</v>
      </c>
      <c r="I60" s="385" t="s">
        <v>125</v>
      </c>
      <c r="J60" s="379" t="s">
        <v>125</v>
      </c>
      <c r="K60" s="379" t="s">
        <v>125</v>
      </c>
      <c r="L60" s="379" t="s">
        <v>105</v>
      </c>
      <c r="M60" s="382" t="s">
        <v>125</v>
      </c>
      <c r="N60" s="385" t="s">
        <v>125</v>
      </c>
      <c r="O60" s="379" t="s">
        <v>125</v>
      </c>
      <c r="P60" s="379" t="s">
        <v>125</v>
      </c>
      <c r="Q60" s="379" t="s">
        <v>125</v>
      </c>
      <c r="R60" s="382" t="s">
        <v>125</v>
      </c>
      <c r="S60" s="385" t="s">
        <v>125</v>
      </c>
      <c r="T60" s="379" t="s">
        <v>125</v>
      </c>
      <c r="U60" s="379" t="s">
        <v>125</v>
      </c>
      <c r="V60" s="379" t="s">
        <v>125</v>
      </c>
      <c r="W60" s="382" t="s">
        <v>125</v>
      </c>
      <c r="X60" s="385" t="s">
        <v>247</v>
      </c>
      <c r="Y60" s="379" t="s">
        <v>248</v>
      </c>
      <c r="Z60" s="379" t="s">
        <v>137</v>
      </c>
      <c r="AA60" s="379" t="s">
        <v>217</v>
      </c>
      <c r="AB60" s="382" t="s">
        <v>125</v>
      </c>
      <c r="AC60" s="385" t="s">
        <v>125</v>
      </c>
      <c r="AD60" s="379" t="s">
        <v>125</v>
      </c>
      <c r="AE60" s="379" t="s">
        <v>125</v>
      </c>
      <c r="AF60" s="379" t="s">
        <v>249</v>
      </c>
      <c r="AG60" s="382" t="s">
        <v>250</v>
      </c>
      <c r="AH60" s="385" t="s">
        <v>125</v>
      </c>
      <c r="AI60" s="379" t="s">
        <v>251</v>
      </c>
      <c r="AJ60" s="379" t="s">
        <v>125</v>
      </c>
      <c r="AK60" s="379" t="s">
        <v>125</v>
      </c>
      <c r="AL60" s="382" t="s">
        <v>125</v>
      </c>
      <c r="AM60" s="385" t="s">
        <v>125</v>
      </c>
      <c r="AN60" s="379" t="s">
        <v>125</v>
      </c>
      <c r="AO60" s="379" t="s">
        <v>125</v>
      </c>
      <c r="AP60" s="379" t="s">
        <v>218</v>
      </c>
      <c r="AQ60" s="382" t="s">
        <v>125</v>
      </c>
      <c r="AR60" s="385" t="s">
        <v>125</v>
      </c>
      <c r="AS60" s="379" t="s">
        <v>125</v>
      </c>
      <c r="AT60" s="379" t="s">
        <v>125</v>
      </c>
      <c r="AU60" s="379" t="s">
        <v>252</v>
      </c>
      <c r="AV60" s="382" t="s">
        <v>125</v>
      </c>
      <c r="AW60" s="385" t="s">
        <v>125</v>
      </c>
      <c r="AX60" s="379" t="s">
        <v>125</v>
      </c>
      <c r="AY60" s="379" t="s">
        <v>125</v>
      </c>
      <c r="AZ60" s="379" t="s">
        <v>125</v>
      </c>
      <c r="BA60" s="382" t="s">
        <v>125</v>
      </c>
      <c r="BB60" s="385" t="s">
        <v>125</v>
      </c>
      <c r="BC60" s="379" t="s">
        <v>125</v>
      </c>
      <c r="BD60" s="379" t="s">
        <v>125</v>
      </c>
      <c r="BE60" s="379" t="s">
        <v>105</v>
      </c>
      <c r="BF60" s="382" t="s">
        <v>125</v>
      </c>
      <c r="BG60" s="385" t="s">
        <v>105</v>
      </c>
      <c r="BH60" s="379" t="s">
        <v>125</v>
      </c>
      <c r="BI60" s="379" t="s">
        <v>125</v>
      </c>
      <c r="BJ60" s="379" t="s">
        <v>125</v>
      </c>
      <c r="BK60" s="382" t="s">
        <v>125</v>
      </c>
      <c r="BL60" s="385" t="s">
        <v>125</v>
      </c>
      <c r="BM60" s="382" t="s">
        <v>125</v>
      </c>
      <c r="BN60" s="22"/>
      <c r="BO60" s="22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19</v>
      </c>
      <c r="B61" s="6"/>
      <c r="C61" s="334" t="s">
        <v>124</v>
      </c>
      <c r="D61" s="374" t="s">
        <v>125</v>
      </c>
      <c r="E61" s="377" t="s">
        <v>198</v>
      </c>
      <c r="F61" s="377" t="s">
        <v>125</v>
      </c>
      <c r="G61" s="377" t="s">
        <v>125</v>
      </c>
      <c r="H61" s="380" t="s">
        <v>125</v>
      </c>
      <c r="I61" s="383" t="s">
        <v>253</v>
      </c>
      <c r="J61" s="377" t="s">
        <v>125</v>
      </c>
      <c r="K61" s="377" t="s">
        <v>125</v>
      </c>
      <c r="L61" s="377" t="s">
        <v>125</v>
      </c>
      <c r="M61" s="380" t="s">
        <v>125</v>
      </c>
      <c r="N61" s="383" t="s">
        <v>125</v>
      </c>
      <c r="O61" s="377" t="s">
        <v>143</v>
      </c>
      <c r="P61" s="377" t="s">
        <v>125</v>
      </c>
      <c r="Q61" s="377" t="s">
        <v>125</v>
      </c>
      <c r="R61" s="380" t="s">
        <v>125</v>
      </c>
      <c r="S61" s="383" t="s">
        <v>125</v>
      </c>
      <c r="T61" s="377" t="s">
        <v>125</v>
      </c>
      <c r="U61" s="377" t="s">
        <v>125</v>
      </c>
      <c r="V61" s="377" t="s">
        <v>125</v>
      </c>
      <c r="W61" s="380" t="s">
        <v>125</v>
      </c>
      <c r="X61" s="383" t="s">
        <v>125</v>
      </c>
      <c r="Y61" s="377" t="s">
        <v>254</v>
      </c>
      <c r="Z61" s="377" t="s">
        <v>125</v>
      </c>
      <c r="AA61" s="377" t="s">
        <v>125</v>
      </c>
      <c r="AB61" s="380" t="s">
        <v>125</v>
      </c>
      <c r="AC61" s="383" t="s">
        <v>125</v>
      </c>
      <c r="AD61" s="377" t="s">
        <v>255</v>
      </c>
      <c r="AE61" s="377" t="s">
        <v>256</v>
      </c>
      <c r="AF61" s="377" t="s">
        <v>125</v>
      </c>
      <c r="AG61" s="380" t="s">
        <v>257</v>
      </c>
      <c r="AH61" s="383" t="s">
        <v>125</v>
      </c>
      <c r="AI61" s="377" t="s">
        <v>258</v>
      </c>
      <c r="AJ61" s="377" t="s">
        <v>125</v>
      </c>
      <c r="AK61" s="377" t="s">
        <v>125</v>
      </c>
      <c r="AL61" s="380" t="s">
        <v>190</v>
      </c>
      <c r="AM61" s="383" t="s">
        <v>125</v>
      </c>
      <c r="AN61" s="377" t="s">
        <v>125</v>
      </c>
      <c r="AO61" s="377" t="s">
        <v>125</v>
      </c>
      <c r="AP61" s="377" t="s">
        <v>125</v>
      </c>
      <c r="AQ61" s="380" t="s">
        <v>125</v>
      </c>
      <c r="AR61" s="383" t="s">
        <v>125</v>
      </c>
      <c r="AS61" s="377" t="s">
        <v>125</v>
      </c>
      <c r="AT61" s="377" t="s">
        <v>125</v>
      </c>
      <c r="AU61" s="377" t="s">
        <v>253</v>
      </c>
      <c r="AV61" s="380" t="s">
        <v>125</v>
      </c>
      <c r="AW61" s="383" t="s">
        <v>105</v>
      </c>
      <c r="AX61" s="377" t="s">
        <v>125</v>
      </c>
      <c r="AY61" s="377" t="s">
        <v>125</v>
      </c>
      <c r="AZ61" s="377" t="s">
        <v>105</v>
      </c>
      <c r="BA61" s="380" t="s">
        <v>125</v>
      </c>
      <c r="BB61" s="383" t="s">
        <v>125</v>
      </c>
      <c r="BC61" s="377" t="s">
        <v>125</v>
      </c>
      <c r="BD61" s="377" t="s">
        <v>125</v>
      </c>
      <c r="BE61" s="377" t="s">
        <v>125</v>
      </c>
      <c r="BF61" s="380" t="s">
        <v>125</v>
      </c>
      <c r="BG61" s="383" t="s">
        <v>125</v>
      </c>
      <c r="BH61" s="377" t="s">
        <v>125</v>
      </c>
      <c r="BI61" s="377" t="s">
        <v>125</v>
      </c>
      <c r="BJ61" s="377" t="s">
        <v>125</v>
      </c>
      <c r="BK61" s="380" t="s">
        <v>125</v>
      </c>
      <c r="BL61" s="383" t="s">
        <v>125</v>
      </c>
      <c r="BM61" s="380" t="s">
        <v>125</v>
      </c>
      <c r="BN61" s="22"/>
      <c r="BO61" s="22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65" t="s">
        <v>11</v>
      </c>
      <c r="B62" s="7" t="s">
        <v>35</v>
      </c>
      <c r="C62" s="335"/>
      <c r="D62" s="375" t="s">
        <v>125</v>
      </c>
      <c r="E62" s="378" t="s">
        <v>198</v>
      </c>
      <c r="F62" s="378" t="s">
        <v>125</v>
      </c>
      <c r="G62" s="378" t="s">
        <v>125</v>
      </c>
      <c r="H62" s="381" t="s">
        <v>125</v>
      </c>
      <c r="I62" s="384" t="s">
        <v>253</v>
      </c>
      <c r="J62" s="378" t="s">
        <v>125</v>
      </c>
      <c r="K62" s="378" t="s">
        <v>125</v>
      </c>
      <c r="L62" s="378" t="s">
        <v>125</v>
      </c>
      <c r="M62" s="381" t="s">
        <v>125</v>
      </c>
      <c r="N62" s="384" t="s">
        <v>125</v>
      </c>
      <c r="O62" s="378" t="s">
        <v>143</v>
      </c>
      <c r="P62" s="378" t="s">
        <v>125</v>
      </c>
      <c r="Q62" s="378" t="s">
        <v>125</v>
      </c>
      <c r="R62" s="381" t="s">
        <v>125</v>
      </c>
      <c r="S62" s="384" t="s">
        <v>125</v>
      </c>
      <c r="T62" s="378" t="s">
        <v>125</v>
      </c>
      <c r="U62" s="378" t="s">
        <v>125</v>
      </c>
      <c r="V62" s="378" t="s">
        <v>125</v>
      </c>
      <c r="W62" s="381" t="s">
        <v>125</v>
      </c>
      <c r="X62" s="384" t="s">
        <v>125</v>
      </c>
      <c r="Y62" s="378" t="s">
        <v>254</v>
      </c>
      <c r="Z62" s="378" t="s">
        <v>125</v>
      </c>
      <c r="AA62" s="378" t="s">
        <v>125</v>
      </c>
      <c r="AB62" s="381" t="s">
        <v>125</v>
      </c>
      <c r="AC62" s="384" t="s">
        <v>125</v>
      </c>
      <c r="AD62" s="378" t="s">
        <v>255</v>
      </c>
      <c r="AE62" s="378" t="s">
        <v>256</v>
      </c>
      <c r="AF62" s="378" t="s">
        <v>125</v>
      </c>
      <c r="AG62" s="381" t="s">
        <v>257</v>
      </c>
      <c r="AH62" s="384" t="s">
        <v>125</v>
      </c>
      <c r="AI62" s="378" t="s">
        <v>258</v>
      </c>
      <c r="AJ62" s="378" t="s">
        <v>125</v>
      </c>
      <c r="AK62" s="378" t="s">
        <v>125</v>
      </c>
      <c r="AL62" s="381" t="s">
        <v>190</v>
      </c>
      <c r="AM62" s="384" t="s">
        <v>125</v>
      </c>
      <c r="AN62" s="378" t="s">
        <v>125</v>
      </c>
      <c r="AO62" s="378" t="s">
        <v>125</v>
      </c>
      <c r="AP62" s="378" t="s">
        <v>125</v>
      </c>
      <c r="AQ62" s="381" t="s">
        <v>125</v>
      </c>
      <c r="AR62" s="384" t="s">
        <v>125</v>
      </c>
      <c r="AS62" s="378" t="s">
        <v>125</v>
      </c>
      <c r="AT62" s="378" t="s">
        <v>125</v>
      </c>
      <c r="AU62" s="378" t="s">
        <v>253</v>
      </c>
      <c r="AV62" s="381" t="s">
        <v>125</v>
      </c>
      <c r="AW62" s="384" t="s">
        <v>105</v>
      </c>
      <c r="AX62" s="378" t="s">
        <v>125</v>
      </c>
      <c r="AY62" s="378" t="s">
        <v>125</v>
      </c>
      <c r="AZ62" s="378" t="s">
        <v>105</v>
      </c>
      <c r="BA62" s="381" t="s">
        <v>125</v>
      </c>
      <c r="BB62" s="384" t="s">
        <v>125</v>
      </c>
      <c r="BC62" s="378" t="s">
        <v>125</v>
      </c>
      <c r="BD62" s="378" t="s">
        <v>125</v>
      </c>
      <c r="BE62" s="378" t="s">
        <v>125</v>
      </c>
      <c r="BF62" s="381" t="s">
        <v>125</v>
      </c>
      <c r="BG62" s="384" t="s">
        <v>125</v>
      </c>
      <c r="BH62" s="378" t="s">
        <v>125</v>
      </c>
      <c r="BI62" s="378" t="s">
        <v>125</v>
      </c>
      <c r="BJ62" s="378" t="s">
        <v>125</v>
      </c>
      <c r="BK62" s="381" t="s">
        <v>125</v>
      </c>
      <c r="BL62" s="384" t="s">
        <v>125</v>
      </c>
      <c r="BM62" s="381" t="s">
        <v>125</v>
      </c>
      <c r="BN62" s="22"/>
      <c r="BO62" s="22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65"/>
      <c r="B63" s="8"/>
      <c r="C63" s="335"/>
      <c r="D63" s="376" t="s">
        <v>125</v>
      </c>
      <c r="E63" s="379" t="s">
        <v>198</v>
      </c>
      <c r="F63" s="379" t="s">
        <v>125</v>
      </c>
      <c r="G63" s="379" t="s">
        <v>125</v>
      </c>
      <c r="H63" s="382" t="s">
        <v>125</v>
      </c>
      <c r="I63" s="385" t="s">
        <v>253</v>
      </c>
      <c r="J63" s="379" t="s">
        <v>125</v>
      </c>
      <c r="K63" s="379" t="s">
        <v>125</v>
      </c>
      <c r="L63" s="379" t="s">
        <v>125</v>
      </c>
      <c r="M63" s="382" t="s">
        <v>125</v>
      </c>
      <c r="N63" s="385" t="s">
        <v>125</v>
      </c>
      <c r="O63" s="379" t="s">
        <v>143</v>
      </c>
      <c r="P63" s="379" t="s">
        <v>125</v>
      </c>
      <c r="Q63" s="379" t="s">
        <v>125</v>
      </c>
      <c r="R63" s="382" t="s">
        <v>125</v>
      </c>
      <c r="S63" s="385" t="s">
        <v>125</v>
      </c>
      <c r="T63" s="379" t="s">
        <v>125</v>
      </c>
      <c r="U63" s="379" t="s">
        <v>125</v>
      </c>
      <c r="V63" s="379" t="s">
        <v>125</v>
      </c>
      <c r="W63" s="382" t="s">
        <v>125</v>
      </c>
      <c r="X63" s="385" t="s">
        <v>125</v>
      </c>
      <c r="Y63" s="379" t="s">
        <v>254</v>
      </c>
      <c r="Z63" s="379" t="s">
        <v>125</v>
      </c>
      <c r="AA63" s="379" t="s">
        <v>125</v>
      </c>
      <c r="AB63" s="382" t="s">
        <v>125</v>
      </c>
      <c r="AC63" s="385" t="s">
        <v>125</v>
      </c>
      <c r="AD63" s="379" t="s">
        <v>255</v>
      </c>
      <c r="AE63" s="379" t="s">
        <v>256</v>
      </c>
      <c r="AF63" s="379" t="s">
        <v>125</v>
      </c>
      <c r="AG63" s="382" t="s">
        <v>257</v>
      </c>
      <c r="AH63" s="385" t="s">
        <v>125</v>
      </c>
      <c r="AI63" s="379" t="s">
        <v>258</v>
      </c>
      <c r="AJ63" s="379" t="s">
        <v>125</v>
      </c>
      <c r="AK63" s="379" t="s">
        <v>125</v>
      </c>
      <c r="AL63" s="382" t="s">
        <v>190</v>
      </c>
      <c r="AM63" s="385" t="s">
        <v>125</v>
      </c>
      <c r="AN63" s="379" t="s">
        <v>125</v>
      </c>
      <c r="AO63" s="379" t="s">
        <v>125</v>
      </c>
      <c r="AP63" s="379" t="s">
        <v>125</v>
      </c>
      <c r="AQ63" s="382" t="s">
        <v>125</v>
      </c>
      <c r="AR63" s="385" t="s">
        <v>125</v>
      </c>
      <c r="AS63" s="379" t="s">
        <v>125</v>
      </c>
      <c r="AT63" s="379" t="s">
        <v>125</v>
      </c>
      <c r="AU63" s="379" t="s">
        <v>253</v>
      </c>
      <c r="AV63" s="382" t="s">
        <v>125</v>
      </c>
      <c r="AW63" s="385" t="s">
        <v>105</v>
      </c>
      <c r="AX63" s="379" t="s">
        <v>125</v>
      </c>
      <c r="AY63" s="379" t="s">
        <v>125</v>
      </c>
      <c r="AZ63" s="379" t="s">
        <v>105</v>
      </c>
      <c r="BA63" s="382" t="s">
        <v>125</v>
      </c>
      <c r="BB63" s="385" t="s">
        <v>125</v>
      </c>
      <c r="BC63" s="379" t="s">
        <v>125</v>
      </c>
      <c r="BD63" s="379" t="s">
        <v>125</v>
      </c>
      <c r="BE63" s="379" t="s">
        <v>125</v>
      </c>
      <c r="BF63" s="382" t="s">
        <v>125</v>
      </c>
      <c r="BG63" s="385" t="s">
        <v>125</v>
      </c>
      <c r="BH63" s="379" t="s">
        <v>125</v>
      </c>
      <c r="BI63" s="379" t="s">
        <v>125</v>
      </c>
      <c r="BJ63" s="379" t="s">
        <v>125</v>
      </c>
      <c r="BK63" s="382" t="s">
        <v>125</v>
      </c>
      <c r="BL63" s="385" t="s">
        <v>125</v>
      </c>
      <c r="BM63" s="382" t="s">
        <v>125</v>
      </c>
      <c r="BN63" s="22"/>
      <c r="BO63" s="22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19</v>
      </c>
      <c r="B64" s="6"/>
      <c r="C64" s="334" t="s">
        <v>124</v>
      </c>
      <c r="D64" s="374" t="s">
        <v>125</v>
      </c>
      <c r="E64" s="377" t="s">
        <v>125</v>
      </c>
      <c r="F64" s="377" t="s">
        <v>155</v>
      </c>
      <c r="G64" s="377" t="s">
        <v>125</v>
      </c>
      <c r="H64" s="380" t="s">
        <v>125</v>
      </c>
      <c r="I64" s="383" t="s">
        <v>125</v>
      </c>
      <c r="J64" s="377" t="s">
        <v>125</v>
      </c>
      <c r="K64" s="377" t="s">
        <v>125</v>
      </c>
      <c r="L64" s="377" t="s">
        <v>125</v>
      </c>
      <c r="M64" s="380" t="s">
        <v>105</v>
      </c>
      <c r="N64" s="383" t="s">
        <v>125</v>
      </c>
      <c r="O64" s="377" t="s">
        <v>125</v>
      </c>
      <c r="P64" s="377" t="s">
        <v>125</v>
      </c>
      <c r="Q64" s="377" t="s">
        <v>125</v>
      </c>
      <c r="R64" s="380" t="s">
        <v>125</v>
      </c>
      <c r="S64" s="383" t="s">
        <v>259</v>
      </c>
      <c r="T64" s="377" t="s">
        <v>125</v>
      </c>
      <c r="U64" s="377" t="s">
        <v>125</v>
      </c>
      <c r="V64" s="377" t="s">
        <v>125</v>
      </c>
      <c r="W64" s="380" t="s">
        <v>125</v>
      </c>
      <c r="X64" s="383" t="s">
        <v>125</v>
      </c>
      <c r="Y64" s="377" t="s">
        <v>125</v>
      </c>
      <c r="Z64" s="377" t="s">
        <v>125</v>
      </c>
      <c r="AA64" s="377" t="s">
        <v>125</v>
      </c>
      <c r="AB64" s="380" t="s">
        <v>125</v>
      </c>
      <c r="AC64" s="383" t="s">
        <v>125</v>
      </c>
      <c r="AD64" s="377" t="s">
        <v>105</v>
      </c>
      <c r="AE64" s="377" t="s">
        <v>125</v>
      </c>
      <c r="AF64" s="377" t="s">
        <v>125</v>
      </c>
      <c r="AG64" s="380" t="s">
        <v>260</v>
      </c>
      <c r="AH64" s="383" t="s">
        <v>105</v>
      </c>
      <c r="AI64" s="377" t="s">
        <v>125</v>
      </c>
      <c r="AJ64" s="377" t="s">
        <v>216</v>
      </c>
      <c r="AK64" s="377" t="s">
        <v>125</v>
      </c>
      <c r="AL64" s="380" t="s">
        <v>125</v>
      </c>
      <c r="AM64" s="383" t="s">
        <v>238</v>
      </c>
      <c r="AN64" s="377" t="s">
        <v>125</v>
      </c>
      <c r="AO64" s="377" t="s">
        <v>261</v>
      </c>
      <c r="AP64" s="377" t="s">
        <v>125</v>
      </c>
      <c r="AQ64" s="380" t="s">
        <v>125</v>
      </c>
      <c r="AR64" s="383" t="s">
        <v>202</v>
      </c>
      <c r="AS64" s="377" t="s">
        <v>184</v>
      </c>
      <c r="AT64" s="377" t="s">
        <v>125</v>
      </c>
      <c r="AU64" s="377" t="s">
        <v>125</v>
      </c>
      <c r="AV64" s="380" t="s">
        <v>125</v>
      </c>
      <c r="AW64" s="383" t="s">
        <v>125</v>
      </c>
      <c r="AX64" s="377" t="s">
        <v>125</v>
      </c>
      <c r="AY64" s="377" t="s">
        <v>198</v>
      </c>
      <c r="AZ64" s="377" t="s">
        <v>125</v>
      </c>
      <c r="BA64" s="380" t="s">
        <v>125</v>
      </c>
      <c r="BB64" s="383" t="s">
        <v>125</v>
      </c>
      <c r="BC64" s="377" t="s">
        <v>125</v>
      </c>
      <c r="BD64" s="377" t="s">
        <v>237</v>
      </c>
      <c r="BE64" s="377" t="s">
        <v>262</v>
      </c>
      <c r="BF64" s="380" t="s">
        <v>125</v>
      </c>
      <c r="BG64" s="383" t="s">
        <v>229</v>
      </c>
      <c r="BH64" s="377" t="s">
        <v>125</v>
      </c>
      <c r="BI64" s="377" t="s">
        <v>125</v>
      </c>
      <c r="BJ64" s="377" t="s">
        <v>125</v>
      </c>
      <c r="BK64" s="380" t="s">
        <v>125</v>
      </c>
      <c r="BL64" s="383" t="s">
        <v>125</v>
      </c>
      <c r="BM64" s="380" t="s">
        <v>202</v>
      </c>
      <c r="BN64" s="22"/>
      <c r="BO64" s="22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65" t="s">
        <v>11</v>
      </c>
      <c r="B65" s="7" t="s">
        <v>36</v>
      </c>
      <c r="C65" s="335"/>
      <c r="D65" s="375" t="s">
        <v>125</v>
      </c>
      <c r="E65" s="378" t="s">
        <v>125</v>
      </c>
      <c r="F65" s="378" t="s">
        <v>155</v>
      </c>
      <c r="G65" s="378" t="s">
        <v>125</v>
      </c>
      <c r="H65" s="381" t="s">
        <v>125</v>
      </c>
      <c r="I65" s="384" t="s">
        <v>125</v>
      </c>
      <c r="J65" s="378" t="s">
        <v>125</v>
      </c>
      <c r="K65" s="378" t="s">
        <v>125</v>
      </c>
      <c r="L65" s="378" t="s">
        <v>125</v>
      </c>
      <c r="M65" s="381" t="s">
        <v>105</v>
      </c>
      <c r="N65" s="384" t="s">
        <v>125</v>
      </c>
      <c r="O65" s="378" t="s">
        <v>125</v>
      </c>
      <c r="P65" s="378" t="s">
        <v>125</v>
      </c>
      <c r="Q65" s="378" t="s">
        <v>125</v>
      </c>
      <c r="R65" s="381" t="s">
        <v>125</v>
      </c>
      <c r="S65" s="384" t="s">
        <v>259</v>
      </c>
      <c r="T65" s="378" t="s">
        <v>125</v>
      </c>
      <c r="U65" s="378" t="s">
        <v>125</v>
      </c>
      <c r="V65" s="378" t="s">
        <v>125</v>
      </c>
      <c r="W65" s="381" t="s">
        <v>125</v>
      </c>
      <c r="X65" s="384" t="s">
        <v>125</v>
      </c>
      <c r="Y65" s="378" t="s">
        <v>125</v>
      </c>
      <c r="Z65" s="378" t="s">
        <v>125</v>
      </c>
      <c r="AA65" s="378" t="s">
        <v>125</v>
      </c>
      <c r="AB65" s="381" t="s">
        <v>125</v>
      </c>
      <c r="AC65" s="384" t="s">
        <v>125</v>
      </c>
      <c r="AD65" s="378" t="s">
        <v>105</v>
      </c>
      <c r="AE65" s="378" t="s">
        <v>125</v>
      </c>
      <c r="AF65" s="378" t="s">
        <v>125</v>
      </c>
      <c r="AG65" s="381" t="s">
        <v>260</v>
      </c>
      <c r="AH65" s="384" t="s">
        <v>105</v>
      </c>
      <c r="AI65" s="378" t="s">
        <v>125</v>
      </c>
      <c r="AJ65" s="378" t="s">
        <v>216</v>
      </c>
      <c r="AK65" s="378" t="s">
        <v>125</v>
      </c>
      <c r="AL65" s="381" t="s">
        <v>125</v>
      </c>
      <c r="AM65" s="384" t="s">
        <v>238</v>
      </c>
      <c r="AN65" s="378" t="s">
        <v>125</v>
      </c>
      <c r="AO65" s="378" t="s">
        <v>261</v>
      </c>
      <c r="AP65" s="378" t="s">
        <v>125</v>
      </c>
      <c r="AQ65" s="381" t="s">
        <v>125</v>
      </c>
      <c r="AR65" s="384" t="s">
        <v>202</v>
      </c>
      <c r="AS65" s="378" t="s">
        <v>184</v>
      </c>
      <c r="AT65" s="378" t="s">
        <v>125</v>
      </c>
      <c r="AU65" s="378" t="s">
        <v>125</v>
      </c>
      <c r="AV65" s="381" t="s">
        <v>125</v>
      </c>
      <c r="AW65" s="384" t="s">
        <v>125</v>
      </c>
      <c r="AX65" s="378" t="s">
        <v>125</v>
      </c>
      <c r="AY65" s="378" t="s">
        <v>198</v>
      </c>
      <c r="AZ65" s="378" t="s">
        <v>125</v>
      </c>
      <c r="BA65" s="381" t="s">
        <v>125</v>
      </c>
      <c r="BB65" s="384" t="s">
        <v>125</v>
      </c>
      <c r="BC65" s="378" t="s">
        <v>125</v>
      </c>
      <c r="BD65" s="378" t="s">
        <v>237</v>
      </c>
      <c r="BE65" s="378" t="s">
        <v>262</v>
      </c>
      <c r="BF65" s="381" t="s">
        <v>125</v>
      </c>
      <c r="BG65" s="384" t="s">
        <v>229</v>
      </c>
      <c r="BH65" s="378" t="s">
        <v>125</v>
      </c>
      <c r="BI65" s="378" t="s">
        <v>125</v>
      </c>
      <c r="BJ65" s="378" t="s">
        <v>125</v>
      </c>
      <c r="BK65" s="381" t="s">
        <v>125</v>
      </c>
      <c r="BL65" s="384" t="s">
        <v>125</v>
      </c>
      <c r="BM65" s="381" t="s">
        <v>202</v>
      </c>
      <c r="BN65" s="22"/>
      <c r="BO65" s="22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65"/>
      <c r="B66" s="8"/>
      <c r="C66" s="335"/>
      <c r="D66" s="376" t="s">
        <v>125</v>
      </c>
      <c r="E66" s="379" t="s">
        <v>125</v>
      </c>
      <c r="F66" s="379" t="s">
        <v>155</v>
      </c>
      <c r="G66" s="379" t="s">
        <v>125</v>
      </c>
      <c r="H66" s="382" t="s">
        <v>125</v>
      </c>
      <c r="I66" s="385" t="s">
        <v>125</v>
      </c>
      <c r="J66" s="379" t="s">
        <v>125</v>
      </c>
      <c r="K66" s="379" t="s">
        <v>125</v>
      </c>
      <c r="L66" s="379" t="s">
        <v>125</v>
      </c>
      <c r="M66" s="382" t="s">
        <v>105</v>
      </c>
      <c r="N66" s="385" t="s">
        <v>125</v>
      </c>
      <c r="O66" s="379" t="s">
        <v>125</v>
      </c>
      <c r="P66" s="379" t="s">
        <v>125</v>
      </c>
      <c r="Q66" s="379" t="s">
        <v>125</v>
      </c>
      <c r="R66" s="382" t="s">
        <v>125</v>
      </c>
      <c r="S66" s="385" t="s">
        <v>259</v>
      </c>
      <c r="T66" s="379" t="s">
        <v>125</v>
      </c>
      <c r="U66" s="379" t="s">
        <v>125</v>
      </c>
      <c r="V66" s="379" t="s">
        <v>125</v>
      </c>
      <c r="W66" s="382" t="s">
        <v>125</v>
      </c>
      <c r="X66" s="385" t="s">
        <v>125</v>
      </c>
      <c r="Y66" s="379" t="s">
        <v>125</v>
      </c>
      <c r="Z66" s="379" t="s">
        <v>125</v>
      </c>
      <c r="AA66" s="379" t="s">
        <v>125</v>
      </c>
      <c r="AB66" s="382" t="s">
        <v>125</v>
      </c>
      <c r="AC66" s="385" t="s">
        <v>125</v>
      </c>
      <c r="AD66" s="379" t="s">
        <v>105</v>
      </c>
      <c r="AE66" s="379" t="s">
        <v>125</v>
      </c>
      <c r="AF66" s="379" t="s">
        <v>125</v>
      </c>
      <c r="AG66" s="382" t="s">
        <v>260</v>
      </c>
      <c r="AH66" s="385" t="s">
        <v>105</v>
      </c>
      <c r="AI66" s="379" t="s">
        <v>125</v>
      </c>
      <c r="AJ66" s="379" t="s">
        <v>216</v>
      </c>
      <c r="AK66" s="379" t="s">
        <v>125</v>
      </c>
      <c r="AL66" s="382" t="s">
        <v>125</v>
      </c>
      <c r="AM66" s="385" t="s">
        <v>238</v>
      </c>
      <c r="AN66" s="379" t="s">
        <v>125</v>
      </c>
      <c r="AO66" s="379" t="s">
        <v>261</v>
      </c>
      <c r="AP66" s="379" t="s">
        <v>125</v>
      </c>
      <c r="AQ66" s="382" t="s">
        <v>125</v>
      </c>
      <c r="AR66" s="385" t="s">
        <v>202</v>
      </c>
      <c r="AS66" s="379" t="s">
        <v>184</v>
      </c>
      <c r="AT66" s="379" t="s">
        <v>125</v>
      </c>
      <c r="AU66" s="379" t="s">
        <v>125</v>
      </c>
      <c r="AV66" s="382" t="s">
        <v>125</v>
      </c>
      <c r="AW66" s="385" t="s">
        <v>125</v>
      </c>
      <c r="AX66" s="379" t="s">
        <v>125</v>
      </c>
      <c r="AY66" s="379" t="s">
        <v>198</v>
      </c>
      <c r="AZ66" s="379" t="s">
        <v>125</v>
      </c>
      <c r="BA66" s="382" t="s">
        <v>125</v>
      </c>
      <c r="BB66" s="385" t="s">
        <v>125</v>
      </c>
      <c r="BC66" s="379" t="s">
        <v>125</v>
      </c>
      <c r="BD66" s="379" t="s">
        <v>237</v>
      </c>
      <c r="BE66" s="379" t="s">
        <v>262</v>
      </c>
      <c r="BF66" s="382" t="s">
        <v>125</v>
      </c>
      <c r="BG66" s="385" t="s">
        <v>229</v>
      </c>
      <c r="BH66" s="379" t="s">
        <v>125</v>
      </c>
      <c r="BI66" s="379" t="s">
        <v>125</v>
      </c>
      <c r="BJ66" s="379" t="s">
        <v>125</v>
      </c>
      <c r="BK66" s="382" t="s">
        <v>125</v>
      </c>
      <c r="BL66" s="385" t="s">
        <v>125</v>
      </c>
      <c r="BM66" s="382" t="s">
        <v>202</v>
      </c>
      <c r="BN66" s="22"/>
      <c r="BO66" s="22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19</v>
      </c>
      <c r="B67" s="6"/>
      <c r="C67" s="334" t="s">
        <v>124</v>
      </c>
      <c r="D67" s="374" t="s">
        <v>125</v>
      </c>
      <c r="E67" s="377" t="s">
        <v>194</v>
      </c>
      <c r="F67" s="377" t="s">
        <v>125</v>
      </c>
      <c r="G67" s="377" t="s">
        <v>125</v>
      </c>
      <c r="H67" s="380" t="s">
        <v>125</v>
      </c>
      <c r="I67" s="383" t="s">
        <v>125</v>
      </c>
      <c r="J67" s="377" t="s">
        <v>125</v>
      </c>
      <c r="K67" s="377" t="s">
        <v>125</v>
      </c>
      <c r="L67" s="377" t="s">
        <v>125</v>
      </c>
      <c r="M67" s="380" t="s">
        <v>125</v>
      </c>
      <c r="N67" s="383" t="s">
        <v>125</v>
      </c>
      <c r="O67" s="377" t="s">
        <v>125</v>
      </c>
      <c r="P67" s="377" t="s">
        <v>105</v>
      </c>
      <c r="Q67" s="377" t="s">
        <v>125</v>
      </c>
      <c r="R67" s="380" t="s">
        <v>125</v>
      </c>
      <c r="S67" s="383" t="s">
        <v>125</v>
      </c>
      <c r="T67" s="377" t="s">
        <v>125</v>
      </c>
      <c r="U67" s="377" t="s">
        <v>125</v>
      </c>
      <c r="V67" s="377" t="s">
        <v>105</v>
      </c>
      <c r="W67" s="380" t="s">
        <v>125</v>
      </c>
      <c r="X67" s="383" t="s">
        <v>125</v>
      </c>
      <c r="Y67" s="377" t="s">
        <v>105</v>
      </c>
      <c r="Z67" s="377" t="s">
        <v>125</v>
      </c>
      <c r="AA67" s="377" t="s">
        <v>125</v>
      </c>
      <c r="AB67" s="380" t="s">
        <v>125</v>
      </c>
      <c r="AC67" s="383" t="s">
        <v>125</v>
      </c>
      <c r="AD67" s="377" t="s">
        <v>125</v>
      </c>
      <c r="AE67" s="377" t="s">
        <v>105</v>
      </c>
      <c r="AF67" s="377" t="s">
        <v>201</v>
      </c>
      <c r="AG67" s="380" t="s">
        <v>105</v>
      </c>
      <c r="AH67" s="383" t="s">
        <v>223</v>
      </c>
      <c r="AI67" s="377" t="s">
        <v>263</v>
      </c>
      <c r="AJ67" s="377" t="s">
        <v>105</v>
      </c>
      <c r="AK67" s="377" t="s">
        <v>125</v>
      </c>
      <c r="AL67" s="380" t="s">
        <v>125</v>
      </c>
      <c r="AM67" s="383" t="s">
        <v>105</v>
      </c>
      <c r="AN67" s="377" t="s">
        <v>125</v>
      </c>
      <c r="AO67" s="377" t="s">
        <v>125</v>
      </c>
      <c r="AP67" s="377" t="s">
        <v>125</v>
      </c>
      <c r="AQ67" s="380" t="s">
        <v>125</v>
      </c>
      <c r="AR67" s="383" t="s">
        <v>125</v>
      </c>
      <c r="AS67" s="377" t="s">
        <v>125</v>
      </c>
      <c r="AT67" s="377" t="s">
        <v>144</v>
      </c>
      <c r="AU67" s="377" t="s">
        <v>125</v>
      </c>
      <c r="AV67" s="380" t="s">
        <v>264</v>
      </c>
      <c r="AW67" s="383" t="s">
        <v>242</v>
      </c>
      <c r="AX67" s="377" t="s">
        <v>225</v>
      </c>
      <c r="AY67" s="377" t="s">
        <v>265</v>
      </c>
      <c r="AZ67" s="377" t="s">
        <v>266</v>
      </c>
      <c r="BA67" s="380" t="s">
        <v>267</v>
      </c>
      <c r="BB67" s="383" t="s">
        <v>125</v>
      </c>
      <c r="BC67" s="377" t="s">
        <v>223</v>
      </c>
      <c r="BD67" s="377" t="s">
        <v>125</v>
      </c>
      <c r="BE67" s="377" t="s">
        <v>268</v>
      </c>
      <c r="BF67" s="380" t="s">
        <v>175</v>
      </c>
      <c r="BG67" s="383" t="s">
        <v>225</v>
      </c>
      <c r="BH67" s="377" t="s">
        <v>125</v>
      </c>
      <c r="BI67" s="377" t="s">
        <v>125</v>
      </c>
      <c r="BJ67" s="377" t="s">
        <v>125</v>
      </c>
      <c r="BK67" s="380" t="s">
        <v>125</v>
      </c>
      <c r="BL67" s="383" t="s">
        <v>125</v>
      </c>
      <c r="BM67" s="380" t="s">
        <v>105</v>
      </c>
      <c r="BN67" s="22"/>
      <c r="BO67" s="22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65" t="s">
        <v>11</v>
      </c>
      <c r="B68" s="7" t="s">
        <v>37</v>
      </c>
      <c r="C68" s="335"/>
      <c r="D68" s="375" t="s">
        <v>125</v>
      </c>
      <c r="E68" s="378" t="s">
        <v>194</v>
      </c>
      <c r="F68" s="378" t="s">
        <v>125</v>
      </c>
      <c r="G68" s="378" t="s">
        <v>125</v>
      </c>
      <c r="H68" s="381" t="s">
        <v>125</v>
      </c>
      <c r="I68" s="384" t="s">
        <v>125</v>
      </c>
      <c r="J68" s="378" t="s">
        <v>125</v>
      </c>
      <c r="K68" s="378" t="s">
        <v>125</v>
      </c>
      <c r="L68" s="378" t="s">
        <v>125</v>
      </c>
      <c r="M68" s="381" t="s">
        <v>125</v>
      </c>
      <c r="N68" s="384" t="s">
        <v>125</v>
      </c>
      <c r="O68" s="378" t="s">
        <v>125</v>
      </c>
      <c r="P68" s="378" t="s">
        <v>105</v>
      </c>
      <c r="Q68" s="378" t="s">
        <v>125</v>
      </c>
      <c r="R68" s="381" t="s">
        <v>125</v>
      </c>
      <c r="S68" s="384" t="s">
        <v>125</v>
      </c>
      <c r="T68" s="378" t="s">
        <v>125</v>
      </c>
      <c r="U68" s="378" t="s">
        <v>125</v>
      </c>
      <c r="V68" s="378" t="s">
        <v>105</v>
      </c>
      <c r="W68" s="381" t="s">
        <v>125</v>
      </c>
      <c r="X68" s="384" t="s">
        <v>125</v>
      </c>
      <c r="Y68" s="378" t="s">
        <v>105</v>
      </c>
      <c r="Z68" s="378" t="s">
        <v>125</v>
      </c>
      <c r="AA68" s="378" t="s">
        <v>125</v>
      </c>
      <c r="AB68" s="381" t="s">
        <v>125</v>
      </c>
      <c r="AC68" s="384" t="s">
        <v>125</v>
      </c>
      <c r="AD68" s="378" t="s">
        <v>125</v>
      </c>
      <c r="AE68" s="378" t="s">
        <v>105</v>
      </c>
      <c r="AF68" s="378" t="s">
        <v>201</v>
      </c>
      <c r="AG68" s="381" t="s">
        <v>105</v>
      </c>
      <c r="AH68" s="384" t="s">
        <v>223</v>
      </c>
      <c r="AI68" s="378" t="s">
        <v>263</v>
      </c>
      <c r="AJ68" s="378" t="s">
        <v>105</v>
      </c>
      <c r="AK68" s="378" t="s">
        <v>125</v>
      </c>
      <c r="AL68" s="381" t="s">
        <v>125</v>
      </c>
      <c r="AM68" s="384" t="s">
        <v>105</v>
      </c>
      <c r="AN68" s="378" t="s">
        <v>125</v>
      </c>
      <c r="AO68" s="378" t="s">
        <v>125</v>
      </c>
      <c r="AP68" s="378" t="s">
        <v>125</v>
      </c>
      <c r="AQ68" s="381" t="s">
        <v>125</v>
      </c>
      <c r="AR68" s="384" t="s">
        <v>125</v>
      </c>
      <c r="AS68" s="378" t="s">
        <v>125</v>
      </c>
      <c r="AT68" s="378" t="s">
        <v>144</v>
      </c>
      <c r="AU68" s="378" t="s">
        <v>125</v>
      </c>
      <c r="AV68" s="381" t="s">
        <v>264</v>
      </c>
      <c r="AW68" s="384" t="s">
        <v>242</v>
      </c>
      <c r="AX68" s="378" t="s">
        <v>225</v>
      </c>
      <c r="AY68" s="378" t="s">
        <v>265</v>
      </c>
      <c r="AZ68" s="378" t="s">
        <v>266</v>
      </c>
      <c r="BA68" s="381" t="s">
        <v>267</v>
      </c>
      <c r="BB68" s="384" t="s">
        <v>125</v>
      </c>
      <c r="BC68" s="378" t="s">
        <v>223</v>
      </c>
      <c r="BD68" s="378" t="s">
        <v>125</v>
      </c>
      <c r="BE68" s="378" t="s">
        <v>268</v>
      </c>
      <c r="BF68" s="381" t="s">
        <v>175</v>
      </c>
      <c r="BG68" s="384" t="s">
        <v>225</v>
      </c>
      <c r="BH68" s="378" t="s">
        <v>125</v>
      </c>
      <c r="BI68" s="378" t="s">
        <v>125</v>
      </c>
      <c r="BJ68" s="378" t="s">
        <v>125</v>
      </c>
      <c r="BK68" s="381" t="s">
        <v>125</v>
      </c>
      <c r="BL68" s="384" t="s">
        <v>125</v>
      </c>
      <c r="BM68" s="381" t="s">
        <v>105</v>
      </c>
      <c r="BN68" s="22"/>
      <c r="BO68" s="22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65"/>
      <c r="B69" s="8"/>
      <c r="C69" s="335"/>
      <c r="D69" s="376" t="s">
        <v>125</v>
      </c>
      <c r="E69" s="379" t="s">
        <v>194</v>
      </c>
      <c r="F69" s="379" t="s">
        <v>125</v>
      </c>
      <c r="G69" s="379" t="s">
        <v>125</v>
      </c>
      <c r="H69" s="382" t="s">
        <v>125</v>
      </c>
      <c r="I69" s="385" t="s">
        <v>125</v>
      </c>
      <c r="J69" s="379" t="s">
        <v>125</v>
      </c>
      <c r="K69" s="379" t="s">
        <v>125</v>
      </c>
      <c r="L69" s="379" t="s">
        <v>125</v>
      </c>
      <c r="M69" s="382" t="s">
        <v>125</v>
      </c>
      <c r="N69" s="385" t="s">
        <v>125</v>
      </c>
      <c r="O69" s="379" t="s">
        <v>125</v>
      </c>
      <c r="P69" s="379" t="s">
        <v>105</v>
      </c>
      <c r="Q69" s="379" t="s">
        <v>125</v>
      </c>
      <c r="R69" s="382" t="s">
        <v>125</v>
      </c>
      <c r="S69" s="385" t="s">
        <v>125</v>
      </c>
      <c r="T69" s="379" t="s">
        <v>125</v>
      </c>
      <c r="U69" s="379" t="s">
        <v>125</v>
      </c>
      <c r="V69" s="379" t="s">
        <v>105</v>
      </c>
      <c r="W69" s="382" t="s">
        <v>125</v>
      </c>
      <c r="X69" s="385" t="s">
        <v>125</v>
      </c>
      <c r="Y69" s="379" t="s">
        <v>105</v>
      </c>
      <c r="Z69" s="379" t="s">
        <v>125</v>
      </c>
      <c r="AA69" s="379" t="s">
        <v>125</v>
      </c>
      <c r="AB69" s="382" t="s">
        <v>125</v>
      </c>
      <c r="AC69" s="385" t="s">
        <v>125</v>
      </c>
      <c r="AD69" s="379" t="s">
        <v>125</v>
      </c>
      <c r="AE69" s="379" t="s">
        <v>105</v>
      </c>
      <c r="AF69" s="379" t="s">
        <v>201</v>
      </c>
      <c r="AG69" s="382" t="s">
        <v>105</v>
      </c>
      <c r="AH69" s="385" t="s">
        <v>223</v>
      </c>
      <c r="AI69" s="379" t="s">
        <v>263</v>
      </c>
      <c r="AJ69" s="379" t="s">
        <v>105</v>
      </c>
      <c r="AK69" s="379" t="s">
        <v>125</v>
      </c>
      <c r="AL69" s="382" t="s">
        <v>125</v>
      </c>
      <c r="AM69" s="385" t="s">
        <v>105</v>
      </c>
      <c r="AN69" s="379" t="s">
        <v>125</v>
      </c>
      <c r="AO69" s="379" t="s">
        <v>125</v>
      </c>
      <c r="AP69" s="379" t="s">
        <v>125</v>
      </c>
      <c r="AQ69" s="382" t="s">
        <v>125</v>
      </c>
      <c r="AR69" s="385" t="s">
        <v>125</v>
      </c>
      <c r="AS69" s="379" t="s">
        <v>125</v>
      </c>
      <c r="AT69" s="379" t="s">
        <v>144</v>
      </c>
      <c r="AU69" s="379" t="s">
        <v>125</v>
      </c>
      <c r="AV69" s="382" t="s">
        <v>264</v>
      </c>
      <c r="AW69" s="385" t="s">
        <v>242</v>
      </c>
      <c r="AX69" s="379" t="s">
        <v>225</v>
      </c>
      <c r="AY69" s="379" t="s">
        <v>265</v>
      </c>
      <c r="AZ69" s="379" t="s">
        <v>266</v>
      </c>
      <c r="BA69" s="382" t="s">
        <v>267</v>
      </c>
      <c r="BB69" s="385" t="s">
        <v>125</v>
      </c>
      <c r="BC69" s="379" t="s">
        <v>223</v>
      </c>
      <c r="BD69" s="379" t="s">
        <v>125</v>
      </c>
      <c r="BE69" s="379" t="s">
        <v>268</v>
      </c>
      <c r="BF69" s="382" t="s">
        <v>175</v>
      </c>
      <c r="BG69" s="385" t="s">
        <v>225</v>
      </c>
      <c r="BH69" s="379" t="s">
        <v>125</v>
      </c>
      <c r="BI69" s="379" t="s">
        <v>125</v>
      </c>
      <c r="BJ69" s="379" t="s">
        <v>125</v>
      </c>
      <c r="BK69" s="382" t="s">
        <v>125</v>
      </c>
      <c r="BL69" s="385" t="s">
        <v>125</v>
      </c>
      <c r="BM69" s="382" t="s">
        <v>105</v>
      </c>
      <c r="BN69" s="22"/>
      <c r="BO69" s="22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19</v>
      </c>
      <c r="B70" s="6"/>
      <c r="C70" s="334" t="s">
        <v>124</v>
      </c>
      <c r="D70" s="374" t="s">
        <v>105</v>
      </c>
      <c r="E70" s="377" t="s">
        <v>105</v>
      </c>
      <c r="F70" s="377" t="s">
        <v>125</v>
      </c>
      <c r="G70" s="377" t="s">
        <v>125</v>
      </c>
      <c r="H70" s="380" t="s">
        <v>125</v>
      </c>
      <c r="I70" s="383" t="s">
        <v>125</v>
      </c>
      <c r="J70" s="377" t="s">
        <v>125</v>
      </c>
      <c r="K70" s="377" t="s">
        <v>125</v>
      </c>
      <c r="L70" s="377" t="s">
        <v>125</v>
      </c>
      <c r="M70" s="380" t="s">
        <v>125</v>
      </c>
      <c r="N70" s="383" t="s">
        <v>125</v>
      </c>
      <c r="O70" s="377" t="s">
        <v>125</v>
      </c>
      <c r="P70" s="377" t="s">
        <v>125</v>
      </c>
      <c r="Q70" s="377" t="s">
        <v>125</v>
      </c>
      <c r="R70" s="380" t="s">
        <v>125</v>
      </c>
      <c r="S70" s="383" t="s">
        <v>125</v>
      </c>
      <c r="T70" s="377" t="s">
        <v>125</v>
      </c>
      <c r="U70" s="377" t="s">
        <v>125</v>
      </c>
      <c r="V70" s="377" t="s">
        <v>125</v>
      </c>
      <c r="W70" s="380" t="s">
        <v>125</v>
      </c>
      <c r="X70" s="383" t="s">
        <v>105</v>
      </c>
      <c r="Y70" s="377" t="s">
        <v>125</v>
      </c>
      <c r="Z70" s="377" t="s">
        <v>125</v>
      </c>
      <c r="AA70" s="377" t="s">
        <v>125</v>
      </c>
      <c r="AB70" s="380" t="s">
        <v>125</v>
      </c>
      <c r="AC70" s="383" t="s">
        <v>105</v>
      </c>
      <c r="AD70" s="377" t="s">
        <v>125</v>
      </c>
      <c r="AE70" s="377" t="s">
        <v>125</v>
      </c>
      <c r="AF70" s="377" t="s">
        <v>204</v>
      </c>
      <c r="AG70" s="380" t="s">
        <v>105</v>
      </c>
      <c r="AH70" s="383" t="s">
        <v>125</v>
      </c>
      <c r="AI70" s="377" t="s">
        <v>105</v>
      </c>
      <c r="AJ70" s="377" t="s">
        <v>125</v>
      </c>
      <c r="AK70" s="377" t="s">
        <v>105</v>
      </c>
      <c r="AL70" s="380" t="s">
        <v>125</v>
      </c>
      <c r="AM70" s="383" t="s">
        <v>125</v>
      </c>
      <c r="AN70" s="377" t="s">
        <v>105</v>
      </c>
      <c r="AO70" s="377" t="s">
        <v>125</v>
      </c>
      <c r="AP70" s="377" t="s">
        <v>125</v>
      </c>
      <c r="AQ70" s="380" t="s">
        <v>125</v>
      </c>
      <c r="AR70" s="383" t="s">
        <v>269</v>
      </c>
      <c r="AS70" s="377" t="s">
        <v>125</v>
      </c>
      <c r="AT70" s="377" t="s">
        <v>270</v>
      </c>
      <c r="AU70" s="377" t="s">
        <v>218</v>
      </c>
      <c r="AV70" s="380" t="s">
        <v>212</v>
      </c>
      <c r="AW70" s="383" t="s">
        <v>263</v>
      </c>
      <c r="AX70" s="377" t="s">
        <v>125</v>
      </c>
      <c r="AY70" s="377" t="s">
        <v>125</v>
      </c>
      <c r="AZ70" s="377" t="s">
        <v>136</v>
      </c>
      <c r="BA70" s="380" t="s">
        <v>125</v>
      </c>
      <c r="BB70" s="383" t="s">
        <v>271</v>
      </c>
      <c r="BC70" s="377" t="s">
        <v>225</v>
      </c>
      <c r="BD70" s="377" t="s">
        <v>272</v>
      </c>
      <c r="BE70" s="377" t="s">
        <v>273</v>
      </c>
      <c r="BF70" s="380" t="s">
        <v>272</v>
      </c>
      <c r="BG70" s="383" t="s">
        <v>274</v>
      </c>
      <c r="BH70" s="377" t="s">
        <v>275</v>
      </c>
      <c r="BI70" s="377" t="s">
        <v>276</v>
      </c>
      <c r="BJ70" s="377" t="s">
        <v>125</v>
      </c>
      <c r="BK70" s="380" t="s">
        <v>277</v>
      </c>
      <c r="BL70" s="383" t="s">
        <v>125</v>
      </c>
      <c r="BM70" s="380" t="s">
        <v>278</v>
      </c>
      <c r="BN70" s="22"/>
      <c r="BO70" s="22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65" t="s">
        <v>11</v>
      </c>
      <c r="B71" s="7" t="s">
        <v>38</v>
      </c>
      <c r="C71" s="335"/>
      <c r="D71" s="375" t="s">
        <v>105</v>
      </c>
      <c r="E71" s="378" t="s">
        <v>105</v>
      </c>
      <c r="F71" s="378" t="s">
        <v>125</v>
      </c>
      <c r="G71" s="378" t="s">
        <v>125</v>
      </c>
      <c r="H71" s="381" t="s">
        <v>125</v>
      </c>
      <c r="I71" s="384" t="s">
        <v>125</v>
      </c>
      <c r="J71" s="378" t="s">
        <v>125</v>
      </c>
      <c r="K71" s="378" t="s">
        <v>125</v>
      </c>
      <c r="L71" s="378" t="s">
        <v>125</v>
      </c>
      <c r="M71" s="381" t="s">
        <v>125</v>
      </c>
      <c r="N71" s="384" t="s">
        <v>125</v>
      </c>
      <c r="O71" s="378" t="s">
        <v>125</v>
      </c>
      <c r="P71" s="378" t="s">
        <v>125</v>
      </c>
      <c r="Q71" s="378" t="s">
        <v>125</v>
      </c>
      <c r="R71" s="381" t="s">
        <v>125</v>
      </c>
      <c r="S71" s="384" t="s">
        <v>125</v>
      </c>
      <c r="T71" s="378" t="s">
        <v>125</v>
      </c>
      <c r="U71" s="378" t="s">
        <v>125</v>
      </c>
      <c r="V71" s="378" t="s">
        <v>125</v>
      </c>
      <c r="W71" s="381" t="s">
        <v>125</v>
      </c>
      <c r="X71" s="384" t="s">
        <v>105</v>
      </c>
      <c r="Y71" s="378" t="s">
        <v>125</v>
      </c>
      <c r="Z71" s="378" t="s">
        <v>125</v>
      </c>
      <c r="AA71" s="378" t="s">
        <v>125</v>
      </c>
      <c r="AB71" s="381" t="s">
        <v>125</v>
      </c>
      <c r="AC71" s="384" t="s">
        <v>105</v>
      </c>
      <c r="AD71" s="378" t="s">
        <v>125</v>
      </c>
      <c r="AE71" s="378" t="s">
        <v>125</v>
      </c>
      <c r="AF71" s="378" t="s">
        <v>204</v>
      </c>
      <c r="AG71" s="381" t="s">
        <v>105</v>
      </c>
      <c r="AH71" s="384" t="s">
        <v>125</v>
      </c>
      <c r="AI71" s="378" t="s">
        <v>105</v>
      </c>
      <c r="AJ71" s="378" t="s">
        <v>125</v>
      </c>
      <c r="AK71" s="378" t="s">
        <v>105</v>
      </c>
      <c r="AL71" s="381" t="s">
        <v>125</v>
      </c>
      <c r="AM71" s="384" t="s">
        <v>125</v>
      </c>
      <c r="AN71" s="378" t="s">
        <v>105</v>
      </c>
      <c r="AO71" s="378" t="s">
        <v>125</v>
      </c>
      <c r="AP71" s="378" t="s">
        <v>125</v>
      </c>
      <c r="AQ71" s="381" t="s">
        <v>125</v>
      </c>
      <c r="AR71" s="384" t="s">
        <v>269</v>
      </c>
      <c r="AS71" s="378" t="s">
        <v>125</v>
      </c>
      <c r="AT71" s="378" t="s">
        <v>270</v>
      </c>
      <c r="AU71" s="378" t="s">
        <v>218</v>
      </c>
      <c r="AV71" s="381" t="s">
        <v>212</v>
      </c>
      <c r="AW71" s="384" t="s">
        <v>263</v>
      </c>
      <c r="AX71" s="378" t="s">
        <v>125</v>
      </c>
      <c r="AY71" s="378" t="s">
        <v>125</v>
      </c>
      <c r="AZ71" s="378" t="s">
        <v>136</v>
      </c>
      <c r="BA71" s="381" t="s">
        <v>125</v>
      </c>
      <c r="BB71" s="384" t="s">
        <v>271</v>
      </c>
      <c r="BC71" s="378" t="s">
        <v>225</v>
      </c>
      <c r="BD71" s="378" t="s">
        <v>272</v>
      </c>
      <c r="BE71" s="378" t="s">
        <v>273</v>
      </c>
      <c r="BF71" s="381" t="s">
        <v>272</v>
      </c>
      <c r="BG71" s="384" t="s">
        <v>274</v>
      </c>
      <c r="BH71" s="378" t="s">
        <v>275</v>
      </c>
      <c r="BI71" s="378" t="s">
        <v>276</v>
      </c>
      <c r="BJ71" s="378" t="s">
        <v>125</v>
      </c>
      <c r="BK71" s="381" t="s">
        <v>277</v>
      </c>
      <c r="BL71" s="384" t="s">
        <v>125</v>
      </c>
      <c r="BM71" s="381" t="s">
        <v>278</v>
      </c>
      <c r="BN71" s="22"/>
      <c r="BO71" s="22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65"/>
      <c r="B72" s="8"/>
      <c r="C72" s="335"/>
      <c r="D72" s="376" t="s">
        <v>105</v>
      </c>
      <c r="E72" s="379" t="s">
        <v>105</v>
      </c>
      <c r="F72" s="379" t="s">
        <v>125</v>
      </c>
      <c r="G72" s="379" t="s">
        <v>125</v>
      </c>
      <c r="H72" s="382" t="s">
        <v>125</v>
      </c>
      <c r="I72" s="385" t="s">
        <v>125</v>
      </c>
      <c r="J72" s="379" t="s">
        <v>125</v>
      </c>
      <c r="K72" s="379" t="s">
        <v>125</v>
      </c>
      <c r="L72" s="379" t="s">
        <v>125</v>
      </c>
      <c r="M72" s="382" t="s">
        <v>125</v>
      </c>
      <c r="N72" s="385" t="s">
        <v>125</v>
      </c>
      <c r="O72" s="379" t="s">
        <v>125</v>
      </c>
      <c r="P72" s="379" t="s">
        <v>125</v>
      </c>
      <c r="Q72" s="379" t="s">
        <v>125</v>
      </c>
      <c r="R72" s="382" t="s">
        <v>125</v>
      </c>
      <c r="S72" s="385" t="s">
        <v>125</v>
      </c>
      <c r="T72" s="379" t="s">
        <v>125</v>
      </c>
      <c r="U72" s="379" t="s">
        <v>125</v>
      </c>
      <c r="V72" s="379" t="s">
        <v>125</v>
      </c>
      <c r="W72" s="382" t="s">
        <v>125</v>
      </c>
      <c r="X72" s="385" t="s">
        <v>105</v>
      </c>
      <c r="Y72" s="379" t="s">
        <v>125</v>
      </c>
      <c r="Z72" s="379" t="s">
        <v>125</v>
      </c>
      <c r="AA72" s="379" t="s">
        <v>125</v>
      </c>
      <c r="AB72" s="382" t="s">
        <v>125</v>
      </c>
      <c r="AC72" s="385" t="s">
        <v>105</v>
      </c>
      <c r="AD72" s="379" t="s">
        <v>125</v>
      </c>
      <c r="AE72" s="379" t="s">
        <v>125</v>
      </c>
      <c r="AF72" s="379" t="s">
        <v>204</v>
      </c>
      <c r="AG72" s="382" t="s">
        <v>105</v>
      </c>
      <c r="AH72" s="385" t="s">
        <v>125</v>
      </c>
      <c r="AI72" s="379" t="s">
        <v>105</v>
      </c>
      <c r="AJ72" s="379" t="s">
        <v>125</v>
      </c>
      <c r="AK72" s="379" t="s">
        <v>105</v>
      </c>
      <c r="AL72" s="382" t="s">
        <v>125</v>
      </c>
      <c r="AM72" s="385" t="s">
        <v>125</v>
      </c>
      <c r="AN72" s="379" t="s">
        <v>105</v>
      </c>
      <c r="AO72" s="379" t="s">
        <v>125</v>
      </c>
      <c r="AP72" s="379" t="s">
        <v>125</v>
      </c>
      <c r="AQ72" s="382" t="s">
        <v>125</v>
      </c>
      <c r="AR72" s="385" t="s">
        <v>269</v>
      </c>
      <c r="AS72" s="379" t="s">
        <v>125</v>
      </c>
      <c r="AT72" s="379" t="s">
        <v>270</v>
      </c>
      <c r="AU72" s="379" t="s">
        <v>218</v>
      </c>
      <c r="AV72" s="382" t="s">
        <v>212</v>
      </c>
      <c r="AW72" s="385" t="s">
        <v>263</v>
      </c>
      <c r="AX72" s="379" t="s">
        <v>125</v>
      </c>
      <c r="AY72" s="379" t="s">
        <v>125</v>
      </c>
      <c r="AZ72" s="379" t="s">
        <v>136</v>
      </c>
      <c r="BA72" s="382" t="s">
        <v>125</v>
      </c>
      <c r="BB72" s="385" t="s">
        <v>271</v>
      </c>
      <c r="BC72" s="379" t="s">
        <v>225</v>
      </c>
      <c r="BD72" s="379" t="s">
        <v>272</v>
      </c>
      <c r="BE72" s="379" t="s">
        <v>273</v>
      </c>
      <c r="BF72" s="382" t="s">
        <v>272</v>
      </c>
      <c r="BG72" s="385" t="s">
        <v>274</v>
      </c>
      <c r="BH72" s="379" t="s">
        <v>275</v>
      </c>
      <c r="BI72" s="379" t="s">
        <v>276</v>
      </c>
      <c r="BJ72" s="379" t="s">
        <v>125</v>
      </c>
      <c r="BK72" s="382" t="s">
        <v>277</v>
      </c>
      <c r="BL72" s="385" t="s">
        <v>125</v>
      </c>
      <c r="BM72" s="382" t="s">
        <v>278</v>
      </c>
      <c r="BN72" s="22"/>
      <c r="BO72" s="22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19</v>
      </c>
      <c r="B73" s="6" t="s">
        <v>9</v>
      </c>
      <c r="C73" s="334" t="s">
        <v>124</v>
      </c>
      <c r="D73" s="374" t="s">
        <v>105</v>
      </c>
      <c r="E73" s="377" t="s">
        <v>105</v>
      </c>
      <c r="F73" s="377" t="s">
        <v>105</v>
      </c>
      <c r="G73" s="377" t="s">
        <v>105</v>
      </c>
      <c r="H73" s="380" t="s">
        <v>105</v>
      </c>
      <c r="I73" s="383" t="s">
        <v>105</v>
      </c>
      <c r="J73" s="377" t="s">
        <v>105</v>
      </c>
      <c r="K73" s="377" t="s">
        <v>105</v>
      </c>
      <c r="L73" s="377" t="s">
        <v>105</v>
      </c>
      <c r="M73" s="380" t="s">
        <v>105</v>
      </c>
      <c r="N73" s="383" t="s">
        <v>105</v>
      </c>
      <c r="O73" s="377" t="s">
        <v>105</v>
      </c>
      <c r="P73" s="377" t="s">
        <v>105</v>
      </c>
      <c r="Q73" s="377" t="s">
        <v>105</v>
      </c>
      <c r="R73" s="380" t="s">
        <v>105</v>
      </c>
      <c r="S73" s="383" t="s">
        <v>105</v>
      </c>
      <c r="T73" s="377" t="s">
        <v>105</v>
      </c>
      <c r="U73" s="377" t="s">
        <v>105</v>
      </c>
      <c r="V73" s="377" t="s">
        <v>105</v>
      </c>
      <c r="W73" s="380" t="s">
        <v>105</v>
      </c>
      <c r="X73" s="383" t="s">
        <v>105</v>
      </c>
      <c r="Y73" s="377" t="s">
        <v>105</v>
      </c>
      <c r="Z73" s="377" t="s">
        <v>105</v>
      </c>
      <c r="AA73" s="377" t="s">
        <v>105</v>
      </c>
      <c r="AB73" s="380" t="s">
        <v>105</v>
      </c>
      <c r="AC73" s="383" t="s">
        <v>105</v>
      </c>
      <c r="AD73" s="377" t="s">
        <v>105</v>
      </c>
      <c r="AE73" s="377" t="s">
        <v>105</v>
      </c>
      <c r="AF73" s="377" t="s">
        <v>105</v>
      </c>
      <c r="AG73" s="380" t="s">
        <v>211</v>
      </c>
      <c r="AH73" s="383" t="s">
        <v>222</v>
      </c>
      <c r="AI73" s="377" t="s">
        <v>125</v>
      </c>
      <c r="AJ73" s="377" t="s">
        <v>125</v>
      </c>
      <c r="AK73" s="377" t="s">
        <v>125</v>
      </c>
      <c r="AL73" s="380" t="s">
        <v>125</v>
      </c>
      <c r="AM73" s="383" t="s">
        <v>105</v>
      </c>
      <c r="AN73" s="377" t="s">
        <v>105</v>
      </c>
      <c r="AO73" s="377" t="s">
        <v>105</v>
      </c>
      <c r="AP73" s="377" t="s">
        <v>105</v>
      </c>
      <c r="AQ73" s="380" t="s">
        <v>105</v>
      </c>
      <c r="AR73" s="383" t="s">
        <v>105</v>
      </c>
      <c r="AS73" s="377" t="s">
        <v>105</v>
      </c>
      <c r="AT73" s="377" t="s">
        <v>105</v>
      </c>
      <c r="AU73" s="377" t="s">
        <v>105</v>
      </c>
      <c r="AV73" s="380" t="s">
        <v>105</v>
      </c>
      <c r="AW73" s="383" t="s">
        <v>105</v>
      </c>
      <c r="AX73" s="377" t="s">
        <v>105</v>
      </c>
      <c r="AY73" s="377" t="s">
        <v>105</v>
      </c>
      <c r="AZ73" s="377" t="s">
        <v>105</v>
      </c>
      <c r="BA73" s="380" t="s">
        <v>105</v>
      </c>
      <c r="BB73" s="383" t="s">
        <v>105</v>
      </c>
      <c r="BC73" s="377" t="s">
        <v>105</v>
      </c>
      <c r="BD73" s="377" t="s">
        <v>105</v>
      </c>
      <c r="BE73" s="377" t="s">
        <v>105</v>
      </c>
      <c r="BF73" s="380" t="s">
        <v>105</v>
      </c>
      <c r="BG73" s="383" t="s">
        <v>105</v>
      </c>
      <c r="BH73" s="377" t="s">
        <v>105</v>
      </c>
      <c r="BI73" s="377" t="s">
        <v>105</v>
      </c>
      <c r="BJ73" s="377" t="s">
        <v>105</v>
      </c>
      <c r="BK73" s="380" t="s">
        <v>105</v>
      </c>
      <c r="BL73" s="383" t="s">
        <v>105</v>
      </c>
      <c r="BM73" s="380" t="s">
        <v>105</v>
      </c>
      <c r="BN73" s="22"/>
      <c r="BO73" s="22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65" t="s">
        <v>11</v>
      </c>
      <c r="B74" s="7" t="s">
        <v>12</v>
      </c>
      <c r="C74" s="335"/>
      <c r="D74" s="375" t="s">
        <v>105</v>
      </c>
      <c r="E74" s="378" t="s">
        <v>105</v>
      </c>
      <c r="F74" s="378" t="s">
        <v>105</v>
      </c>
      <c r="G74" s="378" t="s">
        <v>105</v>
      </c>
      <c r="H74" s="381" t="s">
        <v>105</v>
      </c>
      <c r="I74" s="384" t="s">
        <v>105</v>
      </c>
      <c r="J74" s="378" t="s">
        <v>105</v>
      </c>
      <c r="K74" s="378" t="s">
        <v>105</v>
      </c>
      <c r="L74" s="378" t="s">
        <v>105</v>
      </c>
      <c r="M74" s="381" t="s">
        <v>105</v>
      </c>
      <c r="N74" s="384" t="s">
        <v>105</v>
      </c>
      <c r="O74" s="378" t="s">
        <v>105</v>
      </c>
      <c r="P74" s="378" t="s">
        <v>105</v>
      </c>
      <c r="Q74" s="378" t="s">
        <v>105</v>
      </c>
      <c r="R74" s="381" t="s">
        <v>105</v>
      </c>
      <c r="S74" s="384" t="s">
        <v>105</v>
      </c>
      <c r="T74" s="378" t="s">
        <v>105</v>
      </c>
      <c r="U74" s="378" t="s">
        <v>105</v>
      </c>
      <c r="V74" s="378" t="s">
        <v>105</v>
      </c>
      <c r="W74" s="381" t="s">
        <v>105</v>
      </c>
      <c r="X74" s="384" t="s">
        <v>105</v>
      </c>
      <c r="Y74" s="378" t="s">
        <v>105</v>
      </c>
      <c r="Z74" s="378" t="s">
        <v>105</v>
      </c>
      <c r="AA74" s="378" t="s">
        <v>105</v>
      </c>
      <c r="AB74" s="381" t="s">
        <v>105</v>
      </c>
      <c r="AC74" s="384" t="s">
        <v>105</v>
      </c>
      <c r="AD74" s="378" t="s">
        <v>105</v>
      </c>
      <c r="AE74" s="378" t="s">
        <v>105</v>
      </c>
      <c r="AF74" s="378" t="s">
        <v>105</v>
      </c>
      <c r="AG74" s="381" t="s">
        <v>211</v>
      </c>
      <c r="AH74" s="384" t="s">
        <v>222</v>
      </c>
      <c r="AI74" s="378" t="s">
        <v>125</v>
      </c>
      <c r="AJ74" s="378" t="s">
        <v>125</v>
      </c>
      <c r="AK74" s="378" t="s">
        <v>125</v>
      </c>
      <c r="AL74" s="381" t="s">
        <v>125</v>
      </c>
      <c r="AM74" s="384" t="s">
        <v>105</v>
      </c>
      <c r="AN74" s="378" t="s">
        <v>105</v>
      </c>
      <c r="AO74" s="378" t="s">
        <v>105</v>
      </c>
      <c r="AP74" s="378" t="s">
        <v>105</v>
      </c>
      <c r="AQ74" s="381" t="s">
        <v>105</v>
      </c>
      <c r="AR74" s="384" t="s">
        <v>105</v>
      </c>
      <c r="AS74" s="378" t="s">
        <v>105</v>
      </c>
      <c r="AT74" s="378" t="s">
        <v>105</v>
      </c>
      <c r="AU74" s="378" t="s">
        <v>105</v>
      </c>
      <c r="AV74" s="381" t="s">
        <v>105</v>
      </c>
      <c r="AW74" s="384" t="s">
        <v>105</v>
      </c>
      <c r="AX74" s="378" t="s">
        <v>105</v>
      </c>
      <c r="AY74" s="378" t="s">
        <v>105</v>
      </c>
      <c r="AZ74" s="378" t="s">
        <v>105</v>
      </c>
      <c r="BA74" s="381" t="s">
        <v>105</v>
      </c>
      <c r="BB74" s="384" t="s">
        <v>105</v>
      </c>
      <c r="BC74" s="378" t="s">
        <v>105</v>
      </c>
      <c r="BD74" s="378" t="s">
        <v>105</v>
      </c>
      <c r="BE74" s="378" t="s">
        <v>105</v>
      </c>
      <c r="BF74" s="381" t="s">
        <v>105</v>
      </c>
      <c r="BG74" s="384" t="s">
        <v>105</v>
      </c>
      <c r="BH74" s="378" t="s">
        <v>105</v>
      </c>
      <c r="BI74" s="378" t="s">
        <v>105</v>
      </c>
      <c r="BJ74" s="378" t="s">
        <v>105</v>
      </c>
      <c r="BK74" s="381" t="s">
        <v>105</v>
      </c>
      <c r="BL74" s="384" t="s">
        <v>105</v>
      </c>
      <c r="BM74" s="381" t="s">
        <v>105</v>
      </c>
      <c r="BN74" s="22"/>
      <c r="BO74" s="22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65"/>
      <c r="B75" s="8" t="s">
        <v>39</v>
      </c>
      <c r="C75" s="335"/>
      <c r="D75" s="376" t="s">
        <v>105</v>
      </c>
      <c r="E75" s="379" t="s">
        <v>105</v>
      </c>
      <c r="F75" s="379" t="s">
        <v>105</v>
      </c>
      <c r="G75" s="379" t="s">
        <v>105</v>
      </c>
      <c r="H75" s="382" t="s">
        <v>105</v>
      </c>
      <c r="I75" s="385" t="s">
        <v>105</v>
      </c>
      <c r="J75" s="379" t="s">
        <v>105</v>
      </c>
      <c r="K75" s="379" t="s">
        <v>105</v>
      </c>
      <c r="L75" s="379" t="s">
        <v>105</v>
      </c>
      <c r="M75" s="382" t="s">
        <v>105</v>
      </c>
      <c r="N75" s="385" t="s">
        <v>105</v>
      </c>
      <c r="O75" s="379" t="s">
        <v>105</v>
      </c>
      <c r="P75" s="379" t="s">
        <v>105</v>
      </c>
      <c r="Q75" s="379" t="s">
        <v>105</v>
      </c>
      <c r="R75" s="382" t="s">
        <v>105</v>
      </c>
      <c r="S75" s="385" t="s">
        <v>105</v>
      </c>
      <c r="T75" s="379" t="s">
        <v>105</v>
      </c>
      <c r="U75" s="379" t="s">
        <v>105</v>
      </c>
      <c r="V75" s="379" t="s">
        <v>105</v>
      </c>
      <c r="W75" s="382" t="s">
        <v>105</v>
      </c>
      <c r="X75" s="385" t="s">
        <v>105</v>
      </c>
      <c r="Y75" s="379" t="s">
        <v>105</v>
      </c>
      <c r="Z75" s="379" t="s">
        <v>105</v>
      </c>
      <c r="AA75" s="379" t="s">
        <v>105</v>
      </c>
      <c r="AB75" s="382" t="s">
        <v>105</v>
      </c>
      <c r="AC75" s="385" t="s">
        <v>105</v>
      </c>
      <c r="AD75" s="379" t="s">
        <v>105</v>
      </c>
      <c r="AE75" s="379" t="s">
        <v>105</v>
      </c>
      <c r="AF75" s="379" t="s">
        <v>105</v>
      </c>
      <c r="AG75" s="382" t="s">
        <v>211</v>
      </c>
      <c r="AH75" s="385" t="s">
        <v>222</v>
      </c>
      <c r="AI75" s="379" t="s">
        <v>125</v>
      </c>
      <c r="AJ75" s="379" t="s">
        <v>125</v>
      </c>
      <c r="AK75" s="379" t="s">
        <v>125</v>
      </c>
      <c r="AL75" s="382" t="s">
        <v>125</v>
      </c>
      <c r="AM75" s="385" t="s">
        <v>105</v>
      </c>
      <c r="AN75" s="379" t="s">
        <v>105</v>
      </c>
      <c r="AO75" s="379" t="s">
        <v>105</v>
      </c>
      <c r="AP75" s="379" t="s">
        <v>105</v>
      </c>
      <c r="AQ75" s="382" t="s">
        <v>105</v>
      </c>
      <c r="AR75" s="385" t="s">
        <v>105</v>
      </c>
      <c r="AS75" s="379" t="s">
        <v>105</v>
      </c>
      <c r="AT75" s="379" t="s">
        <v>105</v>
      </c>
      <c r="AU75" s="379" t="s">
        <v>105</v>
      </c>
      <c r="AV75" s="382" t="s">
        <v>105</v>
      </c>
      <c r="AW75" s="385" t="s">
        <v>105</v>
      </c>
      <c r="AX75" s="379" t="s">
        <v>105</v>
      </c>
      <c r="AY75" s="379" t="s">
        <v>105</v>
      </c>
      <c r="AZ75" s="379" t="s">
        <v>105</v>
      </c>
      <c r="BA75" s="382" t="s">
        <v>105</v>
      </c>
      <c r="BB75" s="385" t="s">
        <v>105</v>
      </c>
      <c r="BC75" s="379" t="s">
        <v>105</v>
      </c>
      <c r="BD75" s="379" t="s">
        <v>105</v>
      </c>
      <c r="BE75" s="379" t="s">
        <v>105</v>
      </c>
      <c r="BF75" s="382" t="s">
        <v>105</v>
      </c>
      <c r="BG75" s="385" t="s">
        <v>105</v>
      </c>
      <c r="BH75" s="379" t="s">
        <v>105</v>
      </c>
      <c r="BI75" s="379" t="s">
        <v>105</v>
      </c>
      <c r="BJ75" s="379" t="s">
        <v>105</v>
      </c>
      <c r="BK75" s="382" t="s">
        <v>105</v>
      </c>
      <c r="BL75" s="385" t="s">
        <v>105</v>
      </c>
      <c r="BM75" s="382" t="s">
        <v>105</v>
      </c>
      <c r="BN75" s="22"/>
      <c r="BO75" s="22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19</v>
      </c>
      <c r="B76" s="6" t="s">
        <v>15</v>
      </c>
      <c r="C76" s="334" t="s">
        <v>124</v>
      </c>
      <c r="D76" s="374" t="s">
        <v>105</v>
      </c>
      <c r="E76" s="377" t="s">
        <v>105</v>
      </c>
      <c r="F76" s="377" t="s">
        <v>105</v>
      </c>
      <c r="G76" s="377" t="s">
        <v>105</v>
      </c>
      <c r="H76" s="380" t="s">
        <v>105</v>
      </c>
      <c r="I76" s="383" t="s">
        <v>105</v>
      </c>
      <c r="J76" s="377" t="s">
        <v>105</v>
      </c>
      <c r="K76" s="377" t="s">
        <v>105</v>
      </c>
      <c r="L76" s="377" t="s">
        <v>105</v>
      </c>
      <c r="M76" s="380" t="s">
        <v>105</v>
      </c>
      <c r="N76" s="383" t="s">
        <v>105</v>
      </c>
      <c r="O76" s="377" t="s">
        <v>105</v>
      </c>
      <c r="P76" s="377" t="s">
        <v>105</v>
      </c>
      <c r="Q76" s="377" t="s">
        <v>105</v>
      </c>
      <c r="R76" s="380" t="s">
        <v>105</v>
      </c>
      <c r="S76" s="383" t="s">
        <v>105</v>
      </c>
      <c r="T76" s="377" t="s">
        <v>105</v>
      </c>
      <c r="U76" s="377" t="s">
        <v>105</v>
      </c>
      <c r="V76" s="377" t="s">
        <v>105</v>
      </c>
      <c r="W76" s="380" t="s">
        <v>105</v>
      </c>
      <c r="X76" s="383" t="s">
        <v>105</v>
      </c>
      <c r="Y76" s="377" t="s">
        <v>105</v>
      </c>
      <c r="Z76" s="377" t="s">
        <v>105</v>
      </c>
      <c r="AA76" s="377" t="s">
        <v>105</v>
      </c>
      <c r="AB76" s="380" t="s">
        <v>105</v>
      </c>
      <c r="AC76" s="383" t="s">
        <v>105</v>
      </c>
      <c r="AD76" s="377" t="s">
        <v>105</v>
      </c>
      <c r="AE76" s="377" t="s">
        <v>105</v>
      </c>
      <c r="AF76" s="377" t="s">
        <v>105</v>
      </c>
      <c r="AG76" s="380" t="s">
        <v>125</v>
      </c>
      <c r="AH76" s="383" t="s">
        <v>279</v>
      </c>
      <c r="AI76" s="377" t="s">
        <v>125</v>
      </c>
      <c r="AJ76" s="377" t="s">
        <v>280</v>
      </c>
      <c r="AK76" s="377" t="s">
        <v>194</v>
      </c>
      <c r="AL76" s="380" t="s">
        <v>125</v>
      </c>
      <c r="AM76" s="383" t="s">
        <v>105</v>
      </c>
      <c r="AN76" s="377" t="s">
        <v>105</v>
      </c>
      <c r="AO76" s="377" t="s">
        <v>105</v>
      </c>
      <c r="AP76" s="377" t="s">
        <v>105</v>
      </c>
      <c r="AQ76" s="380" t="s">
        <v>105</v>
      </c>
      <c r="AR76" s="383" t="s">
        <v>105</v>
      </c>
      <c r="AS76" s="377" t="s">
        <v>105</v>
      </c>
      <c r="AT76" s="377" t="s">
        <v>105</v>
      </c>
      <c r="AU76" s="377" t="s">
        <v>105</v>
      </c>
      <c r="AV76" s="380" t="s">
        <v>105</v>
      </c>
      <c r="AW76" s="383" t="s">
        <v>105</v>
      </c>
      <c r="AX76" s="377" t="s">
        <v>105</v>
      </c>
      <c r="AY76" s="377" t="s">
        <v>105</v>
      </c>
      <c r="AZ76" s="377" t="s">
        <v>105</v>
      </c>
      <c r="BA76" s="380" t="s">
        <v>105</v>
      </c>
      <c r="BB76" s="383" t="s">
        <v>105</v>
      </c>
      <c r="BC76" s="377" t="s">
        <v>105</v>
      </c>
      <c r="BD76" s="377" t="s">
        <v>105</v>
      </c>
      <c r="BE76" s="377" t="s">
        <v>105</v>
      </c>
      <c r="BF76" s="380" t="s">
        <v>105</v>
      </c>
      <c r="BG76" s="383" t="s">
        <v>105</v>
      </c>
      <c r="BH76" s="377" t="s">
        <v>105</v>
      </c>
      <c r="BI76" s="377" t="s">
        <v>105</v>
      </c>
      <c r="BJ76" s="377" t="s">
        <v>105</v>
      </c>
      <c r="BK76" s="380" t="s">
        <v>105</v>
      </c>
      <c r="BL76" s="383" t="s">
        <v>105</v>
      </c>
      <c r="BM76" s="380" t="s">
        <v>105</v>
      </c>
      <c r="BN76" s="22"/>
      <c r="BO76" s="22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65" t="s">
        <v>11</v>
      </c>
      <c r="B77" s="7" t="s">
        <v>12</v>
      </c>
      <c r="C77" s="335"/>
      <c r="D77" s="375" t="s">
        <v>105</v>
      </c>
      <c r="E77" s="378" t="s">
        <v>105</v>
      </c>
      <c r="F77" s="378" t="s">
        <v>105</v>
      </c>
      <c r="G77" s="378" t="s">
        <v>105</v>
      </c>
      <c r="H77" s="381" t="s">
        <v>105</v>
      </c>
      <c r="I77" s="384" t="s">
        <v>105</v>
      </c>
      <c r="J77" s="378" t="s">
        <v>105</v>
      </c>
      <c r="K77" s="378" t="s">
        <v>105</v>
      </c>
      <c r="L77" s="378" t="s">
        <v>105</v>
      </c>
      <c r="M77" s="381" t="s">
        <v>105</v>
      </c>
      <c r="N77" s="384" t="s">
        <v>105</v>
      </c>
      <c r="O77" s="378" t="s">
        <v>105</v>
      </c>
      <c r="P77" s="378" t="s">
        <v>105</v>
      </c>
      <c r="Q77" s="378" t="s">
        <v>105</v>
      </c>
      <c r="R77" s="381" t="s">
        <v>105</v>
      </c>
      <c r="S77" s="384" t="s">
        <v>105</v>
      </c>
      <c r="T77" s="378" t="s">
        <v>105</v>
      </c>
      <c r="U77" s="378" t="s">
        <v>105</v>
      </c>
      <c r="V77" s="378" t="s">
        <v>105</v>
      </c>
      <c r="W77" s="381" t="s">
        <v>105</v>
      </c>
      <c r="X77" s="384" t="s">
        <v>105</v>
      </c>
      <c r="Y77" s="378" t="s">
        <v>105</v>
      </c>
      <c r="Z77" s="378" t="s">
        <v>105</v>
      </c>
      <c r="AA77" s="378" t="s">
        <v>105</v>
      </c>
      <c r="AB77" s="381" t="s">
        <v>105</v>
      </c>
      <c r="AC77" s="384" t="s">
        <v>105</v>
      </c>
      <c r="AD77" s="378" t="s">
        <v>105</v>
      </c>
      <c r="AE77" s="378" t="s">
        <v>105</v>
      </c>
      <c r="AF77" s="378" t="s">
        <v>105</v>
      </c>
      <c r="AG77" s="381" t="s">
        <v>125</v>
      </c>
      <c r="AH77" s="384" t="s">
        <v>279</v>
      </c>
      <c r="AI77" s="378" t="s">
        <v>125</v>
      </c>
      <c r="AJ77" s="378" t="s">
        <v>280</v>
      </c>
      <c r="AK77" s="378" t="s">
        <v>194</v>
      </c>
      <c r="AL77" s="381" t="s">
        <v>125</v>
      </c>
      <c r="AM77" s="384" t="s">
        <v>105</v>
      </c>
      <c r="AN77" s="378" t="s">
        <v>105</v>
      </c>
      <c r="AO77" s="378" t="s">
        <v>105</v>
      </c>
      <c r="AP77" s="378" t="s">
        <v>105</v>
      </c>
      <c r="AQ77" s="381" t="s">
        <v>105</v>
      </c>
      <c r="AR77" s="384" t="s">
        <v>105</v>
      </c>
      <c r="AS77" s="378" t="s">
        <v>105</v>
      </c>
      <c r="AT77" s="378" t="s">
        <v>105</v>
      </c>
      <c r="AU77" s="378" t="s">
        <v>105</v>
      </c>
      <c r="AV77" s="381" t="s">
        <v>105</v>
      </c>
      <c r="AW77" s="384" t="s">
        <v>105</v>
      </c>
      <c r="AX77" s="378" t="s">
        <v>105</v>
      </c>
      <c r="AY77" s="378" t="s">
        <v>105</v>
      </c>
      <c r="AZ77" s="378" t="s">
        <v>105</v>
      </c>
      <c r="BA77" s="381" t="s">
        <v>105</v>
      </c>
      <c r="BB77" s="384" t="s">
        <v>105</v>
      </c>
      <c r="BC77" s="378" t="s">
        <v>105</v>
      </c>
      <c r="BD77" s="378" t="s">
        <v>105</v>
      </c>
      <c r="BE77" s="378" t="s">
        <v>105</v>
      </c>
      <c r="BF77" s="381" t="s">
        <v>105</v>
      </c>
      <c r="BG77" s="384" t="s">
        <v>105</v>
      </c>
      <c r="BH77" s="378" t="s">
        <v>105</v>
      </c>
      <c r="BI77" s="378" t="s">
        <v>105</v>
      </c>
      <c r="BJ77" s="378" t="s">
        <v>105</v>
      </c>
      <c r="BK77" s="381" t="s">
        <v>105</v>
      </c>
      <c r="BL77" s="384" t="s">
        <v>105</v>
      </c>
      <c r="BM77" s="381" t="s">
        <v>105</v>
      </c>
      <c r="BN77" s="22"/>
      <c r="BO77" s="22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65"/>
      <c r="B78" s="8" t="s">
        <v>39</v>
      </c>
      <c r="C78" s="335"/>
      <c r="D78" s="376" t="s">
        <v>105</v>
      </c>
      <c r="E78" s="379" t="s">
        <v>105</v>
      </c>
      <c r="F78" s="379" t="s">
        <v>105</v>
      </c>
      <c r="G78" s="379" t="s">
        <v>105</v>
      </c>
      <c r="H78" s="382" t="s">
        <v>105</v>
      </c>
      <c r="I78" s="385" t="s">
        <v>105</v>
      </c>
      <c r="J78" s="379" t="s">
        <v>105</v>
      </c>
      <c r="K78" s="379" t="s">
        <v>105</v>
      </c>
      <c r="L78" s="379" t="s">
        <v>105</v>
      </c>
      <c r="M78" s="382" t="s">
        <v>105</v>
      </c>
      <c r="N78" s="385" t="s">
        <v>105</v>
      </c>
      <c r="O78" s="379" t="s">
        <v>105</v>
      </c>
      <c r="P78" s="379" t="s">
        <v>105</v>
      </c>
      <c r="Q78" s="379" t="s">
        <v>105</v>
      </c>
      <c r="R78" s="382" t="s">
        <v>105</v>
      </c>
      <c r="S78" s="385" t="s">
        <v>105</v>
      </c>
      <c r="T78" s="379" t="s">
        <v>105</v>
      </c>
      <c r="U78" s="379" t="s">
        <v>105</v>
      </c>
      <c r="V78" s="379" t="s">
        <v>105</v>
      </c>
      <c r="W78" s="382" t="s">
        <v>105</v>
      </c>
      <c r="X78" s="385" t="s">
        <v>105</v>
      </c>
      <c r="Y78" s="379" t="s">
        <v>105</v>
      </c>
      <c r="Z78" s="379" t="s">
        <v>105</v>
      </c>
      <c r="AA78" s="379" t="s">
        <v>105</v>
      </c>
      <c r="AB78" s="382" t="s">
        <v>105</v>
      </c>
      <c r="AC78" s="385" t="s">
        <v>105</v>
      </c>
      <c r="AD78" s="379" t="s">
        <v>105</v>
      </c>
      <c r="AE78" s="379" t="s">
        <v>105</v>
      </c>
      <c r="AF78" s="379" t="s">
        <v>105</v>
      </c>
      <c r="AG78" s="382" t="s">
        <v>125</v>
      </c>
      <c r="AH78" s="385" t="s">
        <v>279</v>
      </c>
      <c r="AI78" s="379" t="s">
        <v>125</v>
      </c>
      <c r="AJ78" s="379" t="s">
        <v>280</v>
      </c>
      <c r="AK78" s="379" t="s">
        <v>194</v>
      </c>
      <c r="AL78" s="382" t="s">
        <v>125</v>
      </c>
      <c r="AM78" s="385" t="s">
        <v>105</v>
      </c>
      <c r="AN78" s="379" t="s">
        <v>105</v>
      </c>
      <c r="AO78" s="379" t="s">
        <v>105</v>
      </c>
      <c r="AP78" s="379" t="s">
        <v>105</v>
      </c>
      <c r="AQ78" s="382" t="s">
        <v>105</v>
      </c>
      <c r="AR78" s="385" t="s">
        <v>105</v>
      </c>
      <c r="AS78" s="379" t="s">
        <v>105</v>
      </c>
      <c r="AT78" s="379" t="s">
        <v>105</v>
      </c>
      <c r="AU78" s="379" t="s">
        <v>105</v>
      </c>
      <c r="AV78" s="382" t="s">
        <v>105</v>
      </c>
      <c r="AW78" s="385" t="s">
        <v>105</v>
      </c>
      <c r="AX78" s="379" t="s">
        <v>105</v>
      </c>
      <c r="AY78" s="379" t="s">
        <v>105</v>
      </c>
      <c r="AZ78" s="379" t="s">
        <v>105</v>
      </c>
      <c r="BA78" s="382" t="s">
        <v>105</v>
      </c>
      <c r="BB78" s="385" t="s">
        <v>105</v>
      </c>
      <c r="BC78" s="379" t="s">
        <v>105</v>
      </c>
      <c r="BD78" s="379" t="s">
        <v>105</v>
      </c>
      <c r="BE78" s="379" t="s">
        <v>105</v>
      </c>
      <c r="BF78" s="382" t="s">
        <v>105</v>
      </c>
      <c r="BG78" s="385" t="s">
        <v>105</v>
      </c>
      <c r="BH78" s="379" t="s">
        <v>105</v>
      </c>
      <c r="BI78" s="379" t="s">
        <v>105</v>
      </c>
      <c r="BJ78" s="379" t="s">
        <v>105</v>
      </c>
      <c r="BK78" s="382" t="s">
        <v>105</v>
      </c>
      <c r="BL78" s="385" t="s">
        <v>105</v>
      </c>
      <c r="BM78" s="382" t="s">
        <v>105</v>
      </c>
      <c r="BN78" s="22"/>
      <c r="BO78" s="22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19</v>
      </c>
      <c r="B79" s="6"/>
      <c r="C79" s="334" t="s">
        <v>124</v>
      </c>
      <c r="D79" s="374" t="s">
        <v>125</v>
      </c>
      <c r="E79" s="377" t="s">
        <v>281</v>
      </c>
      <c r="F79" s="377" t="s">
        <v>195</v>
      </c>
      <c r="G79" s="377" t="s">
        <v>125</v>
      </c>
      <c r="H79" s="380" t="s">
        <v>125</v>
      </c>
      <c r="I79" s="383" t="s">
        <v>125</v>
      </c>
      <c r="J79" s="377" t="s">
        <v>125</v>
      </c>
      <c r="K79" s="377" t="s">
        <v>125</v>
      </c>
      <c r="L79" s="377" t="s">
        <v>125</v>
      </c>
      <c r="M79" s="380" t="s">
        <v>125</v>
      </c>
      <c r="N79" s="383" t="s">
        <v>125</v>
      </c>
      <c r="O79" s="377" t="s">
        <v>125</v>
      </c>
      <c r="P79" s="377" t="s">
        <v>125</v>
      </c>
      <c r="Q79" s="377" t="s">
        <v>125</v>
      </c>
      <c r="R79" s="380" t="s">
        <v>125</v>
      </c>
      <c r="S79" s="383" t="s">
        <v>125</v>
      </c>
      <c r="T79" s="377" t="s">
        <v>125</v>
      </c>
      <c r="U79" s="377" t="s">
        <v>125</v>
      </c>
      <c r="V79" s="377" t="s">
        <v>125</v>
      </c>
      <c r="W79" s="380" t="s">
        <v>125</v>
      </c>
      <c r="X79" s="383" t="s">
        <v>282</v>
      </c>
      <c r="Y79" s="377" t="s">
        <v>125</v>
      </c>
      <c r="Z79" s="377" t="s">
        <v>125</v>
      </c>
      <c r="AA79" s="377" t="s">
        <v>125</v>
      </c>
      <c r="AB79" s="380" t="s">
        <v>125</v>
      </c>
      <c r="AC79" s="383" t="s">
        <v>125</v>
      </c>
      <c r="AD79" s="377" t="s">
        <v>125</v>
      </c>
      <c r="AE79" s="377" t="s">
        <v>125</v>
      </c>
      <c r="AF79" s="377" t="s">
        <v>125</v>
      </c>
      <c r="AG79" s="380" t="s">
        <v>125</v>
      </c>
      <c r="AH79" s="383" t="s">
        <v>125</v>
      </c>
      <c r="AI79" s="377" t="s">
        <v>125</v>
      </c>
      <c r="AJ79" s="377" t="s">
        <v>125</v>
      </c>
      <c r="AK79" s="377" t="s">
        <v>283</v>
      </c>
      <c r="AL79" s="380" t="s">
        <v>198</v>
      </c>
      <c r="AM79" s="383" t="s">
        <v>159</v>
      </c>
      <c r="AN79" s="377" t="s">
        <v>125</v>
      </c>
      <c r="AO79" s="377" t="s">
        <v>125</v>
      </c>
      <c r="AP79" s="377" t="s">
        <v>105</v>
      </c>
      <c r="AQ79" s="380" t="s">
        <v>226</v>
      </c>
      <c r="AR79" s="383" t="s">
        <v>125</v>
      </c>
      <c r="AS79" s="377" t="s">
        <v>125</v>
      </c>
      <c r="AT79" s="377" t="s">
        <v>125</v>
      </c>
      <c r="AU79" s="377" t="s">
        <v>125</v>
      </c>
      <c r="AV79" s="380" t="s">
        <v>149</v>
      </c>
      <c r="AW79" s="383" t="s">
        <v>125</v>
      </c>
      <c r="AX79" s="377" t="s">
        <v>125</v>
      </c>
      <c r="AY79" s="377" t="s">
        <v>105</v>
      </c>
      <c r="AZ79" s="377" t="s">
        <v>125</v>
      </c>
      <c r="BA79" s="380" t="s">
        <v>125</v>
      </c>
      <c r="BB79" s="383" t="s">
        <v>125</v>
      </c>
      <c r="BC79" s="377" t="s">
        <v>261</v>
      </c>
      <c r="BD79" s="377" t="s">
        <v>249</v>
      </c>
      <c r="BE79" s="377" t="s">
        <v>105</v>
      </c>
      <c r="BF79" s="380" t="s">
        <v>284</v>
      </c>
      <c r="BG79" s="383" t="s">
        <v>285</v>
      </c>
      <c r="BH79" s="377" t="s">
        <v>125</v>
      </c>
      <c r="BI79" s="377" t="s">
        <v>125</v>
      </c>
      <c r="BJ79" s="377" t="s">
        <v>286</v>
      </c>
      <c r="BK79" s="380" t="s">
        <v>125</v>
      </c>
      <c r="BL79" s="389" t="s">
        <v>287</v>
      </c>
      <c r="BM79" s="380" t="s">
        <v>125</v>
      </c>
      <c r="BN79" s="22"/>
      <c r="BO79" s="22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65" t="s">
        <v>11</v>
      </c>
      <c r="B80" s="7" t="s">
        <v>40</v>
      </c>
      <c r="C80" s="335"/>
      <c r="D80" s="375" t="s">
        <v>125</v>
      </c>
      <c r="E80" s="378" t="s">
        <v>281</v>
      </c>
      <c r="F80" s="378" t="s">
        <v>195</v>
      </c>
      <c r="G80" s="378" t="s">
        <v>125</v>
      </c>
      <c r="H80" s="381" t="s">
        <v>125</v>
      </c>
      <c r="I80" s="384" t="s">
        <v>125</v>
      </c>
      <c r="J80" s="378" t="s">
        <v>125</v>
      </c>
      <c r="K80" s="378" t="s">
        <v>125</v>
      </c>
      <c r="L80" s="378" t="s">
        <v>125</v>
      </c>
      <c r="M80" s="381" t="s">
        <v>125</v>
      </c>
      <c r="N80" s="384" t="s">
        <v>125</v>
      </c>
      <c r="O80" s="378" t="s">
        <v>125</v>
      </c>
      <c r="P80" s="378" t="s">
        <v>125</v>
      </c>
      <c r="Q80" s="378" t="s">
        <v>125</v>
      </c>
      <c r="R80" s="381" t="s">
        <v>125</v>
      </c>
      <c r="S80" s="384" t="s">
        <v>125</v>
      </c>
      <c r="T80" s="378" t="s">
        <v>125</v>
      </c>
      <c r="U80" s="378" t="s">
        <v>125</v>
      </c>
      <c r="V80" s="378" t="s">
        <v>125</v>
      </c>
      <c r="W80" s="381" t="s">
        <v>125</v>
      </c>
      <c r="X80" s="384" t="s">
        <v>282</v>
      </c>
      <c r="Y80" s="378" t="s">
        <v>125</v>
      </c>
      <c r="Z80" s="378" t="s">
        <v>125</v>
      </c>
      <c r="AA80" s="378" t="s">
        <v>125</v>
      </c>
      <c r="AB80" s="381" t="s">
        <v>125</v>
      </c>
      <c r="AC80" s="384" t="s">
        <v>125</v>
      </c>
      <c r="AD80" s="378" t="s">
        <v>125</v>
      </c>
      <c r="AE80" s="378" t="s">
        <v>125</v>
      </c>
      <c r="AF80" s="378" t="s">
        <v>125</v>
      </c>
      <c r="AG80" s="381" t="s">
        <v>125</v>
      </c>
      <c r="AH80" s="384" t="s">
        <v>125</v>
      </c>
      <c r="AI80" s="378" t="s">
        <v>125</v>
      </c>
      <c r="AJ80" s="378" t="s">
        <v>125</v>
      </c>
      <c r="AK80" s="378" t="s">
        <v>283</v>
      </c>
      <c r="AL80" s="381" t="s">
        <v>198</v>
      </c>
      <c r="AM80" s="384" t="s">
        <v>159</v>
      </c>
      <c r="AN80" s="378" t="s">
        <v>125</v>
      </c>
      <c r="AO80" s="378" t="s">
        <v>125</v>
      </c>
      <c r="AP80" s="378" t="s">
        <v>105</v>
      </c>
      <c r="AQ80" s="381" t="s">
        <v>226</v>
      </c>
      <c r="AR80" s="384" t="s">
        <v>125</v>
      </c>
      <c r="AS80" s="378" t="s">
        <v>125</v>
      </c>
      <c r="AT80" s="378" t="s">
        <v>125</v>
      </c>
      <c r="AU80" s="378" t="s">
        <v>125</v>
      </c>
      <c r="AV80" s="381" t="s">
        <v>149</v>
      </c>
      <c r="AW80" s="384" t="s">
        <v>125</v>
      </c>
      <c r="AX80" s="378" t="s">
        <v>125</v>
      </c>
      <c r="AY80" s="378" t="s">
        <v>105</v>
      </c>
      <c r="AZ80" s="378" t="s">
        <v>125</v>
      </c>
      <c r="BA80" s="381" t="s">
        <v>125</v>
      </c>
      <c r="BB80" s="384" t="s">
        <v>125</v>
      </c>
      <c r="BC80" s="378" t="s">
        <v>261</v>
      </c>
      <c r="BD80" s="378" t="s">
        <v>249</v>
      </c>
      <c r="BE80" s="378" t="s">
        <v>105</v>
      </c>
      <c r="BF80" s="381" t="s">
        <v>284</v>
      </c>
      <c r="BG80" s="384" t="s">
        <v>285</v>
      </c>
      <c r="BH80" s="378" t="s">
        <v>125</v>
      </c>
      <c r="BI80" s="378" t="s">
        <v>125</v>
      </c>
      <c r="BJ80" s="378" t="s">
        <v>286</v>
      </c>
      <c r="BK80" s="381" t="s">
        <v>125</v>
      </c>
      <c r="BL80" s="390" t="s">
        <v>287</v>
      </c>
      <c r="BM80" s="381" t="s">
        <v>125</v>
      </c>
      <c r="BN80" s="22"/>
      <c r="BO80" s="22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65"/>
      <c r="B81" s="8"/>
      <c r="C81" s="335"/>
      <c r="D81" s="376" t="s">
        <v>125</v>
      </c>
      <c r="E81" s="379" t="s">
        <v>281</v>
      </c>
      <c r="F81" s="379" t="s">
        <v>195</v>
      </c>
      <c r="G81" s="379" t="s">
        <v>125</v>
      </c>
      <c r="H81" s="382" t="s">
        <v>125</v>
      </c>
      <c r="I81" s="385" t="s">
        <v>125</v>
      </c>
      <c r="J81" s="379" t="s">
        <v>125</v>
      </c>
      <c r="K81" s="379" t="s">
        <v>125</v>
      </c>
      <c r="L81" s="379" t="s">
        <v>125</v>
      </c>
      <c r="M81" s="382" t="s">
        <v>125</v>
      </c>
      <c r="N81" s="385" t="s">
        <v>125</v>
      </c>
      <c r="O81" s="379" t="s">
        <v>125</v>
      </c>
      <c r="P81" s="379" t="s">
        <v>125</v>
      </c>
      <c r="Q81" s="379" t="s">
        <v>125</v>
      </c>
      <c r="R81" s="382" t="s">
        <v>125</v>
      </c>
      <c r="S81" s="385" t="s">
        <v>125</v>
      </c>
      <c r="T81" s="379" t="s">
        <v>125</v>
      </c>
      <c r="U81" s="379" t="s">
        <v>125</v>
      </c>
      <c r="V81" s="379" t="s">
        <v>125</v>
      </c>
      <c r="W81" s="382" t="s">
        <v>125</v>
      </c>
      <c r="X81" s="385" t="s">
        <v>282</v>
      </c>
      <c r="Y81" s="379" t="s">
        <v>125</v>
      </c>
      <c r="Z81" s="379" t="s">
        <v>125</v>
      </c>
      <c r="AA81" s="379" t="s">
        <v>125</v>
      </c>
      <c r="AB81" s="382" t="s">
        <v>125</v>
      </c>
      <c r="AC81" s="385" t="s">
        <v>125</v>
      </c>
      <c r="AD81" s="379" t="s">
        <v>125</v>
      </c>
      <c r="AE81" s="379" t="s">
        <v>125</v>
      </c>
      <c r="AF81" s="379" t="s">
        <v>125</v>
      </c>
      <c r="AG81" s="382" t="s">
        <v>125</v>
      </c>
      <c r="AH81" s="385" t="s">
        <v>125</v>
      </c>
      <c r="AI81" s="379" t="s">
        <v>125</v>
      </c>
      <c r="AJ81" s="379" t="s">
        <v>125</v>
      </c>
      <c r="AK81" s="379" t="s">
        <v>283</v>
      </c>
      <c r="AL81" s="382" t="s">
        <v>198</v>
      </c>
      <c r="AM81" s="385" t="s">
        <v>159</v>
      </c>
      <c r="AN81" s="379" t="s">
        <v>125</v>
      </c>
      <c r="AO81" s="379" t="s">
        <v>125</v>
      </c>
      <c r="AP81" s="379" t="s">
        <v>105</v>
      </c>
      <c r="AQ81" s="382" t="s">
        <v>226</v>
      </c>
      <c r="AR81" s="385" t="s">
        <v>125</v>
      </c>
      <c r="AS81" s="379" t="s">
        <v>125</v>
      </c>
      <c r="AT81" s="379" t="s">
        <v>125</v>
      </c>
      <c r="AU81" s="379" t="s">
        <v>125</v>
      </c>
      <c r="AV81" s="382" t="s">
        <v>149</v>
      </c>
      <c r="AW81" s="385" t="s">
        <v>125</v>
      </c>
      <c r="AX81" s="379" t="s">
        <v>125</v>
      </c>
      <c r="AY81" s="379" t="s">
        <v>105</v>
      </c>
      <c r="AZ81" s="379" t="s">
        <v>125</v>
      </c>
      <c r="BA81" s="382" t="s">
        <v>125</v>
      </c>
      <c r="BB81" s="385" t="s">
        <v>125</v>
      </c>
      <c r="BC81" s="379" t="s">
        <v>261</v>
      </c>
      <c r="BD81" s="379" t="s">
        <v>249</v>
      </c>
      <c r="BE81" s="379" t="s">
        <v>105</v>
      </c>
      <c r="BF81" s="382" t="s">
        <v>284</v>
      </c>
      <c r="BG81" s="385" t="s">
        <v>285</v>
      </c>
      <c r="BH81" s="379" t="s">
        <v>125</v>
      </c>
      <c r="BI81" s="379" t="s">
        <v>125</v>
      </c>
      <c r="BJ81" s="379" t="s">
        <v>286</v>
      </c>
      <c r="BK81" s="382" t="s">
        <v>125</v>
      </c>
      <c r="BL81" s="391" t="s">
        <v>287</v>
      </c>
      <c r="BM81" s="382" t="s">
        <v>125</v>
      </c>
      <c r="BN81" s="22"/>
      <c r="BO81" s="22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19</v>
      </c>
      <c r="B82" s="6" t="s">
        <v>17</v>
      </c>
      <c r="C82" s="334" t="s">
        <v>124</v>
      </c>
      <c r="D82" s="374" t="s">
        <v>105</v>
      </c>
      <c r="E82" s="377" t="s">
        <v>105</v>
      </c>
      <c r="F82" s="377" t="s">
        <v>105</v>
      </c>
      <c r="G82" s="377" t="s">
        <v>105</v>
      </c>
      <c r="H82" s="380" t="s">
        <v>105</v>
      </c>
      <c r="I82" s="383" t="s">
        <v>105</v>
      </c>
      <c r="J82" s="377" t="s">
        <v>105</v>
      </c>
      <c r="K82" s="377" t="s">
        <v>105</v>
      </c>
      <c r="L82" s="377" t="s">
        <v>105</v>
      </c>
      <c r="M82" s="380" t="s">
        <v>105</v>
      </c>
      <c r="N82" s="383" t="s">
        <v>105</v>
      </c>
      <c r="O82" s="377" t="s">
        <v>105</v>
      </c>
      <c r="P82" s="377" t="s">
        <v>105</v>
      </c>
      <c r="Q82" s="377" t="s">
        <v>105</v>
      </c>
      <c r="R82" s="380" t="s">
        <v>105</v>
      </c>
      <c r="S82" s="383" t="s">
        <v>105</v>
      </c>
      <c r="T82" s="377" t="s">
        <v>105</v>
      </c>
      <c r="U82" s="377" t="s">
        <v>105</v>
      </c>
      <c r="V82" s="377" t="s">
        <v>105</v>
      </c>
      <c r="W82" s="380" t="s">
        <v>105</v>
      </c>
      <c r="X82" s="383" t="s">
        <v>105</v>
      </c>
      <c r="Y82" s="377" t="s">
        <v>105</v>
      </c>
      <c r="Z82" s="377" t="s">
        <v>105</v>
      </c>
      <c r="AA82" s="377" t="s">
        <v>105</v>
      </c>
      <c r="AB82" s="380" t="s">
        <v>105</v>
      </c>
      <c r="AC82" s="383" t="s">
        <v>105</v>
      </c>
      <c r="AD82" s="377" t="s">
        <v>105</v>
      </c>
      <c r="AE82" s="377" t="s">
        <v>105</v>
      </c>
      <c r="AF82" s="377" t="s">
        <v>105</v>
      </c>
      <c r="AG82" s="380" t="s">
        <v>125</v>
      </c>
      <c r="AH82" s="383" t="s">
        <v>125</v>
      </c>
      <c r="AI82" s="377" t="s">
        <v>125</v>
      </c>
      <c r="AJ82" s="377" t="s">
        <v>125</v>
      </c>
      <c r="AK82" s="377" t="s">
        <v>212</v>
      </c>
      <c r="AL82" s="380" t="s">
        <v>285</v>
      </c>
      <c r="AM82" s="383" t="s">
        <v>105</v>
      </c>
      <c r="AN82" s="377" t="s">
        <v>105</v>
      </c>
      <c r="AO82" s="377" t="s">
        <v>105</v>
      </c>
      <c r="AP82" s="377" t="s">
        <v>105</v>
      </c>
      <c r="AQ82" s="380" t="s">
        <v>105</v>
      </c>
      <c r="AR82" s="383" t="s">
        <v>105</v>
      </c>
      <c r="AS82" s="377" t="s">
        <v>105</v>
      </c>
      <c r="AT82" s="377" t="s">
        <v>105</v>
      </c>
      <c r="AU82" s="377" t="s">
        <v>105</v>
      </c>
      <c r="AV82" s="380" t="s">
        <v>105</v>
      </c>
      <c r="AW82" s="383" t="s">
        <v>105</v>
      </c>
      <c r="AX82" s="377" t="s">
        <v>105</v>
      </c>
      <c r="AY82" s="377" t="s">
        <v>105</v>
      </c>
      <c r="AZ82" s="377" t="s">
        <v>105</v>
      </c>
      <c r="BA82" s="380" t="s">
        <v>105</v>
      </c>
      <c r="BB82" s="383" t="s">
        <v>105</v>
      </c>
      <c r="BC82" s="377" t="s">
        <v>105</v>
      </c>
      <c r="BD82" s="377" t="s">
        <v>105</v>
      </c>
      <c r="BE82" s="377" t="s">
        <v>105</v>
      </c>
      <c r="BF82" s="380" t="s">
        <v>105</v>
      </c>
      <c r="BG82" s="383" t="s">
        <v>105</v>
      </c>
      <c r="BH82" s="377" t="s">
        <v>105</v>
      </c>
      <c r="BI82" s="377" t="s">
        <v>105</v>
      </c>
      <c r="BJ82" s="377" t="s">
        <v>105</v>
      </c>
      <c r="BK82" s="380" t="s">
        <v>105</v>
      </c>
      <c r="BL82" s="383" t="s">
        <v>105</v>
      </c>
      <c r="BM82" s="380" t="s">
        <v>105</v>
      </c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65" t="s">
        <v>11</v>
      </c>
      <c r="B83" s="7" t="s">
        <v>12</v>
      </c>
      <c r="C83" s="335"/>
      <c r="D83" s="375" t="s">
        <v>105</v>
      </c>
      <c r="E83" s="378" t="s">
        <v>105</v>
      </c>
      <c r="F83" s="378" t="s">
        <v>105</v>
      </c>
      <c r="G83" s="378" t="s">
        <v>105</v>
      </c>
      <c r="H83" s="381" t="s">
        <v>105</v>
      </c>
      <c r="I83" s="384" t="s">
        <v>105</v>
      </c>
      <c r="J83" s="378" t="s">
        <v>105</v>
      </c>
      <c r="K83" s="378" t="s">
        <v>105</v>
      </c>
      <c r="L83" s="378" t="s">
        <v>105</v>
      </c>
      <c r="M83" s="381" t="s">
        <v>105</v>
      </c>
      <c r="N83" s="384" t="s">
        <v>105</v>
      </c>
      <c r="O83" s="378" t="s">
        <v>105</v>
      </c>
      <c r="P83" s="378" t="s">
        <v>105</v>
      </c>
      <c r="Q83" s="378" t="s">
        <v>105</v>
      </c>
      <c r="R83" s="381" t="s">
        <v>105</v>
      </c>
      <c r="S83" s="384" t="s">
        <v>105</v>
      </c>
      <c r="T83" s="378" t="s">
        <v>105</v>
      </c>
      <c r="U83" s="378" t="s">
        <v>105</v>
      </c>
      <c r="V83" s="378" t="s">
        <v>105</v>
      </c>
      <c r="W83" s="381" t="s">
        <v>105</v>
      </c>
      <c r="X83" s="384" t="s">
        <v>105</v>
      </c>
      <c r="Y83" s="378" t="s">
        <v>105</v>
      </c>
      <c r="Z83" s="378" t="s">
        <v>105</v>
      </c>
      <c r="AA83" s="378" t="s">
        <v>105</v>
      </c>
      <c r="AB83" s="381" t="s">
        <v>105</v>
      </c>
      <c r="AC83" s="384" t="s">
        <v>105</v>
      </c>
      <c r="AD83" s="378" t="s">
        <v>105</v>
      </c>
      <c r="AE83" s="378" t="s">
        <v>105</v>
      </c>
      <c r="AF83" s="378" t="s">
        <v>105</v>
      </c>
      <c r="AG83" s="381" t="s">
        <v>125</v>
      </c>
      <c r="AH83" s="384" t="s">
        <v>125</v>
      </c>
      <c r="AI83" s="378" t="s">
        <v>125</v>
      </c>
      <c r="AJ83" s="378" t="s">
        <v>125</v>
      </c>
      <c r="AK83" s="378" t="s">
        <v>212</v>
      </c>
      <c r="AL83" s="381" t="s">
        <v>285</v>
      </c>
      <c r="AM83" s="384" t="s">
        <v>105</v>
      </c>
      <c r="AN83" s="378" t="s">
        <v>105</v>
      </c>
      <c r="AO83" s="378" t="s">
        <v>105</v>
      </c>
      <c r="AP83" s="378" t="s">
        <v>105</v>
      </c>
      <c r="AQ83" s="381" t="s">
        <v>105</v>
      </c>
      <c r="AR83" s="384" t="s">
        <v>105</v>
      </c>
      <c r="AS83" s="378" t="s">
        <v>105</v>
      </c>
      <c r="AT83" s="378" t="s">
        <v>105</v>
      </c>
      <c r="AU83" s="378" t="s">
        <v>105</v>
      </c>
      <c r="AV83" s="381" t="s">
        <v>105</v>
      </c>
      <c r="AW83" s="384" t="s">
        <v>105</v>
      </c>
      <c r="AX83" s="378" t="s">
        <v>105</v>
      </c>
      <c r="AY83" s="378" t="s">
        <v>105</v>
      </c>
      <c r="AZ83" s="378" t="s">
        <v>105</v>
      </c>
      <c r="BA83" s="381" t="s">
        <v>105</v>
      </c>
      <c r="BB83" s="384" t="s">
        <v>105</v>
      </c>
      <c r="BC83" s="378" t="s">
        <v>105</v>
      </c>
      <c r="BD83" s="378" t="s">
        <v>105</v>
      </c>
      <c r="BE83" s="378" t="s">
        <v>105</v>
      </c>
      <c r="BF83" s="381" t="s">
        <v>105</v>
      </c>
      <c r="BG83" s="384" t="s">
        <v>105</v>
      </c>
      <c r="BH83" s="378" t="s">
        <v>105</v>
      </c>
      <c r="BI83" s="378" t="s">
        <v>105</v>
      </c>
      <c r="BJ83" s="378" t="s">
        <v>105</v>
      </c>
      <c r="BK83" s="381" t="s">
        <v>105</v>
      </c>
      <c r="BL83" s="384" t="s">
        <v>105</v>
      </c>
      <c r="BM83" s="381" t="s">
        <v>105</v>
      </c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65"/>
      <c r="B84" s="8" t="s">
        <v>39</v>
      </c>
      <c r="C84" s="335"/>
      <c r="D84" s="376" t="s">
        <v>105</v>
      </c>
      <c r="E84" s="379" t="s">
        <v>105</v>
      </c>
      <c r="F84" s="379" t="s">
        <v>105</v>
      </c>
      <c r="G84" s="379" t="s">
        <v>105</v>
      </c>
      <c r="H84" s="382" t="s">
        <v>105</v>
      </c>
      <c r="I84" s="385" t="s">
        <v>105</v>
      </c>
      <c r="J84" s="379" t="s">
        <v>105</v>
      </c>
      <c r="K84" s="379" t="s">
        <v>105</v>
      </c>
      <c r="L84" s="379" t="s">
        <v>105</v>
      </c>
      <c r="M84" s="382" t="s">
        <v>105</v>
      </c>
      <c r="N84" s="385" t="s">
        <v>105</v>
      </c>
      <c r="O84" s="379" t="s">
        <v>105</v>
      </c>
      <c r="P84" s="379" t="s">
        <v>105</v>
      </c>
      <c r="Q84" s="379" t="s">
        <v>105</v>
      </c>
      <c r="R84" s="382" t="s">
        <v>105</v>
      </c>
      <c r="S84" s="385" t="s">
        <v>105</v>
      </c>
      <c r="T84" s="379" t="s">
        <v>105</v>
      </c>
      <c r="U84" s="379" t="s">
        <v>105</v>
      </c>
      <c r="V84" s="379" t="s">
        <v>105</v>
      </c>
      <c r="W84" s="382" t="s">
        <v>105</v>
      </c>
      <c r="X84" s="385" t="s">
        <v>105</v>
      </c>
      <c r="Y84" s="379" t="s">
        <v>105</v>
      </c>
      <c r="Z84" s="379" t="s">
        <v>105</v>
      </c>
      <c r="AA84" s="379" t="s">
        <v>105</v>
      </c>
      <c r="AB84" s="382" t="s">
        <v>105</v>
      </c>
      <c r="AC84" s="385" t="s">
        <v>105</v>
      </c>
      <c r="AD84" s="379" t="s">
        <v>105</v>
      </c>
      <c r="AE84" s="379" t="s">
        <v>105</v>
      </c>
      <c r="AF84" s="379" t="s">
        <v>105</v>
      </c>
      <c r="AG84" s="382" t="s">
        <v>125</v>
      </c>
      <c r="AH84" s="385" t="s">
        <v>125</v>
      </c>
      <c r="AI84" s="379" t="s">
        <v>125</v>
      </c>
      <c r="AJ84" s="379" t="s">
        <v>125</v>
      </c>
      <c r="AK84" s="379" t="s">
        <v>212</v>
      </c>
      <c r="AL84" s="382" t="s">
        <v>285</v>
      </c>
      <c r="AM84" s="385" t="s">
        <v>105</v>
      </c>
      <c r="AN84" s="379" t="s">
        <v>105</v>
      </c>
      <c r="AO84" s="379" t="s">
        <v>105</v>
      </c>
      <c r="AP84" s="379" t="s">
        <v>105</v>
      </c>
      <c r="AQ84" s="382" t="s">
        <v>105</v>
      </c>
      <c r="AR84" s="385" t="s">
        <v>105</v>
      </c>
      <c r="AS84" s="379" t="s">
        <v>105</v>
      </c>
      <c r="AT84" s="379" t="s">
        <v>105</v>
      </c>
      <c r="AU84" s="379" t="s">
        <v>105</v>
      </c>
      <c r="AV84" s="382" t="s">
        <v>105</v>
      </c>
      <c r="AW84" s="385" t="s">
        <v>105</v>
      </c>
      <c r="AX84" s="379" t="s">
        <v>105</v>
      </c>
      <c r="AY84" s="379" t="s">
        <v>105</v>
      </c>
      <c r="AZ84" s="379" t="s">
        <v>105</v>
      </c>
      <c r="BA84" s="382" t="s">
        <v>105</v>
      </c>
      <c r="BB84" s="385" t="s">
        <v>105</v>
      </c>
      <c r="BC84" s="379" t="s">
        <v>105</v>
      </c>
      <c r="BD84" s="379" t="s">
        <v>105</v>
      </c>
      <c r="BE84" s="379" t="s">
        <v>105</v>
      </c>
      <c r="BF84" s="382" t="s">
        <v>105</v>
      </c>
      <c r="BG84" s="385" t="s">
        <v>105</v>
      </c>
      <c r="BH84" s="379" t="s">
        <v>105</v>
      </c>
      <c r="BI84" s="379" t="s">
        <v>105</v>
      </c>
      <c r="BJ84" s="379" t="s">
        <v>105</v>
      </c>
      <c r="BK84" s="382" t="s">
        <v>105</v>
      </c>
      <c r="BL84" s="385" t="s">
        <v>105</v>
      </c>
      <c r="BM84" s="382" t="s">
        <v>105</v>
      </c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19</v>
      </c>
      <c r="B85" s="6"/>
      <c r="C85" s="334" t="s">
        <v>124</v>
      </c>
      <c r="D85" s="374" t="s">
        <v>105</v>
      </c>
      <c r="E85" s="377" t="s">
        <v>125</v>
      </c>
      <c r="F85" s="377" t="s">
        <v>125</v>
      </c>
      <c r="G85" s="377" t="s">
        <v>125</v>
      </c>
      <c r="H85" s="380" t="s">
        <v>144</v>
      </c>
      <c r="I85" s="383" t="s">
        <v>125</v>
      </c>
      <c r="J85" s="377" t="s">
        <v>125</v>
      </c>
      <c r="K85" s="377" t="s">
        <v>125</v>
      </c>
      <c r="L85" s="377" t="s">
        <v>125</v>
      </c>
      <c r="M85" s="380" t="s">
        <v>125</v>
      </c>
      <c r="N85" s="383" t="s">
        <v>125</v>
      </c>
      <c r="O85" s="377" t="s">
        <v>125</v>
      </c>
      <c r="P85" s="377" t="s">
        <v>125</v>
      </c>
      <c r="Q85" s="377" t="s">
        <v>125</v>
      </c>
      <c r="R85" s="380" t="s">
        <v>125</v>
      </c>
      <c r="S85" s="383" t="s">
        <v>125</v>
      </c>
      <c r="T85" s="377" t="s">
        <v>125</v>
      </c>
      <c r="U85" s="377" t="s">
        <v>125</v>
      </c>
      <c r="V85" s="377" t="s">
        <v>125</v>
      </c>
      <c r="W85" s="380" t="s">
        <v>125</v>
      </c>
      <c r="X85" s="383" t="s">
        <v>125</v>
      </c>
      <c r="Y85" s="377" t="s">
        <v>125</v>
      </c>
      <c r="Z85" s="377" t="s">
        <v>105</v>
      </c>
      <c r="AA85" s="377" t="s">
        <v>125</v>
      </c>
      <c r="AB85" s="380" t="s">
        <v>125</v>
      </c>
      <c r="AC85" s="383" t="s">
        <v>125</v>
      </c>
      <c r="AD85" s="377" t="s">
        <v>125</v>
      </c>
      <c r="AE85" s="377" t="s">
        <v>125</v>
      </c>
      <c r="AF85" s="377" t="s">
        <v>125</v>
      </c>
      <c r="AG85" s="380" t="s">
        <v>125</v>
      </c>
      <c r="AH85" s="383" t="s">
        <v>125</v>
      </c>
      <c r="AI85" s="377" t="s">
        <v>105</v>
      </c>
      <c r="AJ85" s="377" t="s">
        <v>125</v>
      </c>
      <c r="AK85" s="377" t="s">
        <v>125</v>
      </c>
      <c r="AL85" s="380" t="s">
        <v>125</v>
      </c>
      <c r="AM85" s="383" t="s">
        <v>105</v>
      </c>
      <c r="AN85" s="377" t="s">
        <v>125</v>
      </c>
      <c r="AO85" s="377" t="s">
        <v>125</v>
      </c>
      <c r="AP85" s="377" t="s">
        <v>125</v>
      </c>
      <c r="AQ85" s="380" t="s">
        <v>125</v>
      </c>
      <c r="AR85" s="383" t="s">
        <v>105</v>
      </c>
      <c r="AS85" s="377" t="s">
        <v>125</v>
      </c>
      <c r="AT85" s="377" t="s">
        <v>125</v>
      </c>
      <c r="AU85" s="377" t="s">
        <v>125</v>
      </c>
      <c r="AV85" s="380" t="s">
        <v>125</v>
      </c>
      <c r="AW85" s="383" t="s">
        <v>125</v>
      </c>
      <c r="AX85" s="377" t="s">
        <v>105</v>
      </c>
      <c r="AY85" s="377" t="s">
        <v>125</v>
      </c>
      <c r="AZ85" s="377" t="s">
        <v>141</v>
      </c>
      <c r="BA85" s="380" t="s">
        <v>125</v>
      </c>
      <c r="BB85" s="383" t="s">
        <v>105</v>
      </c>
      <c r="BC85" s="377" t="s">
        <v>125</v>
      </c>
      <c r="BD85" s="377" t="s">
        <v>125</v>
      </c>
      <c r="BE85" s="377" t="s">
        <v>288</v>
      </c>
      <c r="BF85" s="380" t="s">
        <v>215</v>
      </c>
      <c r="BG85" s="383" t="s">
        <v>105</v>
      </c>
      <c r="BH85" s="377" t="s">
        <v>125</v>
      </c>
      <c r="BI85" s="377" t="s">
        <v>125</v>
      </c>
      <c r="BJ85" s="377" t="s">
        <v>105</v>
      </c>
      <c r="BK85" s="380" t="s">
        <v>125</v>
      </c>
      <c r="BL85" s="383" t="s">
        <v>125</v>
      </c>
      <c r="BM85" s="380" t="s">
        <v>125</v>
      </c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65" t="s">
        <v>11</v>
      </c>
      <c r="B86" s="7" t="s">
        <v>41</v>
      </c>
      <c r="C86" s="335"/>
      <c r="D86" s="375" t="s">
        <v>105</v>
      </c>
      <c r="E86" s="378" t="s">
        <v>125</v>
      </c>
      <c r="F86" s="378" t="s">
        <v>125</v>
      </c>
      <c r="G86" s="378" t="s">
        <v>125</v>
      </c>
      <c r="H86" s="381" t="s">
        <v>144</v>
      </c>
      <c r="I86" s="384" t="s">
        <v>125</v>
      </c>
      <c r="J86" s="378" t="s">
        <v>125</v>
      </c>
      <c r="K86" s="378" t="s">
        <v>125</v>
      </c>
      <c r="L86" s="378" t="s">
        <v>125</v>
      </c>
      <c r="M86" s="381" t="s">
        <v>125</v>
      </c>
      <c r="N86" s="384" t="s">
        <v>125</v>
      </c>
      <c r="O86" s="378" t="s">
        <v>125</v>
      </c>
      <c r="P86" s="378" t="s">
        <v>125</v>
      </c>
      <c r="Q86" s="378" t="s">
        <v>125</v>
      </c>
      <c r="R86" s="381" t="s">
        <v>125</v>
      </c>
      <c r="S86" s="384" t="s">
        <v>125</v>
      </c>
      <c r="T86" s="378" t="s">
        <v>125</v>
      </c>
      <c r="U86" s="378" t="s">
        <v>125</v>
      </c>
      <c r="V86" s="378" t="s">
        <v>125</v>
      </c>
      <c r="W86" s="381" t="s">
        <v>125</v>
      </c>
      <c r="X86" s="384" t="s">
        <v>125</v>
      </c>
      <c r="Y86" s="378" t="s">
        <v>125</v>
      </c>
      <c r="Z86" s="378" t="s">
        <v>105</v>
      </c>
      <c r="AA86" s="378" t="s">
        <v>125</v>
      </c>
      <c r="AB86" s="381" t="s">
        <v>125</v>
      </c>
      <c r="AC86" s="384" t="s">
        <v>125</v>
      </c>
      <c r="AD86" s="378" t="s">
        <v>125</v>
      </c>
      <c r="AE86" s="378" t="s">
        <v>125</v>
      </c>
      <c r="AF86" s="378" t="s">
        <v>125</v>
      </c>
      <c r="AG86" s="381" t="s">
        <v>125</v>
      </c>
      <c r="AH86" s="384" t="s">
        <v>125</v>
      </c>
      <c r="AI86" s="378" t="s">
        <v>105</v>
      </c>
      <c r="AJ86" s="378" t="s">
        <v>125</v>
      </c>
      <c r="AK86" s="378" t="s">
        <v>125</v>
      </c>
      <c r="AL86" s="381" t="s">
        <v>125</v>
      </c>
      <c r="AM86" s="384" t="s">
        <v>105</v>
      </c>
      <c r="AN86" s="378" t="s">
        <v>125</v>
      </c>
      <c r="AO86" s="378" t="s">
        <v>125</v>
      </c>
      <c r="AP86" s="378" t="s">
        <v>125</v>
      </c>
      <c r="AQ86" s="381" t="s">
        <v>125</v>
      </c>
      <c r="AR86" s="384" t="s">
        <v>105</v>
      </c>
      <c r="AS86" s="378" t="s">
        <v>125</v>
      </c>
      <c r="AT86" s="378" t="s">
        <v>125</v>
      </c>
      <c r="AU86" s="378" t="s">
        <v>125</v>
      </c>
      <c r="AV86" s="381" t="s">
        <v>125</v>
      </c>
      <c r="AW86" s="384" t="s">
        <v>125</v>
      </c>
      <c r="AX86" s="378" t="s">
        <v>105</v>
      </c>
      <c r="AY86" s="378" t="s">
        <v>125</v>
      </c>
      <c r="AZ86" s="378" t="s">
        <v>141</v>
      </c>
      <c r="BA86" s="381" t="s">
        <v>125</v>
      </c>
      <c r="BB86" s="384" t="s">
        <v>105</v>
      </c>
      <c r="BC86" s="378" t="s">
        <v>125</v>
      </c>
      <c r="BD86" s="378" t="s">
        <v>125</v>
      </c>
      <c r="BE86" s="378" t="s">
        <v>288</v>
      </c>
      <c r="BF86" s="381" t="s">
        <v>215</v>
      </c>
      <c r="BG86" s="384" t="s">
        <v>105</v>
      </c>
      <c r="BH86" s="378" t="s">
        <v>125</v>
      </c>
      <c r="BI86" s="378" t="s">
        <v>125</v>
      </c>
      <c r="BJ86" s="378" t="s">
        <v>105</v>
      </c>
      <c r="BK86" s="381" t="s">
        <v>125</v>
      </c>
      <c r="BL86" s="384" t="s">
        <v>125</v>
      </c>
      <c r="BM86" s="381" t="s">
        <v>125</v>
      </c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65"/>
      <c r="B87" s="8"/>
      <c r="C87" s="335"/>
      <c r="D87" s="376" t="s">
        <v>105</v>
      </c>
      <c r="E87" s="379" t="s">
        <v>125</v>
      </c>
      <c r="F87" s="379" t="s">
        <v>125</v>
      </c>
      <c r="G87" s="379" t="s">
        <v>125</v>
      </c>
      <c r="H87" s="382" t="s">
        <v>144</v>
      </c>
      <c r="I87" s="385" t="s">
        <v>125</v>
      </c>
      <c r="J87" s="379" t="s">
        <v>125</v>
      </c>
      <c r="K87" s="379" t="s">
        <v>125</v>
      </c>
      <c r="L87" s="379" t="s">
        <v>125</v>
      </c>
      <c r="M87" s="382" t="s">
        <v>125</v>
      </c>
      <c r="N87" s="385" t="s">
        <v>125</v>
      </c>
      <c r="O87" s="379" t="s">
        <v>125</v>
      </c>
      <c r="P87" s="379" t="s">
        <v>125</v>
      </c>
      <c r="Q87" s="379" t="s">
        <v>125</v>
      </c>
      <c r="R87" s="382" t="s">
        <v>125</v>
      </c>
      <c r="S87" s="385" t="s">
        <v>125</v>
      </c>
      <c r="T87" s="379" t="s">
        <v>125</v>
      </c>
      <c r="U87" s="379" t="s">
        <v>125</v>
      </c>
      <c r="V87" s="379" t="s">
        <v>125</v>
      </c>
      <c r="W87" s="382" t="s">
        <v>125</v>
      </c>
      <c r="X87" s="385" t="s">
        <v>125</v>
      </c>
      <c r="Y87" s="379" t="s">
        <v>125</v>
      </c>
      <c r="Z87" s="379" t="s">
        <v>105</v>
      </c>
      <c r="AA87" s="379" t="s">
        <v>125</v>
      </c>
      <c r="AB87" s="382" t="s">
        <v>125</v>
      </c>
      <c r="AC87" s="385" t="s">
        <v>125</v>
      </c>
      <c r="AD87" s="379" t="s">
        <v>125</v>
      </c>
      <c r="AE87" s="379" t="s">
        <v>125</v>
      </c>
      <c r="AF87" s="379" t="s">
        <v>125</v>
      </c>
      <c r="AG87" s="382" t="s">
        <v>125</v>
      </c>
      <c r="AH87" s="385" t="s">
        <v>125</v>
      </c>
      <c r="AI87" s="379" t="s">
        <v>105</v>
      </c>
      <c r="AJ87" s="379" t="s">
        <v>125</v>
      </c>
      <c r="AK87" s="379" t="s">
        <v>125</v>
      </c>
      <c r="AL87" s="382" t="s">
        <v>125</v>
      </c>
      <c r="AM87" s="385" t="s">
        <v>105</v>
      </c>
      <c r="AN87" s="379" t="s">
        <v>125</v>
      </c>
      <c r="AO87" s="379" t="s">
        <v>125</v>
      </c>
      <c r="AP87" s="379" t="s">
        <v>125</v>
      </c>
      <c r="AQ87" s="382" t="s">
        <v>125</v>
      </c>
      <c r="AR87" s="385" t="s">
        <v>105</v>
      </c>
      <c r="AS87" s="379" t="s">
        <v>125</v>
      </c>
      <c r="AT87" s="379" t="s">
        <v>125</v>
      </c>
      <c r="AU87" s="379" t="s">
        <v>125</v>
      </c>
      <c r="AV87" s="382" t="s">
        <v>125</v>
      </c>
      <c r="AW87" s="385" t="s">
        <v>125</v>
      </c>
      <c r="AX87" s="379" t="s">
        <v>105</v>
      </c>
      <c r="AY87" s="379" t="s">
        <v>125</v>
      </c>
      <c r="AZ87" s="379" t="s">
        <v>141</v>
      </c>
      <c r="BA87" s="382" t="s">
        <v>125</v>
      </c>
      <c r="BB87" s="385" t="s">
        <v>105</v>
      </c>
      <c r="BC87" s="379" t="s">
        <v>125</v>
      </c>
      <c r="BD87" s="379" t="s">
        <v>125</v>
      </c>
      <c r="BE87" s="379" t="s">
        <v>288</v>
      </c>
      <c r="BF87" s="382" t="s">
        <v>215</v>
      </c>
      <c r="BG87" s="385" t="s">
        <v>105</v>
      </c>
      <c r="BH87" s="379" t="s">
        <v>125</v>
      </c>
      <c r="BI87" s="379" t="s">
        <v>125</v>
      </c>
      <c r="BJ87" s="379" t="s">
        <v>105</v>
      </c>
      <c r="BK87" s="382" t="s">
        <v>125</v>
      </c>
      <c r="BL87" s="385" t="s">
        <v>125</v>
      </c>
      <c r="BM87" s="382" t="s">
        <v>125</v>
      </c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19</v>
      </c>
      <c r="B88" s="6"/>
      <c r="C88" s="334" t="s">
        <v>124</v>
      </c>
      <c r="D88" s="392" t="s">
        <v>289</v>
      </c>
      <c r="E88" s="377" t="s">
        <v>180</v>
      </c>
      <c r="F88" s="377" t="s">
        <v>105</v>
      </c>
      <c r="G88" s="377" t="s">
        <v>105</v>
      </c>
      <c r="H88" s="380" t="s">
        <v>105</v>
      </c>
      <c r="I88" s="383" t="s">
        <v>105</v>
      </c>
      <c r="J88" s="377" t="s">
        <v>105</v>
      </c>
      <c r="K88" s="377" t="s">
        <v>105</v>
      </c>
      <c r="L88" s="377" t="s">
        <v>105</v>
      </c>
      <c r="M88" s="380" t="s">
        <v>105</v>
      </c>
      <c r="N88" s="383" t="s">
        <v>125</v>
      </c>
      <c r="O88" s="377" t="s">
        <v>105</v>
      </c>
      <c r="P88" s="377" t="s">
        <v>105</v>
      </c>
      <c r="Q88" s="377" t="s">
        <v>105</v>
      </c>
      <c r="R88" s="380" t="s">
        <v>105</v>
      </c>
      <c r="S88" s="383" t="s">
        <v>105</v>
      </c>
      <c r="T88" s="377" t="s">
        <v>105</v>
      </c>
      <c r="U88" s="377" t="s">
        <v>105</v>
      </c>
      <c r="V88" s="377" t="s">
        <v>105</v>
      </c>
      <c r="W88" s="380" t="s">
        <v>105</v>
      </c>
      <c r="X88" s="383" t="s">
        <v>105</v>
      </c>
      <c r="Y88" s="377" t="s">
        <v>105</v>
      </c>
      <c r="Z88" s="377" t="s">
        <v>105</v>
      </c>
      <c r="AA88" s="377" t="s">
        <v>105</v>
      </c>
      <c r="AB88" s="380" t="s">
        <v>105</v>
      </c>
      <c r="AC88" s="383" t="s">
        <v>105</v>
      </c>
      <c r="AD88" s="377" t="s">
        <v>105</v>
      </c>
      <c r="AE88" s="377" t="s">
        <v>105</v>
      </c>
      <c r="AF88" s="377" t="s">
        <v>105</v>
      </c>
      <c r="AG88" s="380" t="s">
        <v>105</v>
      </c>
      <c r="AH88" s="383" t="s">
        <v>105</v>
      </c>
      <c r="AI88" s="377" t="s">
        <v>105</v>
      </c>
      <c r="AJ88" s="377" t="s">
        <v>105</v>
      </c>
      <c r="AK88" s="377" t="s">
        <v>105</v>
      </c>
      <c r="AL88" s="380" t="s">
        <v>105</v>
      </c>
      <c r="AM88" s="383" t="s">
        <v>105</v>
      </c>
      <c r="AN88" s="377" t="s">
        <v>105</v>
      </c>
      <c r="AO88" s="377" t="s">
        <v>105</v>
      </c>
      <c r="AP88" s="377" t="s">
        <v>105</v>
      </c>
      <c r="AQ88" s="380" t="s">
        <v>105</v>
      </c>
      <c r="AR88" s="383" t="s">
        <v>105</v>
      </c>
      <c r="AS88" s="377" t="s">
        <v>105</v>
      </c>
      <c r="AT88" s="377" t="s">
        <v>105</v>
      </c>
      <c r="AU88" s="377" t="s">
        <v>105</v>
      </c>
      <c r="AV88" s="380" t="s">
        <v>105</v>
      </c>
      <c r="AW88" s="383" t="s">
        <v>105</v>
      </c>
      <c r="AX88" s="377" t="s">
        <v>105</v>
      </c>
      <c r="AY88" s="377" t="s">
        <v>105</v>
      </c>
      <c r="AZ88" s="377" t="s">
        <v>105</v>
      </c>
      <c r="BA88" s="380" t="s">
        <v>105</v>
      </c>
      <c r="BB88" s="383" t="s">
        <v>105</v>
      </c>
      <c r="BC88" s="377" t="s">
        <v>105</v>
      </c>
      <c r="BD88" s="377" t="s">
        <v>105</v>
      </c>
      <c r="BE88" s="377" t="s">
        <v>105</v>
      </c>
      <c r="BF88" s="380" t="s">
        <v>105</v>
      </c>
      <c r="BG88" s="383" t="s">
        <v>125</v>
      </c>
      <c r="BH88" s="377" t="s">
        <v>125</v>
      </c>
      <c r="BI88" s="377" t="s">
        <v>125</v>
      </c>
      <c r="BJ88" s="377" t="s">
        <v>105</v>
      </c>
      <c r="BK88" s="380" t="s">
        <v>125</v>
      </c>
      <c r="BL88" s="383" t="s">
        <v>105</v>
      </c>
      <c r="BM88" s="380" t="s">
        <v>105</v>
      </c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65" t="s">
        <v>11</v>
      </c>
      <c r="B89" s="7" t="s">
        <v>42</v>
      </c>
      <c r="C89" s="335"/>
      <c r="D89" s="393" t="s">
        <v>289</v>
      </c>
      <c r="E89" s="378" t="s">
        <v>180</v>
      </c>
      <c r="F89" s="378" t="s">
        <v>105</v>
      </c>
      <c r="G89" s="378" t="s">
        <v>105</v>
      </c>
      <c r="H89" s="381" t="s">
        <v>105</v>
      </c>
      <c r="I89" s="384" t="s">
        <v>105</v>
      </c>
      <c r="J89" s="378" t="s">
        <v>105</v>
      </c>
      <c r="K89" s="378" t="s">
        <v>105</v>
      </c>
      <c r="L89" s="378" t="s">
        <v>105</v>
      </c>
      <c r="M89" s="381" t="s">
        <v>105</v>
      </c>
      <c r="N89" s="384" t="s">
        <v>125</v>
      </c>
      <c r="O89" s="378" t="s">
        <v>105</v>
      </c>
      <c r="P89" s="378" t="s">
        <v>105</v>
      </c>
      <c r="Q89" s="378" t="s">
        <v>105</v>
      </c>
      <c r="R89" s="381" t="s">
        <v>105</v>
      </c>
      <c r="S89" s="384" t="s">
        <v>105</v>
      </c>
      <c r="T89" s="378" t="s">
        <v>105</v>
      </c>
      <c r="U89" s="378" t="s">
        <v>105</v>
      </c>
      <c r="V89" s="378" t="s">
        <v>105</v>
      </c>
      <c r="W89" s="381" t="s">
        <v>105</v>
      </c>
      <c r="X89" s="384" t="s">
        <v>105</v>
      </c>
      <c r="Y89" s="378" t="s">
        <v>105</v>
      </c>
      <c r="Z89" s="378" t="s">
        <v>105</v>
      </c>
      <c r="AA89" s="378" t="s">
        <v>105</v>
      </c>
      <c r="AB89" s="381" t="s">
        <v>105</v>
      </c>
      <c r="AC89" s="384" t="s">
        <v>105</v>
      </c>
      <c r="AD89" s="378" t="s">
        <v>105</v>
      </c>
      <c r="AE89" s="378" t="s">
        <v>105</v>
      </c>
      <c r="AF89" s="378" t="s">
        <v>105</v>
      </c>
      <c r="AG89" s="381" t="s">
        <v>105</v>
      </c>
      <c r="AH89" s="384" t="s">
        <v>105</v>
      </c>
      <c r="AI89" s="378" t="s">
        <v>105</v>
      </c>
      <c r="AJ89" s="378" t="s">
        <v>105</v>
      </c>
      <c r="AK89" s="378" t="s">
        <v>105</v>
      </c>
      <c r="AL89" s="381" t="s">
        <v>105</v>
      </c>
      <c r="AM89" s="384" t="s">
        <v>105</v>
      </c>
      <c r="AN89" s="378" t="s">
        <v>105</v>
      </c>
      <c r="AO89" s="378" t="s">
        <v>105</v>
      </c>
      <c r="AP89" s="378" t="s">
        <v>105</v>
      </c>
      <c r="AQ89" s="381" t="s">
        <v>105</v>
      </c>
      <c r="AR89" s="384" t="s">
        <v>105</v>
      </c>
      <c r="AS89" s="378" t="s">
        <v>105</v>
      </c>
      <c r="AT89" s="378" t="s">
        <v>105</v>
      </c>
      <c r="AU89" s="378" t="s">
        <v>105</v>
      </c>
      <c r="AV89" s="381" t="s">
        <v>105</v>
      </c>
      <c r="AW89" s="384" t="s">
        <v>105</v>
      </c>
      <c r="AX89" s="378" t="s">
        <v>105</v>
      </c>
      <c r="AY89" s="378" t="s">
        <v>105</v>
      </c>
      <c r="AZ89" s="378" t="s">
        <v>105</v>
      </c>
      <c r="BA89" s="381" t="s">
        <v>105</v>
      </c>
      <c r="BB89" s="384" t="s">
        <v>105</v>
      </c>
      <c r="BC89" s="378" t="s">
        <v>105</v>
      </c>
      <c r="BD89" s="378" t="s">
        <v>105</v>
      </c>
      <c r="BE89" s="378" t="s">
        <v>105</v>
      </c>
      <c r="BF89" s="381" t="s">
        <v>105</v>
      </c>
      <c r="BG89" s="384" t="s">
        <v>125</v>
      </c>
      <c r="BH89" s="378" t="s">
        <v>125</v>
      </c>
      <c r="BI89" s="378" t="s">
        <v>125</v>
      </c>
      <c r="BJ89" s="378" t="s">
        <v>105</v>
      </c>
      <c r="BK89" s="381" t="s">
        <v>125</v>
      </c>
      <c r="BL89" s="384" t="s">
        <v>105</v>
      </c>
      <c r="BM89" s="381" t="s">
        <v>105</v>
      </c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65"/>
      <c r="B90" s="8"/>
      <c r="C90" s="335"/>
      <c r="D90" s="394" t="s">
        <v>289</v>
      </c>
      <c r="E90" s="379" t="s">
        <v>180</v>
      </c>
      <c r="F90" s="379" t="s">
        <v>105</v>
      </c>
      <c r="G90" s="379" t="s">
        <v>105</v>
      </c>
      <c r="H90" s="382" t="s">
        <v>105</v>
      </c>
      <c r="I90" s="385" t="s">
        <v>105</v>
      </c>
      <c r="J90" s="379" t="s">
        <v>105</v>
      </c>
      <c r="K90" s="379" t="s">
        <v>105</v>
      </c>
      <c r="L90" s="379" t="s">
        <v>105</v>
      </c>
      <c r="M90" s="382" t="s">
        <v>105</v>
      </c>
      <c r="N90" s="385" t="s">
        <v>125</v>
      </c>
      <c r="O90" s="379" t="s">
        <v>105</v>
      </c>
      <c r="P90" s="379" t="s">
        <v>105</v>
      </c>
      <c r="Q90" s="379" t="s">
        <v>105</v>
      </c>
      <c r="R90" s="382" t="s">
        <v>105</v>
      </c>
      <c r="S90" s="385" t="s">
        <v>105</v>
      </c>
      <c r="T90" s="379" t="s">
        <v>105</v>
      </c>
      <c r="U90" s="379" t="s">
        <v>105</v>
      </c>
      <c r="V90" s="379" t="s">
        <v>105</v>
      </c>
      <c r="W90" s="382" t="s">
        <v>105</v>
      </c>
      <c r="X90" s="385" t="s">
        <v>105</v>
      </c>
      <c r="Y90" s="379" t="s">
        <v>105</v>
      </c>
      <c r="Z90" s="379" t="s">
        <v>105</v>
      </c>
      <c r="AA90" s="379" t="s">
        <v>105</v>
      </c>
      <c r="AB90" s="382" t="s">
        <v>105</v>
      </c>
      <c r="AC90" s="385" t="s">
        <v>105</v>
      </c>
      <c r="AD90" s="379" t="s">
        <v>105</v>
      </c>
      <c r="AE90" s="379" t="s">
        <v>105</v>
      </c>
      <c r="AF90" s="379" t="s">
        <v>105</v>
      </c>
      <c r="AG90" s="382" t="s">
        <v>105</v>
      </c>
      <c r="AH90" s="385" t="s">
        <v>105</v>
      </c>
      <c r="AI90" s="379" t="s">
        <v>105</v>
      </c>
      <c r="AJ90" s="379" t="s">
        <v>105</v>
      </c>
      <c r="AK90" s="379" t="s">
        <v>105</v>
      </c>
      <c r="AL90" s="382" t="s">
        <v>105</v>
      </c>
      <c r="AM90" s="385" t="s">
        <v>105</v>
      </c>
      <c r="AN90" s="379" t="s">
        <v>105</v>
      </c>
      <c r="AO90" s="379" t="s">
        <v>105</v>
      </c>
      <c r="AP90" s="379" t="s">
        <v>105</v>
      </c>
      <c r="AQ90" s="382" t="s">
        <v>105</v>
      </c>
      <c r="AR90" s="385" t="s">
        <v>105</v>
      </c>
      <c r="AS90" s="379" t="s">
        <v>105</v>
      </c>
      <c r="AT90" s="379" t="s">
        <v>105</v>
      </c>
      <c r="AU90" s="379" t="s">
        <v>105</v>
      </c>
      <c r="AV90" s="382" t="s">
        <v>105</v>
      </c>
      <c r="AW90" s="385" t="s">
        <v>105</v>
      </c>
      <c r="AX90" s="379" t="s">
        <v>105</v>
      </c>
      <c r="AY90" s="379" t="s">
        <v>105</v>
      </c>
      <c r="AZ90" s="379" t="s">
        <v>105</v>
      </c>
      <c r="BA90" s="382" t="s">
        <v>105</v>
      </c>
      <c r="BB90" s="385" t="s">
        <v>105</v>
      </c>
      <c r="BC90" s="379" t="s">
        <v>105</v>
      </c>
      <c r="BD90" s="379" t="s">
        <v>105</v>
      </c>
      <c r="BE90" s="379" t="s">
        <v>105</v>
      </c>
      <c r="BF90" s="382" t="s">
        <v>105</v>
      </c>
      <c r="BG90" s="385" t="s">
        <v>125</v>
      </c>
      <c r="BH90" s="379" t="s">
        <v>125</v>
      </c>
      <c r="BI90" s="379" t="s">
        <v>125</v>
      </c>
      <c r="BJ90" s="379" t="s">
        <v>105</v>
      </c>
      <c r="BK90" s="382" t="s">
        <v>125</v>
      </c>
      <c r="BL90" s="385" t="s">
        <v>105</v>
      </c>
      <c r="BM90" s="382" t="s">
        <v>105</v>
      </c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43</v>
      </c>
      <c r="B91" s="6"/>
      <c r="C91" s="334" t="s">
        <v>124</v>
      </c>
      <c r="D91" s="374" t="s">
        <v>105</v>
      </c>
      <c r="E91" s="377" t="s">
        <v>105</v>
      </c>
      <c r="F91" s="377" t="s">
        <v>125</v>
      </c>
      <c r="G91" s="377" t="s">
        <v>290</v>
      </c>
      <c r="H91" s="380" t="s">
        <v>125</v>
      </c>
      <c r="I91" s="383" t="s">
        <v>125</v>
      </c>
      <c r="J91" s="377" t="s">
        <v>125</v>
      </c>
      <c r="K91" s="377" t="s">
        <v>125</v>
      </c>
      <c r="L91" s="377" t="s">
        <v>125</v>
      </c>
      <c r="M91" s="380" t="s">
        <v>125</v>
      </c>
      <c r="N91" s="383" t="s">
        <v>125</v>
      </c>
      <c r="O91" s="377" t="s">
        <v>105</v>
      </c>
      <c r="P91" s="377" t="s">
        <v>125</v>
      </c>
      <c r="Q91" s="377" t="s">
        <v>125</v>
      </c>
      <c r="R91" s="380" t="s">
        <v>125</v>
      </c>
      <c r="S91" s="383" t="s">
        <v>125</v>
      </c>
      <c r="T91" s="377" t="s">
        <v>105</v>
      </c>
      <c r="U91" s="377" t="s">
        <v>125</v>
      </c>
      <c r="V91" s="377" t="s">
        <v>125</v>
      </c>
      <c r="W91" s="380" t="s">
        <v>125</v>
      </c>
      <c r="X91" s="383" t="s">
        <v>125</v>
      </c>
      <c r="Y91" s="377" t="s">
        <v>125</v>
      </c>
      <c r="Z91" s="377" t="s">
        <v>125</v>
      </c>
      <c r="AA91" s="377" t="s">
        <v>125</v>
      </c>
      <c r="AB91" s="380" t="s">
        <v>125</v>
      </c>
      <c r="AC91" s="383" t="s">
        <v>125</v>
      </c>
      <c r="AD91" s="377" t="s">
        <v>125</v>
      </c>
      <c r="AE91" s="377" t="s">
        <v>125</v>
      </c>
      <c r="AF91" s="377" t="s">
        <v>125</v>
      </c>
      <c r="AG91" s="380" t="s">
        <v>125</v>
      </c>
      <c r="AH91" s="383" t="s">
        <v>125</v>
      </c>
      <c r="AI91" s="377" t="s">
        <v>125</v>
      </c>
      <c r="AJ91" s="377" t="s">
        <v>125</v>
      </c>
      <c r="AK91" s="377" t="s">
        <v>125</v>
      </c>
      <c r="AL91" s="380" t="s">
        <v>125</v>
      </c>
      <c r="AM91" s="383" t="s">
        <v>125</v>
      </c>
      <c r="AN91" s="377" t="s">
        <v>125</v>
      </c>
      <c r="AO91" s="377" t="s">
        <v>125</v>
      </c>
      <c r="AP91" s="377" t="s">
        <v>125</v>
      </c>
      <c r="AQ91" s="380" t="s">
        <v>105</v>
      </c>
      <c r="AR91" s="383" t="s">
        <v>125</v>
      </c>
      <c r="AS91" s="377" t="s">
        <v>125</v>
      </c>
      <c r="AT91" s="377" t="s">
        <v>105</v>
      </c>
      <c r="AU91" s="377" t="s">
        <v>105</v>
      </c>
      <c r="AV91" s="380" t="s">
        <v>105</v>
      </c>
      <c r="AW91" s="383" t="s">
        <v>105</v>
      </c>
      <c r="AX91" s="377" t="s">
        <v>125</v>
      </c>
      <c r="AY91" s="377" t="s">
        <v>125</v>
      </c>
      <c r="AZ91" s="377" t="s">
        <v>125</v>
      </c>
      <c r="BA91" s="380" t="s">
        <v>125</v>
      </c>
      <c r="BB91" s="383" t="s">
        <v>125</v>
      </c>
      <c r="BC91" s="377" t="s">
        <v>125</v>
      </c>
      <c r="BD91" s="377" t="s">
        <v>125</v>
      </c>
      <c r="BE91" s="377" t="s">
        <v>125</v>
      </c>
      <c r="BF91" s="380" t="s">
        <v>125</v>
      </c>
      <c r="BG91" s="383" t="s">
        <v>125</v>
      </c>
      <c r="BH91" s="377" t="s">
        <v>125</v>
      </c>
      <c r="BI91" s="377" t="s">
        <v>125</v>
      </c>
      <c r="BJ91" s="377" t="s">
        <v>125</v>
      </c>
      <c r="BK91" s="380" t="s">
        <v>125</v>
      </c>
      <c r="BL91" s="383" t="s">
        <v>125</v>
      </c>
      <c r="BM91" s="380" t="s">
        <v>241</v>
      </c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65" t="s">
        <v>11</v>
      </c>
      <c r="B92" s="7" t="s">
        <v>44</v>
      </c>
      <c r="C92" s="335"/>
      <c r="D92" s="375" t="s">
        <v>105</v>
      </c>
      <c r="E92" s="378" t="s">
        <v>105</v>
      </c>
      <c r="F92" s="378" t="s">
        <v>125</v>
      </c>
      <c r="G92" s="378" t="s">
        <v>290</v>
      </c>
      <c r="H92" s="381" t="s">
        <v>125</v>
      </c>
      <c r="I92" s="384" t="s">
        <v>125</v>
      </c>
      <c r="J92" s="378" t="s">
        <v>125</v>
      </c>
      <c r="K92" s="378" t="s">
        <v>125</v>
      </c>
      <c r="L92" s="378" t="s">
        <v>125</v>
      </c>
      <c r="M92" s="381" t="s">
        <v>125</v>
      </c>
      <c r="N92" s="384" t="s">
        <v>125</v>
      </c>
      <c r="O92" s="378" t="s">
        <v>105</v>
      </c>
      <c r="P92" s="378" t="s">
        <v>125</v>
      </c>
      <c r="Q92" s="378" t="s">
        <v>125</v>
      </c>
      <c r="R92" s="381" t="s">
        <v>125</v>
      </c>
      <c r="S92" s="384" t="s">
        <v>125</v>
      </c>
      <c r="T92" s="378" t="s">
        <v>105</v>
      </c>
      <c r="U92" s="378" t="s">
        <v>125</v>
      </c>
      <c r="V92" s="378" t="s">
        <v>125</v>
      </c>
      <c r="W92" s="381" t="s">
        <v>125</v>
      </c>
      <c r="X92" s="384" t="s">
        <v>125</v>
      </c>
      <c r="Y92" s="378" t="s">
        <v>125</v>
      </c>
      <c r="Z92" s="378" t="s">
        <v>125</v>
      </c>
      <c r="AA92" s="378" t="s">
        <v>125</v>
      </c>
      <c r="AB92" s="381" t="s">
        <v>125</v>
      </c>
      <c r="AC92" s="384" t="s">
        <v>125</v>
      </c>
      <c r="AD92" s="378" t="s">
        <v>125</v>
      </c>
      <c r="AE92" s="378" t="s">
        <v>125</v>
      </c>
      <c r="AF92" s="378" t="s">
        <v>125</v>
      </c>
      <c r="AG92" s="381" t="s">
        <v>125</v>
      </c>
      <c r="AH92" s="384" t="s">
        <v>125</v>
      </c>
      <c r="AI92" s="378" t="s">
        <v>125</v>
      </c>
      <c r="AJ92" s="378" t="s">
        <v>125</v>
      </c>
      <c r="AK92" s="378" t="s">
        <v>125</v>
      </c>
      <c r="AL92" s="381" t="s">
        <v>125</v>
      </c>
      <c r="AM92" s="384" t="s">
        <v>125</v>
      </c>
      <c r="AN92" s="378" t="s">
        <v>125</v>
      </c>
      <c r="AO92" s="378" t="s">
        <v>125</v>
      </c>
      <c r="AP92" s="378" t="s">
        <v>125</v>
      </c>
      <c r="AQ92" s="381" t="s">
        <v>105</v>
      </c>
      <c r="AR92" s="384" t="s">
        <v>125</v>
      </c>
      <c r="AS92" s="378" t="s">
        <v>125</v>
      </c>
      <c r="AT92" s="378" t="s">
        <v>105</v>
      </c>
      <c r="AU92" s="378" t="s">
        <v>105</v>
      </c>
      <c r="AV92" s="381" t="s">
        <v>105</v>
      </c>
      <c r="AW92" s="384" t="s">
        <v>105</v>
      </c>
      <c r="AX92" s="378" t="s">
        <v>125</v>
      </c>
      <c r="AY92" s="378" t="s">
        <v>125</v>
      </c>
      <c r="AZ92" s="378" t="s">
        <v>125</v>
      </c>
      <c r="BA92" s="381" t="s">
        <v>125</v>
      </c>
      <c r="BB92" s="384" t="s">
        <v>125</v>
      </c>
      <c r="BC92" s="378" t="s">
        <v>125</v>
      </c>
      <c r="BD92" s="378" t="s">
        <v>125</v>
      </c>
      <c r="BE92" s="378" t="s">
        <v>125</v>
      </c>
      <c r="BF92" s="381" t="s">
        <v>125</v>
      </c>
      <c r="BG92" s="384" t="s">
        <v>125</v>
      </c>
      <c r="BH92" s="378" t="s">
        <v>125</v>
      </c>
      <c r="BI92" s="378" t="s">
        <v>125</v>
      </c>
      <c r="BJ92" s="378" t="s">
        <v>125</v>
      </c>
      <c r="BK92" s="381" t="s">
        <v>125</v>
      </c>
      <c r="BL92" s="384" t="s">
        <v>125</v>
      </c>
      <c r="BM92" s="381" t="s">
        <v>241</v>
      </c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65"/>
      <c r="B93" s="8"/>
      <c r="C93" s="335"/>
      <c r="D93" s="376" t="s">
        <v>105</v>
      </c>
      <c r="E93" s="379" t="s">
        <v>105</v>
      </c>
      <c r="F93" s="379" t="s">
        <v>125</v>
      </c>
      <c r="G93" s="379" t="s">
        <v>290</v>
      </c>
      <c r="H93" s="382" t="s">
        <v>125</v>
      </c>
      <c r="I93" s="385" t="s">
        <v>125</v>
      </c>
      <c r="J93" s="379" t="s">
        <v>125</v>
      </c>
      <c r="K93" s="379" t="s">
        <v>125</v>
      </c>
      <c r="L93" s="379" t="s">
        <v>125</v>
      </c>
      <c r="M93" s="382" t="s">
        <v>125</v>
      </c>
      <c r="N93" s="385" t="s">
        <v>125</v>
      </c>
      <c r="O93" s="379" t="s">
        <v>105</v>
      </c>
      <c r="P93" s="379" t="s">
        <v>125</v>
      </c>
      <c r="Q93" s="379" t="s">
        <v>125</v>
      </c>
      <c r="R93" s="382" t="s">
        <v>125</v>
      </c>
      <c r="S93" s="385" t="s">
        <v>125</v>
      </c>
      <c r="T93" s="379" t="s">
        <v>105</v>
      </c>
      <c r="U93" s="379" t="s">
        <v>125</v>
      </c>
      <c r="V93" s="379" t="s">
        <v>125</v>
      </c>
      <c r="W93" s="382" t="s">
        <v>125</v>
      </c>
      <c r="X93" s="385" t="s">
        <v>125</v>
      </c>
      <c r="Y93" s="379" t="s">
        <v>125</v>
      </c>
      <c r="Z93" s="379" t="s">
        <v>125</v>
      </c>
      <c r="AA93" s="379" t="s">
        <v>125</v>
      </c>
      <c r="AB93" s="382" t="s">
        <v>125</v>
      </c>
      <c r="AC93" s="385" t="s">
        <v>125</v>
      </c>
      <c r="AD93" s="379" t="s">
        <v>125</v>
      </c>
      <c r="AE93" s="379" t="s">
        <v>125</v>
      </c>
      <c r="AF93" s="379" t="s">
        <v>125</v>
      </c>
      <c r="AG93" s="382" t="s">
        <v>125</v>
      </c>
      <c r="AH93" s="385" t="s">
        <v>125</v>
      </c>
      <c r="AI93" s="379" t="s">
        <v>125</v>
      </c>
      <c r="AJ93" s="379" t="s">
        <v>125</v>
      </c>
      <c r="AK93" s="379" t="s">
        <v>125</v>
      </c>
      <c r="AL93" s="382" t="s">
        <v>125</v>
      </c>
      <c r="AM93" s="385" t="s">
        <v>125</v>
      </c>
      <c r="AN93" s="379" t="s">
        <v>125</v>
      </c>
      <c r="AO93" s="379" t="s">
        <v>125</v>
      </c>
      <c r="AP93" s="379" t="s">
        <v>125</v>
      </c>
      <c r="AQ93" s="382" t="s">
        <v>105</v>
      </c>
      <c r="AR93" s="385" t="s">
        <v>125</v>
      </c>
      <c r="AS93" s="379" t="s">
        <v>125</v>
      </c>
      <c r="AT93" s="379" t="s">
        <v>105</v>
      </c>
      <c r="AU93" s="379" t="s">
        <v>105</v>
      </c>
      <c r="AV93" s="382" t="s">
        <v>105</v>
      </c>
      <c r="AW93" s="385" t="s">
        <v>105</v>
      </c>
      <c r="AX93" s="379" t="s">
        <v>125</v>
      </c>
      <c r="AY93" s="379" t="s">
        <v>125</v>
      </c>
      <c r="AZ93" s="379" t="s">
        <v>125</v>
      </c>
      <c r="BA93" s="382" t="s">
        <v>125</v>
      </c>
      <c r="BB93" s="385" t="s">
        <v>125</v>
      </c>
      <c r="BC93" s="379" t="s">
        <v>125</v>
      </c>
      <c r="BD93" s="379" t="s">
        <v>125</v>
      </c>
      <c r="BE93" s="379" t="s">
        <v>125</v>
      </c>
      <c r="BF93" s="382" t="s">
        <v>125</v>
      </c>
      <c r="BG93" s="385" t="s">
        <v>125</v>
      </c>
      <c r="BH93" s="379" t="s">
        <v>125</v>
      </c>
      <c r="BI93" s="379" t="s">
        <v>125</v>
      </c>
      <c r="BJ93" s="379" t="s">
        <v>125</v>
      </c>
      <c r="BK93" s="382" t="s">
        <v>125</v>
      </c>
      <c r="BL93" s="385" t="s">
        <v>125</v>
      </c>
      <c r="BM93" s="382" t="s">
        <v>241</v>
      </c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43</v>
      </c>
      <c r="B94" s="6"/>
      <c r="C94" s="334" t="s">
        <v>124</v>
      </c>
      <c r="D94" s="374" t="s">
        <v>125</v>
      </c>
      <c r="E94" s="377" t="s">
        <v>105</v>
      </c>
      <c r="F94" s="377" t="s">
        <v>125</v>
      </c>
      <c r="G94" s="377" t="s">
        <v>105</v>
      </c>
      <c r="H94" s="380" t="s">
        <v>125</v>
      </c>
      <c r="I94" s="383" t="s">
        <v>125</v>
      </c>
      <c r="J94" s="377" t="s">
        <v>105</v>
      </c>
      <c r="K94" s="377" t="s">
        <v>105</v>
      </c>
      <c r="L94" s="377" t="s">
        <v>125</v>
      </c>
      <c r="M94" s="380" t="s">
        <v>125</v>
      </c>
      <c r="N94" s="383" t="s">
        <v>125</v>
      </c>
      <c r="O94" s="377" t="s">
        <v>125</v>
      </c>
      <c r="P94" s="377" t="s">
        <v>125</v>
      </c>
      <c r="Q94" s="377" t="s">
        <v>105</v>
      </c>
      <c r="R94" s="380" t="s">
        <v>125</v>
      </c>
      <c r="S94" s="383" t="s">
        <v>125</v>
      </c>
      <c r="T94" s="377" t="s">
        <v>125</v>
      </c>
      <c r="U94" s="377" t="s">
        <v>125</v>
      </c>
      <c r="V94" s="377" t="s">
        <v>125</v>
      </c>
      <c r="W94" s="380" t="s">
        <v>125</v>
      </c>
      <c r="X94" s="383" t="s">
        <v>105</v>
      </c>
      <c r="Y94" s="377" t="s">
        <v>125</v>
      </c>
      <c r="Z94" s="377" t="s">
        <v>125</v>
      </c>
      <c r="AA94" s="377" t="s">
        <v>125</v>
      </c>
      <c r="AB94" s="380" t="s">
        <v>105</v>
      </c>
      <c r="AC94" s="383" t="s">
        <v>125</v>
      </c>
      <c r="AD94" s="377" t="s">
        <v>125</v>
      </c>
      <c r="AE94" s="377" t="s">
        <v>105</v>
      </c>
      <c r="AF94" s="377" t="s">
        <v>105</v>
      </c>
      <c r="AG94" s="380" t="s">
        <v>125</v>
      </c>
      <c r="AH94" s="383" t="s">
        <v>125</v>
      </c>
      <c r="AI94" s="377" t="s">
        <v>125</v>
      </c>
      <c r="AJ94" s="377" t="s">
        <v>125</v>
      </c>
      <c r="AK94" s="377" t="s">
        <v>105</v>
      </c>
      <c r="AL94" s="380" t="s">
        <v>125</v>
      </c>
      <c r="AM94" s="383" t="s">
        <v>125</v>
      </c>
      <c r="AN94" s="377" t="s">
        <v>125</v>
      </c>
      <c r="AO94" s="377" t="s">
        <v>125</v>
      </c>
      <c r="AP94" s="377" t="s">
        <v>125</v>
      </c>
      <c r="AQ94" s="380" t="s">
        <v>105</v>
      </c>
      <c r="AR94" s="383" t="s">
        <v>125</v>
      </c>
      <c r="AS94" s="377" t="s">
        <v>125</v>
      </c>
      <c r="AT94" s="377" t="s">
        <v>125</v>
      </c>
      <c r="AU94" s="377" t="s">
        <v>105</v>
      </c>
      <c r="AV94" s="380" t="s">
        <v>125</v>
      </c>
      <c r="AW94" s="383" t="s">
        <v>125</v>
      </c>
      <c r="AX94" s="377" t="s">
        <v>125</v>
      </c>
      <c r="AY94" s="377" t="s">
        <v>125</v>
      </c>
      <c r="AZ94" s="377" t="s">
        <v>125</v>
      </c>
      <c r="BA94" s="380" t="s">
        <v>125</v>
      </c>
      <c r="BB94" s="383" t="s">
        <v>125</v>
      </c>
      <c r="BC94" s="377" t="s">
        <v>125</v>
      </c>
      <c r="BD94" s="377" t="s">
        <v>125</v>
      </c>
      <c r="BE94" s="377" t="s">
        <v>125</v>
      </c>
      <c r="BF94" s="380" t="s">
        <v>125</v>
      </c>
      <c r="BG94" s="383" t="s">
        <v>125</v>
      </c>
      <c r="BH94" s="377" t="s">
        <v>139</v>
      </c>
      <c r="BI94" s="377" t="s">
        <v>125</v>
      </c>
      <c r="BJ94" s="377" t="s">
        <v>125</v>
      </c>
      <c r="BK94" s="380" t="s">
        <v>125</v>
      </c>
      <c r="BL94" s="383" t="s">
        <v>125</v>
      </c>
      <c r="BM94" s="380" t="s">
        <v>125</v>
      </c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65" t="s">
        <v>11</v>
      </c>
      <c r="B95" s="7" t="s">
        <v>45</v>
      </c>
      <c r="C95" s="335"/>
      <c r="D95" s="375" t="s">
        <v>125</v>
      </c>
      <c r="E95" s="378" t="s">
        <v>105</v>
      </c>
      <c r="F95" s="378" t="s">
        <v>125</v>
      </c>
      <c r="G95" s="378" t="s">
        <v>105</v>
      </c>
      <c r="H95" s="381" t="s">
        <v>125</v>
      </c>
      <c r="I95" s="384" t="s">
        <v>125</v>
      </c>
      <c r="J95" s="378" t="s">
        <v>105</v>
      </c>
      <c r="K95" s="378" t="s">
        <v>105</v>
      </c>
      <c r="L95" s="378" t="s">
        <v>125</v>
      </c>
      <c r="M95" s="381" t="s">
        <v>125</v>
      </c>
      <c r="N95" s="384" t="s">
        <v>125</v>
      </c>
      <c r="O95" s="378" t="s">
        <v>125</v>
      </c>
      <c r="P95" s="378" t="s">
        <v>125</v>
      </c>
      <c r="Q95" s="378" t="s">
        <v>105</v>
      </c>
      <c r="R95" s="381" t="s">
        <v>125</v>
      </c>
      <c r="S95" s="384" t="s">
        <v>125</v>
      </c>
      <c r="T95" s="378" t="s">
        <v>125</v>
      </c>
      <c r="U95" s="378" t="s">
        <v>125</v>
      </c>
      <c r="V95" s="378" t="s">
        <v>125</v>
      </c>
      <c r="W95" s="381" t="s">
        <v>125</v>
      </c>
      <c r="X95" s="384" t="s">
        <v>105</v>
      </c>
      <c r="Y95" s="378" t="s">
        <v>125</v>
      </c>
      <c r="Z95" s="378" t="s">
        <v>125</v>
      </c>
      <c r="AA95" s="378" t="s">
        <v>125</v>
      </c>
      <c r="AB95" s="381" t="s">
        <v>105</v>
      </c>
      <c r="AC95" s="384" t="s">
        <v>125</v>
      </c>
      <c r="AD95" s="378" t="s">
        <v>125</v>
      </c>
      <c r="AE95" s="378" t="s">
        <v>105</v>
      </c>
      <c r="AF95" s="378" t="s">
        <v>105</v>
      </c>
      <c r="AG95" s="381" t="s">
        <v>125</v>
      </c>
      <c r="AH95" s="384" t="s">
        <v>125</v>
      </c>
      <c r="AI95" s="378" t="s">
        <v>125</v>
      </c>
      <c r="AJ95" s="378" t="s">
        <v>125</v>
      </c>
      <c r="AK95" s="378" t="s">
        <v>105</v>
      </c>
      <c r="AL95" s="381" t="s">
        <v>125</v>
      </c>
      <c r="AM95" s="384" t="s">
        <v>125</v>
      </c>
      <c r="AN95" s="378" t="s">
        <v>125</v>
      </c>
      <c r="AO95" s="378" t="s">
        <v>125</v>
      </c>
      <c r="AP95" s="378" t="s">
        <v>125</v>
      </c>
      <c r="AQ95" s="381" t="s">
        <v>105</v>
      </c>
      <c r="AR95" s="384" t="s">
        <v>125</v>
      </c>
      <c r="AS95" s="378" t="s">
        <v>125</v>
      </c>
      <c r="AT95" s="378" t="s">
        <v>125</v>
      </c>
      <c r="AU95" s="378" t="s">
        <v>105</v>
      </c>
      <c r="AV95" s="381" t="s">
        <v>125</v>
      </c>
      <c r="AW95" s="384" t="s">
        <v>125</v>
      </c>
      <c r="AX95" s="378" t="s">
        <v>125</v>
      </c>
      <c r="AY95" s="378" t="s">
        <v>125</v>
      </c>
      <c r="AZ95" s="378" t="s">
        <v>125</v>
      </c>
      <c r="BA95" s="381" t="s">
        <v>125</v>
      </c>
      <c r="BB95" s="384" t="s">
        <v>125</v>
      </c>
      <c r="BC95" s="378" t="s">
        <v>125</v>
      </c>
      <c r="BD95" s="378" t="s">
        <v>125</v>
      </c>
      <c r="BE95" s="378" t="s">
        <v>125</v>
      </c>
      <c r="BF95" s="381" t="s">
        <v>125</v>
      </c>
      <c r="BG95" s="384" t="s">
        <v>125</v>
      </c>
      <c r="BH95" s="378" t="s">
        <v>139</v>
      </c>
      <c r="BI95" s="378" t="s">
        <v>125</v>
      </c>
      <c r="BJ95" s="378" t="s">
        <v>125</v>
      </c>
      <c r="BK95" s="381" t="s">
        <v>125</v>
      </c>
      <c r="BL95" s="384" t="s">
        <v>125</v>
      </c>
      <c r="BM95" s="381" t="s">
        <v>125</v>
      </c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65"/>
      <c r="B96" s="8"/>
      <c r="C96" s="335"/>
      <c r="D96" s="376" t="s">
        <v>125</v>
      </c>
      <c r="E96" s="379" t="s">
        <v>105</v>
      </c>
      <c r="F96" s="379" t="s">
        <v>125</v>
      </c>
      <c r="G96" s="379" t="s">
        <v>105</v>
      </c>
      <c r="H96" s="382" t="s">
        <v>125</v>
      </c>
      <c r="I96" s="385" t="s">
        <v>125</v>
      </c>
      <c r="J96" s="379" t="s">
        <v>105</v>
      </c>
      <c r="K96" s="379" t="s">
        <v>105</v>
      </c>
      <c r="L96" s="379" t="s">
        <v>125</v>
      </c>
      <c r="M96" s="382" t="s">
        <v>125</v>
      </c>
      <c r="N96" s="385" t="s">
        <v>125</v>
      </c>
      <c r="O96" s="379" t="s">
        <v>125</v>
      </c>
      <c r="P96" s="379" t="s">
        <v>125</v>
      </c>
      <c r="Q96" s="379" t="s">
        <v>105</v>
      </c>
      <c r="R96" s="382" t="s">
        <v>125</v>
      </c>
      <c r="S96" s="385" t="s">
        <v>125</v>
      </c>
      <c r="T96" s="379" t="s">
        <v>125</v>
      </c>
      <c r="U96" s="379" t="s">
        <v>125</v>
      </c>
      <c r="V96" s="379" t="s">
        <v>125</v>
      </c>
      <c r="W96" s="382" t="s">
        <v>125</v>
      </c>
      <c r="X96" s="385" t="s">
        <v>105</v>
      </c>
      <c r="Y96" s="379" t="s">
        <v>125</v>
      </c>
      <c r="Z96" s="379" t="s">
        <v>125</v>
      </c>
      <c r="AA96" s="379" t="s">
        <v>125</v>
      </c>
      <c r="AB96" s="382" t="s">
        <v>105</v>
      </c>
      <c r="AC96" s="385" t="s">
        <v>125</v>
      </c>
      <c r="AD96" s="379" t="s">
        <v>125</v>
      </c>
      <c r="AE96" s="379" t="s">
        <v>105</v>
      </c>
      <c r="AF96" s="379" t="s">
        <v>105</v>
      </c>
      <c r="AG96" s="382" t="s">
        <v>125</v>
      </c>
      <c r="AH96" s="385" t="s">
        <v>125</v>
      </c>
      <c r="AI96" s="379" t="s">
        <v>125</v>
      </c>
      <c r="AJ96" s="379" t="s">
        <v>125</v>
      </c>
      <c r="AK96" s="379" t="s">
        <v>105</v>
      </c>
      <c r="AL96" s="382" t="s">
        <v>125</v>
      </c>
      <c r="AM96" s="385" t="s">
        <v>125</v>
      </c>
      <c r="AN96" s="379" t="s">
        <v>125</v>
      </c>
      <c r="AO96" s="379" t="s">
        <v>125</v>
      </c>
      <c r="AP96" s="379" t="s">
        <v>125</v>
      </c>
      <c r="AQ96" s="382" t="s">
        <v>105</v>
      </c>
      <c r="AR96" s="385" t="s">
        <v>125</v>
      </c>
      <c r="AS96" s="379" t="s">
        <v>125</v>
      </c>
      <c r="AT96" s="379" t="s">
        <v>125</v>
      </c>
      <c r="AU96" s="379" t="s">
        <v>105</v>
      </c>
      <c r="AV96" s="382" t="s">
        <v>125</v>
      </c>
      <c r="AW96" s="385" t="s">
        <v>125</v>
      </c>
      <c r="AX96" s="379" t="s">
        <v>125</v>
      </c>
      <c r="AY96" s="379" t="s">
        <v>125</v>
      </c>
      <c r="AZ96" s="379" t="s">
        <v>125</v>
      </c>
      <c r="BA96" s="382" t="s">
        <v>125</v>
      </c>
      <c r="BB96" s="385" t="s">
        <v>125</v>
      </c>
      <c r="BC96" s="379" t="s">
        <v>125</v>
      </c>
      <c r="BD96" s="379" t="s">
        <v>125</v>
      </c>
      <c r="BE96" s="379" t="s">
        <v>125</v>
      </c>
      <c r="BF96" s="382" t="s">
        <v>125</v>
      </c>
      <c r="BG96" s="385" t="s">
        <v>125</v>
      </c>
      <c r="BH96" s="379" t="s">
        <v>139</v>
      </c>
      <c r="BI96" s="379" t="s">
        <v>125</v>
      </c>
      <c r="BJ96" s="379" t="s">
        <v>125</v>
      </c>
      <c r="BK96" s="382" t="s">
        <v>125</v>
      </c>
      <c r="BL96" s="385" t="s">
        <v>125</v>
      </c>
      <c r="BM96" s="382" t="s">
        <v>125</v>
      </c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43</v>
      </c>
      <c r="B97" s="6"/>
      <c r="C97" s="334" t="s">
        <v>124</v>
      </c>
      <c r="D97" s="374" t="s">
        <v>125</v>
      </c>
      <c r="E97" s="377" t="s">
        <v>125</v>
      </c>
      <c r="F97" s="377" t="s">
        <v>125</v>
      </c>
      <c r="G97" s="377" t="s">
        <v>125</v>
      </c>
      <c r="H97" s="380" t="s">
        <v>291</v>
      </c>
      <c r="I97" s="383" t="s">
        <v>292</v>
      </c>
      <c r="J97" s="377" t="s">
        <v>125</v>
      </c>
      <c r="K97" s="377" t="s">
        <v>125</v>
      </c>
      <c r="L97" s="377" t="s">
        <v>125</v>
      </c>
      <c r="M97" s="380" t="s">
        <v>125</v>
      </c>
      <c r="N97" s="383" t="s">
        <v>125</v>
      </c>
      <c r="O97" s="377" t="s">
        <v>125</v>
      </c>
      <c r="P97" s="377" t="s">
        <v>125</v>
      </c>
      <c r="Q97" s="377" t="s">
        <v>125</v>
      </c>
      <c r="R97" s="380" t="s">
        <v>125</v>
      </c>
      <c r="S97" s="383" t="s">
        <v>125</v>
      </c>
      <c r="T97" s="377" t="s">
        <v>125</v>
      </c>
      <c r="U97" s="377" t="s">
        <v>125</v>
      </c>
      <c r="V97" s="377" t="s">
        <v>125</v>
      </c>
      <c r="W97" s="380" t="s">
        <v>125</v>
      </c>
      <c r="X97" s="383" t="s">
        <v>125</v>
      </c>
      <c r="Y97" s="377" t="s">
        <v>125</v>
      </c>
      <c r="Z97" s="377" t="s">
        <v>181</v>
      </c>
      <c r="AA97" s="377" t="s">
        <v>125</v>
      </c>
      <c r="AB97" s="380" t="s">
        <v>125</v>
      </c>
      <c r="AC97" s="383" t="s">
        <v>125</v>
      </c>
      <c r="AD97" s="377" t="s">
        <v>125</v>
      </c>
      <c r="AE97" s="377" t="s">
        <v>125</v>
      </c>
      <c r="AF97" s="377" t="s">
        <v>125</v>
      </c>
      <c r="AG97" s="380" t="s">
        <v>125</v>
      </c>
      <c r="AH97" s="383" t="s">
        <v>125</v>
      </c>
      <c r="AI97" s="377" t="s">
        <v>125</v>
      </c>
      <c r="AJ97" s="377" t="s">
        <v>125</v>
      </c>
      <c r="AK97" s="377" t="s">
        <v>125</v>
      </c>
      <c r="AL97" s="380" t="s">
        <v>125</v>
      </c>
      <c r="AM97" s="383" t="s">
        <v>125</v>
      </c>
      <c r="AN97" s="377" t="s">
        <v>125</v>
      </c>
      <c r="AO97" s="377" t="s">
        <v>105</v>
      </c>
      <c r="AP97" s="377" t="s">
        <v>125</v>
      </c>
      <c r="AQ97" s="380" t="s">
        <v>125</v>
      </c>
      <c r="AR97" s="383" t="s">
        <v>125</v>
      </c>
      <c r="AS97" s="377" t="s">
        <v>125</v>
      </c>
      <c r="AT97" s="377" t="s">
        <v>125</v>
      </c>
      <c r="AU97" s="377" t="s">
        <v>125</v>
      </c>
      <c r="AV97" s="380" t="s">
        <v>125</v>
      </c>
      <c r="AW97" s="383" t="s">
        <v>125</v>
      </c>
      <c r="AX97" s="377" t="s">
        <v>125</v>
      </c>
      <c r="AY97" s="377" t="s">
        <v>125</v>
      </c>
      <c r="AZ97" s="377" t="s">
        <v>125</v>
      </c>
      <c r="BA97" s="380" t="s">
        <v>125</v>
      </c>
      <c r="BB97" s="383" t="s">
        <v>105</v>
      </c>
      <c r="BC97" s="377" t="s">
        <v>125</v>
      </c>
      <c r="BD97" s="377" t="s">
        <v>125</v>
      </c>
      <c r="BE97" s="377" t="s">
        <v>141</v>
      </c>
      <c r="BF97" s="380" t="s">
        <v>125</v>
      </c>
      <c r="BG97" s="383" t="s">
        <v>125</v>
      </c>
      <c r="BH97" s="377" t="s">
        <v>125</v>
      </c>
      <c r="BI97" s="377" t="s">
        <v>125</v>
      </c>
      <c r="BJ97" s="377" t="s">
        <v>105</v>
      </c>
      <c r="BK97" s="380" t="s">
        <v>125</v>
      </c>
      <c r="BL97" s="383" t="s">
        <v>133</v>
      </c>
      <c r="BM97" s="380" t="s">
        <v>231</v>
      </c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65" t="s">
        <v>11</v>
      </c>
      <c r="B98" s="7" t="s">
        <v>46</v>
      </c>
      <c r="C98" s="335"/>
      <c r="D98" s="375" t="s">
        <v>125</v>
      </c>
      <c r="E98" s="378" t="s">
        <v>125</v>
      </c>
      <c r="F98" s="378" t="s">
        <v>125</v>
      </c>
      <c r="G98" s="378" t="s">
        <v>125</v>
      </c>
      <c r="H98" s="381" t="s">
        <v>291</v>
      </c>
      <c r="I98" s="384" t="s">
        <v>292</v>
      </c>
      <c r="J98" s="378" t="s">
        <v>125</v>
      </c>
      <c r="K98" s="378" t="s">
        <v>125</v>
      </c>
      <c r="L98" s="378" t="s">
        <v>125</v>
      </c>
      <c r="M98" s="381" t="s">
        <v>125</v>
      </c>
      <c r="N98" s="384" t="s">
        <v>125</v>
      </c>
      <c r="O98" s="378" t="s">
        <v>125</v>
      </c>
      <c r="P98" s="378" t="s">
        <v>125</v>
      </c>
      <c r="Q98" s="378" t="s">
        <v>125</v>
      </c>
      <c r="R98" s="381" t="s">
        <v>125</v>
      </c>
      <c r="S98" s="384" t="s">
        <v>125</v>
      </c>
      <c r="T98" s="378" t="s">
        <v>125</v>
      </c>
      <c r="U98" s="378" t="s">
        <v>125</v>
      </c>
      <c r="V98" s="378" t="s">
        <v>125</v>
      </c>
      <c r="W98" s="381" t="s">
        <v>125</v>
      </c>
      <c r="X98" s="384" t="s">
        <v>125</v>
      </c>
      <c r="Y98" s="378" t="s">
        <v>125</v>
      </c>
      <c r="Z98" s="378" t="s">
        <v>181</v>
      </c>
      <c r="AA98" s="378" t="s">
        <v>125</v>
      </c>
      <c r="AB98" s="381" t="s">
        <v>125</v>
      </c>
      <c r="AC98" s="384" t="s">
        <v>125</v>
      </c>
      <c r="AD98" s="378" t="s">
        <v>125</v>
      </c>
      <c r="AE98" s="378" t="s">
        <v>125</v>
      </c>
      <c r="AF98" s="378" t="s">
        <v>125</v>
      </c>
      <c r="AG98" s="381" t="s">
        <v>125</v>
      </c>
      <c r="AH98" s="384" t="s">
        <v>125</v>
      </c>
      <c r="AI98" s="378" t="s">
        <v>125</v>
      </c>
      <c r="AJ98" s="378" t="s">
        <v>125</v>
      </c>
      <c r="AK98" s="378" t="s">
        <v>125</v>
      </c>
      <c r="AL98" s="381" t="s">
        <v>125</v>
      </c>
      <c r="AM98" s="384" t="s">
        <v>125</v>
      </c>
      <c r="AN98" s="378" t="s">
        <v>125</v>
      </c>
      <c r="AO98" s="378" t="s">
        <v>105</v>
      </c>
      <c r="AP98" s="378" t="s">
        <v>125</v>
      </c>
      <c r="AQ98" s="381" t="s">
        <v>125</v>
      </c>
      <c r="AR98" s="384" t="s">
        <v>125</v>
      </c>
      <c r="AS98" s="378" t="s">
        <v>125</v>
      </c>
      <c r="AT98" s="378" t="s">
        <v>125</v>
      </c>
      <c r="AU98" s="378" t="s">
        <v>125</v>
      </c>
      <c r="AV98" s="381" t="s">
        <v>125</v>
      </c>
      <c r="AW98" s="384" t="s">
        <v>125</v>
      </c>
      <c r="AX98" s="378" t="s">
        <v>125</v>
      </c>
      <c r="AY98" s="378" t="s">
        <v>125</v>
      </c>
      <c r="AZ98" s="378" t="s">
        <v>125</v>
      </c>
      <c r="BA98" s="381" t="s">
        <v>125</v>
      </c>
      <c r="BB98" s="384" t="s">
        <v>105</v>
      </c>
      <c r="BC98" s="378" t="s">
        <v>125</v>
      </c>
      <c r="BD98" s="378" t="s">
        <v>125</v>
      </c>
      <c r="BE98" s="378" t="s">
        <v>141</v>
      </c>
      <c r="BF98" s="381" t="s">
        <v>125</v>
      </c>
      <c r="BG98" s="384" t="s">
        <v>125</v>
      </c>
      <c r="BH98" s="378" t="s">
        <v>125</v>
      </c>
      <c r="BI98" s="378" t="s">
        <v>125</v>
      </c>
      <c r="BJ98" s="378" t="s">
        <v>105</v>
      </c>
      <c r="BK98" s="381" t="s">
        <v>125</v>
      </c>
      <c r="BL98" s="384" t="s">
        <v>133</v>
      </c>
      <c r="BM98" s="381" t="s">
        <v>231</v>
      </c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65"/>
      <c r="B99" s="8"/>
      <c r="C99" s="335"/>
      <c r="D99" s="376" t="s">
        <v>125</v>
      </c>
      <c r="E99" s="379" t="s">
        <v>125</v>
      </c>
      <c r="F99" s="379" t="s">
        <v>125</v>
      </c>
      <c r="G99" s="379" t="s">
        <v>125</v>
      </c>
      <c r="H99" s="382" t="s">
        <v>291</v>
      </c>
      <c r="I99" s="385" t="s">
        <v>292</v>
      </c>
      <c r="J99" s="379" t="s">
        <v>125</v>
      </c>
      <c r="K99" s="379" t="s">
        <v>125</v>
      </c>
      <c r="L99" s="379" t="s">
        <v>125</v>
      </c>
      <c r="M99" s="382" t="s">
        <v>125</v>
      </c>
      <c r="N99" s="385" t="s">
        <v>125</v>
      </c>
      <c r="O99" s="379" t="s">
        <v>125</v>
      </c>
      <c r="P99" s="379" t="s">
        <v>125</v>
      </c>
      <c r="Q99" s="379" t="s">
        <v>125</v>
      </c>
      <c r="R99" s="382" t="s">
        <v>125</v>
      </c>
      <c r="S99" s="385" t="s">
        <v>125</v>
      </c>
      <c r="T99" s="379" t="s">
        <v>125</v>
      </c>
      <c r="U99" s="379" t="s">
        <v>125</v>
      </c>
      <c r="V99" s="379" t="s">
        <v>125</v>
      </c>
      <c r="W99" s="382" t="s">
        <v>125</v>
      </c>
      <c r="X99" s="385" t="s">
        <v>125</v>
      </c>
      <c r="Y99" s="379" t="s">
        <v>125</v>
      </c>
      <c r="Z99" s="379" t="s">
        <v>181</v>
      </c>
      <c r="AA99" s="379" t="s">
        <v>125</v>
      </c>
      <c r="AB99" s="382" t="s">
        <v>125</v>
      </c>
      <c r="AC99" s="385" t="s">
        <v>125</v>
      </c>
      <c r="AD99" s="379" t="s">
        <v>125</v>
      </c>
      <c r="AE99" s="379" t="s">
        <v>125</v>
      </c>
      <c r="AF99" s="379" t="s">
        <v>125</v>
      </c>
      <c r="AG99" s="382" t="s">
        <v>125</v>
      </c>
      <c r="AH99" s="385" t="s">
        <v>125</v>
      </c>
      <c r="AI99" s="379" t="s">
        <v>125</v>
      </c>
      <c r="AJ99" s="379" t="s">
        <v>125</v>
      </c>
      <c r="AK99" s="379" t="s">
        <v>125</v>
      </c>
      <c r="AL99" s="382" t="s">
        <v>125</v>
      </c>
      <c r="AM99" s="385" t="s">
        <v>125</v>
      </c>
      <c r="AN99" s="379" t="s">
        <v>125</v>
      </c>
      <c r="AO99" s="379" t="s">
        <v>105</v>
      </c>
      <c r="AP99" s="379" t="s">
        <v>125</v>
      </c>
      <c r="AQ99" s="382" t="s">
        <v>125</v>
      </c>
      <c r="AR99" s="385" t="s">
        <v>125</v>
      </c>
      <c r="AS99" s="379" t="s">
        <v>125</v>
      </c>
      <c r="AT99" s="379" t="s">
        <v>125</v>
      </c>
      <c r="AU99" s="379" t="s">
        <v>125</v>
      </c>
      <c r="AV99" s="382" t="s">
        <v>125</v>
      </c>
      <c r="AW99" s="385" t="s">
        <v>125</v>
      </c>
      <c r="AX99" s="379" t="s">
        <v>125</v>
      </c>
      <c r="AY99" s="379" t="s">
        <v>125</v>
      </c>
      <c r="AZ99" s="379" t="s">
        <v>125</v>
      </c>
      <c r="BA99" s="382" t="s">
        <v>125</v>
      </c>
      <c r="BB99" s="385" t="s">
        <v>105</v>
      </c>
      <c r="BC99" s="379" t="s">
        <v>125</v>
      </c>
      <c r="BD99" s="379" t="s">
        <v>125</v>
      </c>
      <c r="BE99" s="379" t="s">
        <v>141</v>
      </c>
      <c r="BF99" s="382" t="s">
        <v>125</v>
      </c>
      <c r="BG99" s="385" t="s">
        <v>125</v>
      </c>
      <c r="BH99" s="379" t="s">
        <v>125</v>
      </c>
      <c r="BI99" s="379" t="s">
        <v>125</v>
      </c>
      <c r="BJ99" s="379" t="s">
        <v>105</v>
      </c>
      <c r="BK99" s="382" t="s">
        <v>125</v>
      </c>
      <c r="BL99" s="385" t="s">
        <v>133</v>
      </c>
      <c r="BM99" s="382" t="s">
        <v>231</v>
      </c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43</v>
      </c>
      <c r="B100" s="6"/>
      <c r="C100" s="334" t="s">
        <v>124</v>
      </c>
      <c r="D100" s="374" t="s">
        <v>125</v>
      </c>
      <c r="E100" s="377" t="s">
        <v>125</v>
      </c>
      <c r="F100" s="377" t="s">
        <v>144</v>
      </c>
      <c r="G100" s="377" t="s">
        <v>125</v>
      </c>
      <c r="H100" s="380" t="s">
        <v>125</v>
      </c>
      <c r="I100" s="383" t="s">
        <v>125</v>
      </c>
      <c r="J100" s="377" t="s">
        <v>125</v>
      </c>
      <c r="K100" s="377" t="s">
        <v>125</v>
      </c>
      <c r="L100" s="377" t="s">
        <v>139</v>
      </c>
      <c r="M100" s="380" t="s">
        <v>125</v>
      </c>
      <c r="N100" s="383" t="s">
        <v>125</v>
      </c>
      <c r="O100" s="377" t="s">
        <v>125</v>
      </c>
      <c r="P100" s="377" t="s">
        <v>125</v>
      </c>
      <c r="Q100" s="377" t="s">
        <v>125</v>
      </c>
      <c r="R100" s="380" t="s">
        <v>125</v>
      </c>
      <c r="S100" s="383" t="s">
        <v>125</v>
      </c>
      <c r="T100" s="377" t="s">
        <v>125</v>
      </c>
      <c r="U100" s="377" t="s">
        <v>125</v>
      </c>
      <c r="V100" s="377" t="s">
        <v>125</v>
      </c>
      <c r="W100" s="380" t="s">
        <v>125</v>
      </c>
      <c r="X100" s="383" t="s">
        <v>125</v>
      </c>
      <c r="Y100" s="377" t="s">
        <v>125</v>
      </c>
      <c r="Z100" s="377" t="s">
        <v>125</v>
      </c>
      <c r="AA100" s="377" t="s">
        <v>125</v>
      </c>
      <c r="AB100" s="380" t="s">
        <v>125</v>
      </c>
      <c r="AC100" s="383" t="s">
        <v>125</v>
      </c>
      <c r="AD100" s="377" t="s">
        <v>125</v>
      </c>
      <c r="AE100" s="377" t="s">
        <v>105</v>
      </c>
      <c r="AF100" s="377" t="s">
        <v>105</v>
      </c>
      <c r="AG100" s="380" t="s">
        <v>125</v>
      </c>
      <c r="AH100" s="383" t="s">
        <v>105</v>
      </c>
      <c r="AI100" s="377" t="s">
        <v>105</v>
      </c>
      <c r="AJ100" s="377" t="s">
        <v>105</v>
      </c>
      <c r="AK100" s="377" t="s">
        <v>125</v>
      </c>
      <c r="AL100" s="380" t="s">
        <v>125</v>
      </c>
      <c r="AM100" s="383" t="s">
        <v>125</v>
      </c>
      <c r="AN100" s="377" t="s">
        <v>125</v>
      </c>
      <c r="AO100" s="377" t="s">
        <v>125</v>
      </c>
      <c r="AP100" s="377" t="s">
        <v>125</v>
      </c>
      <c r="AQ100" s="380" t="s">
        <v>125</v>
      </c>
      <c r="AR100" s="383" t="s">
        <v>125</v>
      </c>
      <c r="AS100" s="377" t="s">
        <v>125</v>
      </c>
      <c r="AT100" s="377" t="s">
        <v>125</v>
      </c>
      <c r="AU100" s="377" t="s">
        <v>125</v>
      </c>
      <c r="AV100" s="380" t="s">
        <v>125</v>
      </c>
      <c r="AW100" s="383" t="s">
        <v>125</v>
      </c>
      <c r="AX100" s="377" t="s">
        <v>125</v>
      </c>
      <c r="AY100" s="377" t="s">
        <v>125</v>
      </c>
      <c r="AZ100" s="377" t="s">
        <v>125</v>
      </c>
      <c r="BA100" s="380" t="s">
        <v>125</v>
      </c>
      <c r="BB100" s="383" t="s">
        <v>125</v>
      </c>
      <c r="BC100" s="377" t="s">
        <v>125</v>
      </c>
      <c r="BD100" s="377" t="s">
        <v>125</v>
      </c>
      <c r="BE100" s="377" t="s">
        <v>279</v>
      </c>
      <c r="BF100" s="380" t="s">
        <v>105</v>
      </c>
      <c r="BG100" s="383" t="s">
        <v>125</v>
      </c>
      <c r="BH100" s="377" t="s">
        <v>229</v>
      </c>
      <c r="BI100" s="377" t="s">
        <v>125</v>
      </c>
      <c r="BJ100" s="377" t="s">
        <v>125</v>
      </c>
      <c r="BK100" s="380" t="s">
        <v>125</v>
      </c>
      <c r="BL100" s="383" t="s">
        <v>125</v>
      </c>
      <c r="BM100" s="380" t="s">
        <v>125</v>
      </c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65" t="s">
        <v>11</v>
      </c>
      <c r="B101" s="7" t="s">
        <v>47</v>
      </c>
      <c r="C101" s="335"/>
      <c r="D101" s="375" t="s">
        <v>125</v>
      </c>
      <c r="E101" s="378" t="s">
        <v>125</v>
      </c>
      <c r="F101" s="378" t="s">
        <v>144</v>
      </c>
      <c r="G101" s="378" t="s">
        <v>125</v>
      </c>
      <c r="H101" s="381" t="s">
        <v>125</v>
      </c>
      <c r="I101" s="384" t="s">
        <v>125</v>
      </c>
      <c r="J101" s="378" t="s">
        <v>125</v>
      </c>
      <c r="K101" s="378" t="s">
        <v>125</v>
      </c>
      <c r="L101" s="378" t="s">
        <v>139</v>
      </c>
      <c r="M101" s="381" t="s">
        <v>125</v>
      </c>
      <c r="N101" s="384" t="s">
        <v>125</v>
      </c>
      <c r="O101" s="378" t="s">
        <v>125</v>
      </c>
      <c r="P101" s="378" t="s">
        <v>125</v>
      </c>
      <c r="Q101" s="378" t="s">
        <v>125</v>
      </c>
      <c r="R101" s="381" t="s">
        <v>125</v>
      </c>
      <c r="S101" s="384" t="s">
        <v>125</v>
      </c>
      <c r="T101" s="378" t="s">
        <v>125</v>
      </c>
      <c r="U101" s="378" t="s">
        <v>125</v>
      </c>
      <c r="V101" s="378" t="s">
        <v>125</v>
      </c>
      <c r="W101" s="381" t="s">
        <v>125</v>
      </c>
      <c r="X101" s="384" t="s">
        <v>125</v>
      </c>
      <c r="Y101" s="378" t="s">
        <v>125</v>
      </c>
      <c r="Z101" s="378" t="s">
        <v>125</v>
      </c>
      <c r="AA101" s="378" t="s">
        <v>125</v>
      </c>
      <c r="AB101" s="381" t="s">
        <v>125</v>
      </c>
      <c r="AC101" s="384" t="s">
        <v>125</v>
      </c>
      <c r="AD101" s="378" t="s">
        <v>125</v>
      </c>
      <c r="AE101" s="378" t="s">
        <v>105</v>
      </c>
      <c r="AF101" s="378" t="s">
        <v>105</v>
      </c>
      <c r="AG101" s="381" t="s">
        <v>125</v>
      </c>
      <c r="AH101" s="384" t="s">
        <v>105</v>
      </c>
      <c r="AI101" s="378" t="s">
        <v>105</v>
      </c>
      <c r="AJ101" s="378" t="s">
        <v>105</v>
      </c>
      <c r="AK101" s="378" t="s">
        <v>125</v>
      </c>
      <c r="AL101" s="381" t="s">
        <v>125</v>
      </c>
      <c r="AM101" s="384" t="s">
        <v>125</v>
      </c>
      <c r="AN101" s="378" t="s">
        <v>125</v>
      </c>
      <c r="AO101" s="378" t="s">
        <v>125</v>
      </c>
      <c r="AP101" s="378" t="s">
        <v>125</v>
      </c>
      <c r="AQ101" s="381" t="s">
        <v>125</v>
      </c>
      <c r="AR101" s="384" t="s">
        <v>125</v>
      </c>
      <c r="AS101" s="378" t="s">
        <v>125</v>
      </c>
      <c r="AT101" s="378" t="s">
        <v>125</v>
      </c>
      <c r="AU101" s="378" t="s">
        <v>125</v>
      </c>
      <c r="AV101" s="381" t="s">
        <v>125</v>
      </c>
      <c r="AW101" s="384" t="s">
        <v>125</v>
      </c>
      <c r="AX101" s="378" t="s">
        <v>125</v>
      </c>
      <c r="AY101" s="378" t="s">
        <v>125</v>
      </c>
      <c r="AZ101" s="378" t="s">
        <v>125</v>
      </c>
      <c r="BA101" s="381" t="s">
        <v>125</v>
      </c>
      <c r="BB101" s="384" t="s">
        <v>125</v>
      </c>
      <c r="BC101" s="378" t="s">
        <v>125</v>
      </c>
      <c r="BD101" s="378" t="s">
        <v>125</v>
      </c>
      <c r="BE101" s="378" t="s">
        <v>279</v>
      </c>
      <c r="BF101" s="381" t="s">
        <v>105</v>
      </c>
      <c r="BG101" s="384" t="s">
        <v>125</v>
      </c>
      <c r="BH101" s="378" t="s">
        <v>229</v>
      </c>
      <c r="BI101" s="378" t="s">
        <v>125</v>
      </c>
      <c r="BJ101" s="378" t="s">
        <v>125</v>
      </c>
      <c r="BK101" s="381" t="s">
        <v>125</v>
      </c>
      <c r="BL101" s="384" t="s">
        <v>125</v>
      </c>
      <c r="BM101" s="381" t="s">
        <v>125</v>
      </c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65"/>
      <c r="B102" s="8"/>
      <c r="C102" s="335"/>
      <c r="D102" s="376" t="s">
        <v>125</v>
      </c>
      <c r="E102" s="379" t="s">
        <v>125</v>
      </c>
      <c r="F102" s="379" t="s">
        <v>144</v>
      </c>
      <c r="G102" s="379" t="s">
        <v>125</v>
      </c>
      <c r="H102" s="382" t="s">
        <v>125</v>
      </c>
      <c r="I102" s="385" t="s">
        <v>125</v>
      </c>
      <c r="J102" s="379" t="s">
        <v>125</v>
      </c>
      <c r="K102" s="379" t="s">
        <v>125</v>
      </c>
      <c r="L102" s="379" t="s">
        <v>139</v>
      </c>
      <c r="M102" s="382" t="s">
        <v>125</v>
      </c>
      <c r="N102" s="385" t="s">
        <v>125</v>
      </c>
      <c r="O102" s="379" t="s">
        <v>125</v>
      </c>
      <c r="P102" s="379" t="s">
        <v>125</v>
      </c>
      <c r="Q102" s="379" t="s">
        <v>125</v>
      </c>
      <c r="R102" s="382" t="s">
        <v>125</v>
      </c>
      <c r="S102" s="385" t="s">
        <v>125</v>
      </c>
      <c r="T102" s="379" t="s">
        <v>125</v>
      </c>
      <c r="U102" s="379" t="s">
        <v>125</v>
      </c>
      <c r="V102" s="379" t="s">
        <v>125</v>
      </c>
      <c r="W102" s="382" t="s">
        <v>125</v>
      </c>
      <c r="X102" s="385" t="s">
        <v>125</v>
      </c>
      <c r="Y102" s="379" t="s">
        <v>125</v>
      </c>
      <c r="Z102" s="379" t="s">
        <v>125</v>
      </c>
      <c r="AA102" s="379" t="s">
        <v>125</v>
      </c>
      <c r="AB102" s="382" t="s">
        <v>125</v>
      </c>
      <c r="AC102" s="385" t="s">
        <v>125</v>
      </c>
      <c r="AD102" s="379" t="s">
        <v>125</v>
      </c>
      <c r="AE102" s="379" t="s">
        <v>105</v>
      </c>
      <c r="AF102" s="379" t="s">
        <v>105</v>
      </c>
      <c r="AG102" s="382" t="s">
        <v>125</v>
      </c>
      <c r="AH102" s="385" t="s">
        <v>105</v>
      </c>
      <c r="AI102" s="379" t="s">
        <v>105</v>
      </c>
      <c r="AJ102" s="379" t="s">
        <v>105</v>
      </c>
      <c r="AK102" s="379" t="s">
        <v>125</v>
      </c>
      <c r="AL102" s="382" t="s">
        <v>125</v>
      </c>
      <c r="AM102" s="385" t="s">
        <v>125</v>
      </c>
      <c r="AN102" s="379" t="s">
        <v>125</v>
      </c>
      <c r="AO102" s="379" t="s">
        <v>125</v>
      </c>
      <c r="AP102" s="379" t="s">
        <v>125</v>
      </c>
      <c r="AQ102" s="382" t="s">
        <v>125</v>
      </c>
      <c r="AR102" s="385" t="s">
        <v>125</v>
      </c>
      <c r="AS102" s="379" t="s">
        <v>125</v>
      </c>
      <c r="AT102" s="379" t="s">
        <v>125</v>
      </c>
      <c r="AU102" s="379" t="s">
        <v>125</v>
      </c>
      <c r="AV102" s="382" t="s">
        <v>125</v>
      </c>
      <c r="AW102" s="385" t="s">
        <v>125</v>
      </c>
      <c r="AX102" s="379" t="s">
        <v>125</v>
      </c>
      <c r="AY102" s="379" t="s">
        <v>125</v>
      </c>
      <c r="AZ102" s="379" t="s">
        <v>125</v>
      </c>
      <c r="BA102" s="382" t="s">
        <v>125</v>
      </c>
      <c r="BB102" s="385" t="s">
        <v>125</v>
      </c>
      <c r="BC102" s="379" t="s">
        <v>125</v>
      </c>
      <c r="BD102" s="379" t="s">
        <v>125</v>
      </c>
      <c r="BE102" s="379" t="s">
        <v>279</v>
      </c>
      <c r="BF102" s="382" t="s">
        <v>105</v>
      </c>
      <c r="BG102" s="385" t="s">
        <v>125</v>
      </c>
      <c r="BH102" s="379" t="s">
        <v>229</v>
      </c>
      <c r="BI102" s="379" t="s">
        <v>125</v>
      </c>
      <c r="BJ102" s="379" t="s">
        <v>125</v>
      </c>
      <c r="BK102" s="382" t="s">
        <v>125</v>
      </c>
      <c r="BL102" s="385" t="s">
        <v>125</v>
      </c>
      <c r="BM102" s="382" t="s">
        <v>125</v>
      </c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43</v>
      </c>
      <c r="B103" s="6" t="s">
        <v>9</v>
      </c>
      <c r="C103" s="334" t="s">
        <v>124</v>
      </c>
      <c r="D103" s="374" t="s">
        <v>105</v>
      </c>
      <c r="E103" s="377" t="s">
        <v>105</v>
      </c>
      <c r="F103" s="377" t="s">
        <v>125</v>
      </c>
      <c r="G103" s="377" t="s">
        <v>125</v>
      </c>
      <c r="H103" s="380" t="s">
        <v>105</v>
      </c>
      <c r="I103" s="383" t="s">
        <v>125</v>
      </c>
      <c r="J103" s="377" t="s">
        <v>125</v>
      </c>
      <c r="K103" s="377" t="s">
        <v>105</v>
      </c>
      <c r="L103" s="377" t="s">
        <v>125</v>
      </c>
      <c r="M103" s="380" t="s">
        <v>125</v>
      </c>
      <c r="N103" s="383" t="s">
        <v>105</v>
      </c>
      <c r="O103" s="377" t="s">
        <v>125</v>
      </c>
      <c r="P103" s="377" t="s">
        <v>125</v>
      </c>
      <c r="Q103" s="377" t="s">
        <v>105</v>
      </c>
      <c r="R103" s="380" t="s">
        <v>125</v>
      </c>
      <c r="S103" s="383" t="s">
        <v>125</v>
      </c>
      <c r="T103" s="377" t="s">
        <v>105</v>
      </c>
      <c r="U103" s="377" t="s">
        <v>125</v>
      </c>
      <c r="V103" s="377" t="s">
        <v>125</v>
      </c>
      <c r="W103" s="380" t="s">
        <v>105</v>
      </c>
      <c r="X103" s="383" t="s">
        <v>125</v>
      </c>
      <c r="Y103" s="377" t="s">
        <v>125</v>
      </c>
      <c r="Z103" s="377" t="s">
        <v>105</v>
      </c>
      <c r="AA103" s="377" t="s">
        <v>125</v>
      </c>
      <c r="AB103" s="380" t="s">
        <v>125</v>
      </c>
      <c r="AC103" s="383" t="s">
        <v>105</v>
      </c>
      <c r="AD103" s="377" t="s">
        <v>105</v>
      </c>
      <c r="AE103" s="377" t="s">
        <v>125</v>
      </c>
      <c r="AF103" s="377" t="s">
        <v>125</v>
      </c>
      <c r="AG103" s="380" t="s">
        <v>105</v>
      </c>
      <c r="AH103" s="383" t="s">
        <v>125</v>
      </c>
      <c r="AI103" s="377" t="s">
        <v>125</v>
      </c>
      <c r="AJ103" s="377" t="s">
        <v>105</v>
      </c>
      <c r="AK103" s="377" t="s">
        <v>125</v>
      </c>
      <c r="AL103" s="380" t="s">
        <v>125</v>
      </c>
      <c r="AM103" s="383" t="s">
        <v>105</v>
      </c>
      <c r="AN103" s="377" t="s">
        <v>105</v>
      </c>
      <c r="AO103" s="377" t="s">
        <v>105</v>
      </c>
      <c r="AP103" s="377" t="s">
        <v>125</v>
      </c>
      <c r="AQ103" s="380" t="s">
        <v>105</v>
      </c>
      <c r="AR103" s="383" t="s">
        <v>125</v>
      </c>
      <c r="AS103" s="377" t="s">
        <v>125</v>
      </c>
      <c r="AT103" s="377" t="s">
        <v>105</v>
      </c>
      <c r="AU103" s="377" t="s">
        <v>125</v>
      </c>
      <c r="AV103" s="380" t="s">
        <v>125</v>
      </c>
      <c r="AW103" s="383" t="s">
        <v>105</v>
      </c>
      <c r="AX103" s="377" t="s">
        <v>125</v>
      </c>
      <c r="AY103" s="377" t="s">
        <v>125</v>
      </c>
      <c r="AZ103" s="377" t="s">
        <v>105</v>
      </c>
      <c r="BA103" s="380" t="s">
        <v>105</v>
      </c>
      <c r="BB103" s="383" t="s">
        <v>125</v>
      </c>
      <c r="BC103" s="377" t="s">
        <v>105</v>
      </c>
      <c r="BD103" s="377" t="s">
        <v>125</v>
      </c>
      <c r="BE103" s="377" t="s">
        <v>125</v>
      </c>
      <c r="BF103" s="380" t="s">
        <v>105</v>
      </c>
      <c r="BG103" s="383" t="s">
        <v>105</v>
      </c>
      <c r="BH103" s="377" t="s">
        <v>105</v>
      </c>
      <c r="BI103" s="377" t="s">
        <v>105</v>
      </c>
      <c r="BJ103" s="377" t="s">
        <v>125</v>
      </c>
      <c r="BK103" s="380" t="s">
        <v>125</v>
      </c>
      <c r="BL103" s="383" t="s">
        <v>105</v>
      </c>
      <c r="BM103" s="380" t="s">
        <v>105</v>
      </c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65" t="s">
        <v>11</v>
      </c>
      <c r="B104" s="7" t="s">
        <v>12</v>
      </c>
      <c r="C104" s="335"/>
      <c r="D104" s="375" t="s">
        <v>105</v>
      </c>
      <c r="E104" s="378" t="s">
        <v>105</v>
      </c>
      <c r="F104" s="378" t="s">
        <v>125</v>
      </c>
      <c r="G104" s="378" t="s">
        <v>125</v>
      </c>
      <c r="H104" s="381" t="s">
        <v>105</v>
      </c>
      <c r="I104" s="384" t="s">
        <v>125</v>
      </c>
      <c r="J104" s="378" t="s">
        <v>125</v>
      </c>
      <c r="K104" s="378" t="s">
        <v>105</v>
      </c>
      <c r="L104" s="378" t="s">
        <v>125</v>
      </c>
      <c r="M104" s="381" t="s">
        <v>125</v>
      </c>
      <c r="N104" s="384" t="s">
        <v>105</v>
      </c>
      <c r="O104" s="378" t="s">
        <v>125</v>
      </c>
      <c r="P104" s="378" t="s">
        <v>125</v>
      </c>
      <c r="Q104" s="378" t="s">
        <v>105</v>
      </c>
      <c r="R104" s="381" t="s">
        <v>125</v>
      </c>
      <c r="S104" s="384" t="s">
        <v>125</v>
      </c>
      <c r="T104" s="378" t="s">
        <v>105</v>
      </c>
      <c r="U104" s="378" t="s">
        <v>125</v>
      </c>
      <c r="V104" s="378" t="s">
        <v>125</v>
      </c>
      <c r="W104" s="381" t="s">
        <v>105</v>
      </c>
      <c r="X104" s="384" t="s">
        <v>125</v>
      </c>
      <c r="Y104" s="378" t="s">
        <v>125</v>
      </c>
      <c r="Z104" s="378" t="s">
        <v>105</v>
      </c>
      <c r="AA104" s="378" t="s">
        <v>125</v>
      </c>
      <c r="AB104" s="381" t="s">
        <v>125</v>
      </c>
      <c r="AC104" s="384" t="s">
        <v>105</v>
      </c>
      <c r="AD104" s="378" t="s">
        <v>105</v>
      </c>
      <c r="AE104" s="378" t="s">
        <v>125</v>
      </c>
      <c r="AF104" s="378" t="s">
        <v>125</v>
      </c>
      <c r="AG104" s="381" t="s">
        <v>105</v>
      </c>
      <c r="AH104" s="384" t="s">
        <v>125</v>
      </c>
      <c r="AI104" s="378" t="s">
        <v>125</v>
      </c>
      <c r="AJ104" s="378" t="s">
        <v>105</v>
      </c>
      <c r="AK104" s="378" t="s">
        <v>125</v>
      </c>
      <c r="AL104" s="381" t="s">
        <v>125</v>
      </c>
      <c r="AM104" s="384" t="s">
        <v>105</v>
      </c>
      <c r="AN104" s="378" t="s">
        <v>105</v>
      </c>
      <c r="AO104" s="378" t="s">
        <v>105</v>
      </c>
      <c r="AP104" s="378" t="s">
        <v>125</v>
      </c>
      <c r="AQ104" s="381" t="s">
        <v>105</v>
      </c>
      <c r="AR104" s="384" t="s">
        <v>125</v>
      </c>
      <c r="AS104" s="378" t="s">
        <v>125</v>
      </c>
      <c r="AT104" s="378" t="s">
        <v>105</v>
      </c>
      <c r="AU104" s="378" t="s">
        <v>125</v>
      </c>
      <c r="AV104" s="381" t="s">
        <v>125</v>
      </c>
      <c r="AW104" s="384" t="s">
        <v>105</v>
      </c>
      <c r="AX104" s="378" t="s">
        <v>125</v>
      </c>
      <c r="AY104" s="378" t="s">
        <v>125</v>
      </c>
      <c r="AZ104" s="378" t="s">
        <v>105</v>
      </c>
      <c r="BA104" s="381" t="s">
        <v>105</v>
      </c>
      <c r="BB104" s="384" t="s">
        <v>125</v>
      </c>
      <c r="BC104" s="378" t="s">
        <v>105</v>
      </c>
      <c r="BD104" s="378" t="s">
        <v>125</v>
      </c>
      <c r="BE104" s="378" t="s">
        <v>125</v>
      </c>
      <c r="BF104" s="381" t="s">
        <v>105</v>
      </c>
      <c r="BG104" s="384" t="s">
        <v>105</v>
      </c>
      <c r="BH104" s="378" t="s">
        <v>105</v>
      </c>
      <c r="BI104" s="378" t="s">
        <v>105</v>
      </c>
      <c r="BJ104" s="378" t="s">
        <v>125</v>
      </c>
      <c r="BK104" s="381" t="s">
        <v>125</v>
      </c>
      <c r="BL104" s="384" t="s">
        <v>105</v>
      </c>
      <c r="BM104" s="381" t="s">
        <v>105</v>
      </c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65"/>
      <c r="B105" s="8" t="s">
        <v>48</v>
      </c>
      <c r="C105" s="335"/>
      <c r="D105" s="376" t="s">
        <v>105</v>
      </c>
      <c r="E105" s="379" t="s">
        <v>105</v>
      </c>
      <c r="F105" s="379" t="s">
        <v>125</v>
      </c>
      <c r="G105" s="379" t="s">
        <v>125</v>
      </c>
      <c r="H105" s="382" t="s">
        <v>105</v>
      </c>
      <c r="I105" s="385" t="s">
        <v>125</v>
      </c>
      <c r="J105" s="379" t="s">
        <v>125</v>
      </c>
      <c r="K105" s="379" t="s">
        <v>105</v>
      </c>
      <c r="L105" s="379" t="s">
        <v>125</v>
      </c>
      <c r="M105" s="382" t="s">
        <v>125</v>
      </c>
      <c r="N105" s="385" t="s">
        <v>105</v>
      </c>
      <c r="O105" s="379" t="s">
        <v>125</v>
      </c>
      <c r="P105" s="379" t="s">
        <v>125</v>
      </c>
      <c r="Q105" s="379" t="s">
        <v>105</v>
      </c>
      <c r="R105" s="382" t="s">
        <v>125</v>
      </c>
      <c r="S105" s="385" t="s">
        <v>125</v>
      </c>
      <c r="T105" s="379" t="s">
        <v>105</v>
      </c>
      <c r="U105" s="379" t="s">
        <v>125</v>
      </c>
      <c r="V105" s="379" t="s">
        <v>125</v>
      </c>
      <c r="W105" s="382" t="s">
        <v>105</v>
      </c>
      <c r="X105" s="385" t="s">
        <v>125</v>
      </c>
      <c r="Y105" s="379" t="s">
        <v>125</v>
      </c>
      <c r="Z105" s="379" t="s">
        <v>105</v>
      </c>
      <c r="AA105" s="379" t="s">
        <v>125</v>
      </c>
      <c r="AB105" s="382" t="s">
        <v>125</v>
      </c>
      <c r="AC105" s="385" t="s">
        <v>105</v>
      </c>
      <c r="AD105" s="379" t="s">
        <v>105</v>
      </c>
      <c r="AE105" s="379" t="s">
        <v>125</v>
      </c>
      <c r="AF105" s="379" t="s">
        <v>125</v>
      </c>
      <c r="AG105" s="382" t="s">
        <v>105</v>
      </c>
      <c r="AH105" s="385" t="s">
        <v>125</v>
      </c>
      <c r="AI105" s="379" t="s">
        <v>125</v>
      </c>
      <c r="AJ105" s="379" t="s">
        <v>105</v>
      </c>
      <c r="AK105" s="379" t="s">
        <v>125</v>
      </c>
      <c r="AL105" s="382" t="s">
        <v>125</v>
      </c>
      <c r="AM105" s="385" t="s">
        <v>105</v>
      </c>
      <c r="AN105" s="379" t="s">
        <v>105</v>
      </c>
      <c r="AO105" s="379" t="s">
        <v>105</v>
      </c>
      <c r="AP105" s="379" t="s">
        <v>125</v>
      </c>
      <c r="AQ105" s="382" t="s">
        <v>105</v>
      </c>
      <c r="AR105" s="385" t="s">
        <v>125</v>
      </c>
      <c r="AS105" s="379" t="s">
        <v>125</v>
      </c>
      <c r="AT105" s="379" t="s">
        <v>105</v>
      </c>
      <c r="AU105" s="379" t="s">
        <v>125</v>
      </c>
      <c r="AV105" s="382" t="s">
        <v>125</v>
      </c>
      <c r="AW105" s="385" t="s">
        <v>105</v>
      </c>
      <c r="AX105" s="379" t="s">
        <v>125</v>
      </c>
      <c r="AY105" s="379" t="s">
        <v>125</v>
      </c>
      <c r="AZ105" s="379" t="s">
        <v>105</v>
      </c>
      <c r="BA105" s="382" t="s">
        <v>105</v>
      </c>
      <c r="BB105" s="385" t="s">
        <v>125</v>
      </c>
      <c r="BC105" s="379" t="s">
        <v>105</v>
      </c>
      <c r="BD105" s="379" t="s">
        <v>125</v>
      </c>
      <c r="BE105" s="379" t="s">
        <v>125</v>
      </c>
      <c r="BF105" s="382" t="s">
        <v>105</v>
      </c>
      <c r="BG105" s="385" t="s">
        <v>105</v>
      </c>
      <c r="BH105" s="379" t="s">
        <v>105</v>
      </c>
      <c r="BI105" s="379" t="s">
        <v>105</v>
      </c>
      <c r="BJ105" s="379" t="s">
        <v>125</v>
      </c>
      <c r="BK105" s="382" t="s">
        <v>125</v>
      </c>
      <c r="BL105" s="385" t="s">
        <v>105</v>
      </c>
      <c r="BM105" s="382" t="s">
        <v>105</v>
      </c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43</v>
      </c>
      <c r="B106" s="6" t="s">
        <v>15</v>
      </c>
      <c r="C106" s="334" t="s">
        <v>124</v>
      </c>
      <c r="D106" s="374" t="s">
        <v>105</v>
      </c>
      <c r="E106" s="377" t="s">
        <v>105</v>
      </c>
      <c r="F106" s="377" t="s">
        <v>125</v>
      </c>
      <c r="G106" s="377" t="s">
        <v>125</v>
      </c>
      <c r="H106" s="380" t="s">
        <v>105</v>
      </c>
      <c r="I106" s="383" t="s">
        <v>125</v>
      </c>
      <c r="J106" s="377" t="s">
        <v>125</v>
      </c>
      <c r="K106" s="377" t="s">
        <v>105</v>
      </c>
      <c r="L106" s="377" t="s">
        <v>125</v>
      </c>
      <c r="M106" s="380" t="s">
        <v>125</v>
      </c>
      <c r="N106" s="383" t="s">
        <v>105</v>
      </c>
      <c r="O106" s="377" t="s">
        <v>125</v>
      </c>
      <c r="P106" s="377" t="s">
        <v>125</v>
      </c>
      <c r="Q106" s="377" t="s">
        <v>105</v>
      </c>
      <c r="R106" s="380" t="s">
        <v>125</v>
      </c>
      <c r="S106" s="383" t="s">
        <v>125</v>
      </c>
      <c r="T106" s="377" t="s">
        <v>105</v>
      </c>
      <c r="U106" s="377" t="s">
        <v>125</v>
      </c>
      <c r="V106" s="377" t="s">
        <v>125</v>
      </c>
      <c r="W106" s="380" t="s">
        <v>105</v>
      </c>
      <c r="X106" s="383" t="s">
        <v>125</v>
      </c>
      <c r="Y106" s="377" t="s">
        <v>125</v>
      </c>
      <c r="Z106" s="377" t="s">
        <v>105</v>
      </c>
      <c r="AA106" s="377" t="s">
        <v>125</v>
      </c>
      <c r="AB106" s="380" t="s">
        <v>125</v>
      </c>
      <c r="AC106" s="383" t="s">
        <v>105</v>
      </c>
      <c r="AD106" s="377" t="s">
        <v>105</v>
      </c>
      <c r="AE106" s="377" t="s">
        <v>125</v>
      </c>
      <c r="AF106" s="377" t="s">
        <v>125</v>
      </c>
      <c r="AG106" s="380" t="s">
        <v>105</v>
      </c>
      <c r="AH106" s="383" t="s">
        <v>125</v>
      </c>
      <c r="AI106" s="377" t="s">
        <v>125</v>
      </c>
      <c r="AJ106" s="377" t="s">
        <v>105</v>
      </c>
      <c r="AK106" s="377" t="s">
        <v>125</v>
      </c>
      <c r="AL106" s="380" t="s">
        <v>125</v>
      </c>
      <c r="AM106" s="383" t="s">
        <v>105</v>
      </c>
      <c r="AN106" s="377" t="s">
        <v>105</v>
      </c>
      <c r="AO106" s="377" t="s">
        <v>105</v>
      </c>
      <c r="AP106" s="377" t="s">
        <v>125</v>
      </c>
      <c r="AQ106" s="380" t="s">
        <v>105</v>
      </c>
      <c r="AR106" s="383" t="s">
        <v>125</v>
      </c>
      <c r="AS106" s="377" t="s">
        <v>125</v>
      </c>
      <c r="AT106" s="377" t="s">
        <v>105</v>
      </c>
      <c r="AU106" s="377" t="s">
        <v>125</v>
      </c>
      <c r="AV106" s="380" t="s">
        <v>125</v>
      </c>
      <c r="AW106" s="383" t="s">
        <v>105</v>
      </c>
      <c r="AX106" s="377" t="s">
        <v>125</v>
      </c>
      <c r="AY106" s="377" t="s">
        <v>125</v>
      </c>
      <c r="AZ106" s="377" t="s">
        <v>105</v>
      </c>
      <c r="BA106" s="380" t="s">
        <v>125</v>
      </c>
      <c r="BB106" s="383" t="s">
        <v>125</v>
      </c>
      <c r="BC106" s="377" t="s">
        <v>105</v>
      </c>
      <c r="BD106" s="377" t="s">
        <v>125</v>
      </c>
      <c r="BE106" s="377" t="s">
        <v>125</v>
      </c>
      <c r="BF106" s="380" t="s">
        <v>105</v>
      </c>
      <c r="BG106" s="383" t="s">
        <v>125</v>
      </c>
      <c r="BH106" s="377" t="s">
        <v>125</v>
      </c>
      <c r="BI106" s="377" t="s">
        <v>105</v>
      </c>
      <c r="BJ106" s="377" t="s">
        <v>105</v>
      </c>
      <c r="BK106" s="380" t="s">
        <v>125</v>
      </c>
      <c r="BL106" s="383" t="s">
        <v>105</v>
      </c>
      <c r="BM106" s="380" t="s">
        <v>105</v>
      </c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65" t="s">
        <v>11</v>
      </c>
      <c r="B107" s="7" t="s">
        <v>12</v>
      </c>
      <c r="C107" s="335"/>
      <c r="D107" s="375" t="s">
        <v>105</v>
      </c>
      <c r="E107" s="378" t="s">
        <v>105</v>
      </c>
      <c r="F107" s="378" t="s">
        <v>125</v>
      </c>
      <c r="G107" s="378" t="s">
        <v>125</v>
      </c>
      <c r="H107" s="381" t="s">
        <v>105</v>
      </c>
      <c r="I107" s="384" t="s">
        <v>125</v>
      </c>
      <c r="J107" s="378" t="s">
        <v>125</v>
      </c>
      <c r="K107" s="378" t="s">
        <v>105</v>
      </c>
      <c r="L107" s="378" t="s">
        <v>125</v>
      </c>
      <c r="M107" s="381" t="s">
        <v>125</v>
      </c>
      <c r="N107" s="384" t="s">
        <v>105</v>
      </c>
      <c r="O107" s="378" t="s">
        <v>125</v>
      </c>
      <c r="P107" s="378" t="s">
        <v>125</v>
      </c>
      <c r="Q107" s="378" t="s">
        <v>105</v>
      </c>
      <c r="R107" s="381" t="s">
        <v>125</v>
      </c>
      <c r="S107" s="384" t="s">
        <v>125</v>
      </c>
      <c r="T107" s="378" t="s">
        <v>105</v>
      </c>
      <c r="U107" s="378" t="s">
        <v>125</v>
      </c>
      <c r="V107" s="378" t="s">
        <v>125</v>
      </c>
      <c r="W107" s="381" t="s">
        <v>105</v>
      </c>
      <c r="X107" s="384" t="s">
        <v>125</v>
      </c>
      <c r="Y107" s="378" t="s">
        <v>125</v>
      </c>
      <c r="Z107" s="378" t="s">
        <v>105</v>
      </c>
      <c r="AA107" s="378" t="s">
        <v>125</v>
      </c>
      <c r="AB107" s="381" t="s">
        <v>125</v>
      </c>
      <c r="AC107" s="384" t="s">
        <v>105</v>
      </c>
      <c r="AD107" s="378" t="s">
        <v>105</v>
      </c>
      <c r="AE107" s="378" t="s">
        <v>125</v>
      </c>
      <c r="AF107" s="378" t="s">
        <v>125</v>
      </c>
      <c r="AG107" s="381" t="s">
        <v>105</v>
      </c>
      <c r="AH107" s="384" t="s">
        <v>125</v>
      </c>
      <c r="AI107" s="378" t="s">
        <v>125</v>
      </c>
      <c r="AJ107" s="378" t="s">
        <v>105</v>
      </c>
      <c r="AK107" s="378" t="s">
        <v>125</v>
      </c>
      <c r="AL107" s="381" t="s">
        <v>125</v>
      </c>
      <c r="AM107" s="384" t="s">
        <v>105</v>
      </c>
      <c r="AN107" s="378" t="s">
        <v>105</v>
      </c>
      <c r="AO107" s="378" t="s">
        <v>105</v>
      </c>
      <c r="AP107" s="378" t="s">
        <v>125</v>
      </c>
      <c r="AQ107" s="381" t="s">
        <v>105</v>
      </c>
      <c r="AR107" s="384" t="s">
        <v>125</v>
      </c>
      <c r="AS107" s="378" t="s">
        <v>125</v>
      </c>
      <c r="AT107" s="378" t="s">
        <v>105</v>
      </c>
      <c r="AU107" s="378" t="s">
        <v>125</v>
      </c>
      <c r="AV107" s="381" t="s">
        <v>125</v>
      </c>
      <c r="AW107" s="384" t="s">
        <v>105</v>
      </c>
      <c r="AX107" s="378" t="s">
        <v>125</v>
      </c>
      <c r="AY107" s="378" t="s">
        <v>125</v>
      </c>
      <c r="AZ107" s="378" t="s">
        <v>105</v>
      </c>
      <c r="BA107" s="381" t="s">
        <v>125</v>
      </c>
      <c r="BB107" s="384" t="s">
        <v>125</v>
      </c>
      <c r="BC107" s="378" t="s">
        <v>105</v>
      </c>
      <c r="BD107" s="378" t="s">
        <v>125</v>
      </c>
      <c r="BE107" s="378" t="s">
        <v>125</v>
      </c>
      <c r="BF107" s="381" t="s">
        <v>105</v>
      </c>
      <c r="BG107" s="384" t="s">
        <v>125</v>
      </c>
      <c r="BH107" s="378" t="s">
        <v>125</v>
      </c>
      <c r="BI107" s="378" t="s">
        <v>105</v>
      </c>
      <c r="BJ107" s="378" t="s">
        <v>105</v>
      </c>
      <c r="BK107" s="381" t="s">
        <v>125</v>
      </c>
      <c r="BL107" s="384" t="s">
        <v>105</v>
      </c>
      <c r="BM107" s="381" t="s">
        <v>105</v>
      </c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65"/>
      <c r="B108" s="8" t="s">
        <v>48</v>
      </c>
      <c r="C108" s="335"/>
      <c r="D108" s="376" t="s">
        <v>105</v>
      </c>
      <c r="E108" s="379" t="s">
        <v>105</v>
      </c>
      <c r="F108" s="379" t="s">
        <v>125</v>
      </c>
      <c r="G108" s="379" t="s">
        <v>125</v>
      </c>
      <c r="H108" s="382" t="s">
        <v>105</v>
      </c>
      <c r="I108" s="385" t="s">
        <v>125</v>
      </c>
      <c r="J108" s="379" t="s">
        <v>125</v>
      </c>
      <c r="K108" s="379" t="s">
        <v>105</v>
      </c>
      <c r="L108" s="379" t="s">
        <v>125</v>
      </c>
      <c r="M108" s="382" t="s">
        <v>125</v>
      </c>
      <c r="N108" s="385" t="s">
        <v>105</v>
      </c>
      <c r="O108" s="379" t="s">
        <v>125</v>
      </c>
      <c r="P108" s="379" t="s">
        <v>125</v>
      </c>
      <c r="Q108" s="379" t="s">
        <v>105</v>
      </c>
      <c r="R108" s="382" t="s">
        <v>125</v>
      </c>
      <c r="S108" s="385" t="s">
        <v>125</v>
      </c>
      <c r="T108" s="379" t="s">
        <v>105</v>
      </c>
      <c r="U108" s="379" t="s">
        <v>125</v>
      </c>
      <c r="V108" s="379" t="s">
        <v>125</v>
      </c>
      <c r="W108" s="382" t="s">
        <v>105</v>
      </c>
      <c r="X108" s="385" t="s">
        <v>125</v>
      </c>
      <c r="Y108" s="379" t="s">
        <v>125</v>
      </c>
      <c r="Z108" s="379" t="s">
        <v>105</v>
      </c>
      <c r="AA108" s="379" t="s">
        <v>125</v>
      </c>
      <c r="AB108" s="382" t="s">
        <v>125</v>
      </c>
      <c r="AC108" s="385" t="s">
        <v>105</v>
      </c>
      <c r="AD108" s="379" t="s">
        <v>105</v>
      </c>
      <c r="AE108" s="379" t="s">
        <v>125</v>
      </c>
      <c r="AF108" s="379" t="s">
        <v>125</v>
      </c>
      <c r="AG108" s="382" t="s">
        <v>105</v>
      </c>
      <c r="AH108" s="385" t="s">
        <v>125</v>
      </c>
      <c r="AI108" s="379" t="s">
        <v>125</v>
      </c>
      <c r="AJ108" s="379" t="s">
        <v>105</v>
      </c>
      <c r="AK108" s="379" t="s">
        <v>125</v>
      </c>
      <c r="AL108" s="382" t="s">
        <v>125</v>
      </c>
      <c r="AM108" s="385" t="s">
        <v>105</v>
      </c>
      <c r="AN108" s="379" t="s">
        <v>105</v>
      </c>
      <c r="AO108" s="379" t="s">
        <v>105</v>
      </c>
      <c r="AP108" s="379" t="s">
        <v>125</v>
      </c>
      <c r="AQ108" s="382" t="s">
        <v>105</v>
      </c>
      <c r="AR108" s="385" t="s">
        <v>125</v>
      </c>
      <c r="AS108" s="379" t="s">
        <v>125</v>
      </c>
      <c r="AT108" s="379" t="s">
        <v>105</v>
      </c>
      <c r="AU108" s="379" t="s">
        <v>125</v>
      </c>
      <c r="AV108" s="382" t="s">
        <v>125</v>
      </c>
      <c r="AW108" s="385" t="s">
        <v>105</v>
      </c>
      <c r="AX108" s="379" t="s">
        <v>125</v>
      </c>
      <c r="AY108" s="379" t="s">
        <v>125</v>
      </c>
      <c r="AZ108" s="379" t="s">
        <v>105</v>
      </c>
      <c r="BA108" s="382" t="s">
        <v>125</v>
      </c>
      <c r="BB108" s="385" t="s">
        <v>125</v>
      </c>
      <c r="BC108" s="379" t="s">
        <v>105</v>
      </c>
      <c r="BD108" s="379" t="s">
        <v>125</v>
      </c>
      <c r="BE108" s="379" t="s">
        <v>125</v>
      </c>
      <c r="BF108" s="382" t="s">
        <v>105</v>
      </c>
      <c r="BG108" s="385" t="s">
        <v>125</v>
      </c>
      <c r="BH108" s="379" t="s">
        <v>125</v>
      </c>
      <c r="BI108" s="379" t="s">
        <v>105</v>
      </c>
      <c r="BJ108" s="379" t="s">
        <v>105</v>
      </c>
      <c r="BK108" s="382" t="s">
        <v>125</v>
      </c>
      <c r="BL108" s="385" t="s">
        <v>105</v>
      </c>
      <c r="BM108" s="382" t="s">
        <v>105</v>
      </c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43</v>
      </c>
      <c r="B109" s="6" t="s">
        <v>17</v>
      </c>
      <c r="C109" s="334" t="s">
        <v>124</v>
      </c>
      <c r="D109" s="374" t="s">
        <v>105</v>
      </c>
      <c r="E109" s="377" t="s">
        <v>105</v>
      </c>
      <c r="F109" s="377" t="s">
        <v>125</v>
      </c>
      <c r="G109" s="377" t="s">
        <v>125</v>
      </c>
      <c r="H109" s="380" t="s">
        <v>105</v>
      </c>
      <c r="I109" s="383" t="s">
        <v>125</v>
      </c>
      <c r="J109" s="377" t="s">
        <v>125</v>
      </c>
      <c r="K109" s="377" t="s">
        <v>105</v>
      </c>
      <c r="L109" s="377" t="s">
        <v>125</v>
      </c>
      <c r="M109" s="380" t="s">
        <v>125</v>
      </c>
      <c r="N109" s="383" t="s">
        <v>105</v>
      </c>
      <c r="O109" s="377" t="s">
        <v>125</v>
      </c>
      <c r="P109" s="377" t="s">
        <v>125</v>
      </c>
      <c r="Q109" s="377" t="s">
        <v>105</v>
      </c>
      <c r="R109" s="380" t="s">
        <v>125</v>
      </c>
      <c r="S109" s="383" t="s">
        <v>125</v>
      </c>
      <c r="T109" s="377" t="s">
        <v>105</v>
      </c>
      <c r="U109" s="377" t="s">
        <v>125</v>
      </c>
      <c r="V109" s="377" t="s">
        <v>125</v>
      </c>
      <c r="W109" s="380" t="s">
        <v>105</v>
      </c>
      <c r="X109" s="383" t="s">
        <v>125</v>
      </c>
      <c r="Y109" s="377" t="s">
        <v>125</v>
      </c>
      <c r="Z109" s="377" t="s">
        <v>105</v>
      </c>
      <c r="AA109" s="377" t="s">
        <v>125</v>
      </c>
      <c r="AB109" s="380" t="s">
        <v>203</v>
      </c>
      <c r="AC109" s="383" t="s">
        <v>105</v>
      </c>
      <c r="AD109" s="377" t="s">
        <v>105</v>
      </c>
      <c r="AE109" s="377" t="s">
        <v>125</v>
      </c>
      <c r="AF109" s="377" t="s">
        <v>125</v>
      </c>
      <c r="AG109" s="380" t="s">
        <v>105</v>
      </c>
      <c r="AH109" s="383" t="s">
        <v>125</v>
      </c>
      <c r="AI109" s="377" t="s">
        <v>125</v>
      </c>
      <c r="AJ109" s="377" t="s">
        <v>105</v>
      </c>
      <c r="AK109" s="377" t="s">
        <v>125</v>
      </c>
      <c r="AL109" s="380" t="s">
        <v>125</v>
      </c>
      <c r="AM109" s="383" t="s">
        <v>105</v>
      </c>
      <c r="AN109" s="377" t="s">
        <v>105</v>
      </c>
      <c r="AO109" s="377" t="s">
        <v>125</v>
      </c>
      <c r="AP109" s="377" t="s">
        <v>125</v>
      </c>
      <c r="AQ109" s="380" t="s">
        <v>105</v>
      </c>
      <c r="AR109" s="383" t="s">
        <v>125</v>
      </c>
      <c r="AS109" s="377" t="s">
        <v>125</v>
      </c>
      <c r="AT109" s="377" t="s">
        <v>105</v>
      </c>
      <c r="AU109" s="377" t="s">
        <v>125</v>
      </c>
      <c r="AV109" s="380" t="s">
        <v>125</v>
      </c>
      <c r="AW109" s="383" t="s">
        <v>105</v>
      </c>
      <c r="AX109" s="377" t="s">
        <v>125</v>
      </c>
      <c r="AY109" s="377" t="s">
        <v>125</v>
      </c>
      <c r="AZ109" s="377" t="s">
        <v>105</v>
      </c>
      <c r="BA109" s="380" t="s">
        <v>125</v>
      </c>
      <c r="BB109" s="383" t="s">
        <v>125</v>
      </c>
      <c r="BC109" s="377" t="s">
        <v>105</v>
      </c>
      <c r="BD109" s="377" t="s">
        <v>125</v>
      </c>
      <c r="BE109" s="377" t="s">
        <v>125</v>
      </c>
      <c r="BF109" s="380" t="s">
        <v>105</v>
      </c>
      <c r="BG109" s="383" t="s">
        <v>125</v>
      </c>
      <c r="BH109" s="377" t="s">
        <v>105</v>
      </c>
      <c r="BI109" s="377" t="s">
        <v>105</v>
      </c>
      <c r="BJ109" s="377" t="s">
        <v>125</v>
      </c>
      <c r="BK109" s="380" t="s">
        <v>105</v>
      </c>
      <c r="BL109" s="383" t="s">
        <v>105</v>
      </c>
      <c r="BM109" s="380" t="s">
        <v>105</v>
      </c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65" t="s">
        <v>11</v>
      </c>
      <c r="B110" s="7" t="s">
        <v>12</v>
      </c>
      <c r="C110" s="335"/>
      <c r="D110" s="375" t="s">
        <v>105</v>
      </c>
      <c r="E110" s="378" t="s">
        <v>105</v>
      </c>
      <c r="F110" s="378" t="s">
        <v>125</v>
      </c>
      <c r="G110" s="378" t="s">
        <v>125</v>
      </c>
      <c r="H110" s="381" t="s">
        <v>105</v>
      </c>
      <c r="I110" s="384" t="s">
        <v>125</v>
      </c>
      <c r="J110" s="378" t="s">
        <v>125</v>
      </c>
      <c r="K110" s="378" t="s">
        <v>105</v>
      </c>
      <c r="L110" s="378" t="s">
        <v>125</v>
      </c>
      <c r="M110" s="381" t="s">
        <v>125</v>
      </c>
      <c r="N110" s="384" t="s">
        <v>105</v>
      </c>
      <c r="O110" s="378" t="s">
        <v>125</v>
      </c>
      <c r="P110" s="378" t="s">
        <v>125</v>
      </c>
      <c r="Q110" s="378" t="s">
        <v>105</v>
      </c>
      <c r="R110" s="381" t="s">
        <v>125</v>
      </c>
      <c r="S110" s="384" t="s">
        <v>125</v>
      </c>
      <c r="T110" s="378" t="s">
        <v>105</v>
      </c>
      <c r="U110" s="378" t="s">
        <v>125</v>
      </c>
      <c r="V110" s="378" t="s">
        <v>125</v>
      </c>
      <c r="W110" s="381" t="s">
        <v>105</v>
      </c>
      <c r="X110" s="384" t="s">
        <v>125</v>
      </c>
      <c r="Y110" s="378" t="s">
        <v>125</v>
      </c>
      <c r="Z110" s="378" t="s">
        <v>105</v>
      </c>
      <c r="AA110" s="378" t="s">
        <v>125</v>
      </c>
      <c r="AB110" s="381" t="s">
        <v>203</v>
      </c>
      <c r="AC110" s="384" t="s">
        <v>105</v>
      </c>
      <c r="AD110" s="378" t="s">
        <v>105</v>
      </c>
      <c r="AE110" s="378" t="s">
        <v>125</v>
      </c>
      <c r="AF110" s="378" t="s">
        <v>125</v>
      </c>
      <c r="AG110" s="381" t="s">
        <v>105</v>
      </c>
      <c r="AH110" s="384" t="s">
        <v>125</v>
      </c>
      <c r="AI110" s="378" t="s">
        <v>125</v>
      </c>
      <c r="AJ110" s="378" t="s">
        <v>105</v>
      </c>
      <c r="AK110" s="378" t="s">
        <v>125</v>
      </c>
      <c r="AL110" s="381" t="s">
        <v>125</v>
      </c>
      <c r="AM110" s="384" t="s">
        <v>105</v>
      </c>
      <c r="AN110" s="378" t="s">
        <v>105</v>
      </c>
      <c r="AO110" s="378" t="s">
        <v>125</v>
      </c>
      <c r="AP110" s="378" t="s">
        <v>125</v>
      </c>
      <c r="AQ110" s="381" t="s">
        <v>105</v>
      </c>
      <c r="AR110" s="384" t="s">
        <v>125</v>
      </c>
      <c r="AS110" s="378" t="s">
        <v>125</v>
      </c>
      <c r="AT110" s="378" t="s">
        <v>105</v>
      </c>
      <c r="AU110" s="378" t="s">
        <v>125</v>
      </c>
      <c r="AV110" s="381" t="s">
        <v>125</v>
      </c>
      <c r="AW110" s="384" t="s">
        <v>105</v>
      </c>
      <c r="AX110" s="378" t="s">
        <v>125</v>
      </c>
      <c r="AY110" s="378" t="s">
        <v>125</v>
      </c>
      <c r="AZ110" s="378" t="s">
        <v>105</v>
      </c>
      <c r="BA110" s="381" t="s">
        <v>125</v>
      </c>
      <c r="BB110" s="384" t="s">
        <v>125</v>
      </c>
      <c r="BC110" s="378" t="s">
        <v>105</v>
      </c>
      <c r="BD110" s="378" t="s">
        <v>125</v>
      </c>
      <c r="BE110" s="378" t="s">
        <v>125</v>
      </c>
      <c r="BF110" s="381" t="s">
        <v>105</v>
      </c>
      <c r="BG110" s="384" t="s">
        <v>125</v>
      </c>
      <c r="BH110" s="378" t="s">
        <v>105</v>
      </c>
      <c r="BI110" s="378" t="s">
        <v>105</v>
      </c>
      <c r="BJ110" s="378" t="s">
        <v>125</v>
      </c>
      <c r="BK110" s="381" t="s">
        <v>105</v>
      </c>
      <c r="BL110" s="384" t="s">
        <v>105</v>
      </c>
      <c r="BM110" s="381" t="s">
        <v>105</v>
      </c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65"/>
      <c r="B111" s="8" t="s">
        <v>48</v>
      </c>
      <c r="C111" s="335"/>
      <c r="D111" s="376" t="s">
        <v>105</v>
      </c>
      <c r="E111" s="379" t="s">
        <v>105</v>
      </c>
      <c r="F111" s="379" t="s">
        <v>125</v>
      </c>
      <c r="G111" s="379" t="s">
        <v>125</v>
      </c>
      <c r="H111" s="382" t="s">
        <v>105</v>
      </c>
      <c r="I111" s="385" t="s">
        <v>125</v>
      </c>
      <c r="J111" s="379" t="s">
        <v>125</v>
      </c>
      <c r="K111" s="379" t="s">
        <v>105</v>
      </c>
      <c r="L111" s="379" t="s">
        <v>125</v>
      </c>
      <c r="M111" s="382" t="s">
        <v>125</v>
      </c>
      <c r="N111" s="385" t="s">
        <v>105</v>
      </c>
      <c r="O111" s="379" t="s">
        <v>125</v>
      </c>
      <c r="P111" s="379" t="s">
        <v>125</v>
      </c>
      <c r="Q111" s="379" t="s">
        <v>105</v>
      </c>
      <c r="R111" s="382" t="s">
        <v>125</v>
      </c>
      <c r="S111" s="385" t="s">
        <v>125</v>
      </c>
      <c r="T111" s="379" t="s">
        <v>105</v>
      </c>
      <c r="U111" s="379" t="s">
        <v>125</v>
      </c>
      <c r="V111" s="379" t="s">
        <v>125</v>
      </c>
      <c r="W111" s="382" t="s">
        <v>105</v>
      </c>
      <c r="X111" s="385" t="s">
        <v>125</v>
      </c>
      <c r="Y111" s="379" t="s">
        <v>125</v>
      </c>
      <c r="Z111" s="379" t="s">
        <v>105</v>
      </c>
      <c r="AA111" s="379" t="s">
        <v>125</v>
      </c>
      <c r="AB111" s="382" t="s">
        <v>203</v>
      </c>
      <c r="AC111" s="385" t="s">
        <v>105</v>
      </c>
      <c r="AD111" s="379" t="s">
        <v>105</v>
      </c>
      <c r="AE111" s="379" t="s">
        <v>125</v>
      </c>
      <c r="AF111" s="379" t="s">
        <v>125</v>
      </c>
      <c r="AG111" s="382" t="s">
        <v>105</v>
      </c>
      <c r="AH111" s="385" t="s">
        <v>125</v>
      </c>
      <c r="AI111" s="379" t="s">
        <v>125</v>
      </c>
      <c r="AJ111" s="379" t="s">
        <v>105</v>
      </c>
      <c r="AK111" s="379" t="s">
        <v>125</v>
      </c>
      <c r="AL111" s="382" t="s">
        <v>125</v>
      </c>
      <c r="AM111" s="385" t="s">
        <v>105</v>
      </c>
      <c r="AN111" s="379" t="s">
        <v>105</v>
      </c>
      <c r="AO111" s="379" t="s">
        <v>125</v>
      </c>
      <c r="AP111" s="379" t="s">
        <v>125</v>
      </c>
      <c r="AQ111" s="382" t="s">
        <v>105</v>
      </c>
      <c r="AR111" s="385" t="s">
        <v>125</v>
      </c>
      <c r="AS111" s="379" t="s">
        <v>125</v>
      </c>
      <c r="AT111" s="379" t="s">
        <v>105</v>
      </c>
      <c r="AU111" s="379" t="s">
        <v>125</v>
      </c>
      <c r="AV111" s="382" t="s">
        <v>125</v>
      </c>
      <c r="AW111" s="385" t="s">
        <v>105</v>
      </c>
      <c r="AX111" s="379" t="s">
        <v>125</v>
      </c>
      <c r="AY111" s="379" t="s">
        <v>125</v>
      </c>
      <c r="AZ111" s="379" t="s">
        <v>105</v>
      </c>
      <c r="BA111" s="382" t="s">
        <v>125</v>
      </c>
      <c r="BB111" s="385" t="s">
        <v>125</v>
      </c>
      <c r="BC111" s="379" t="s">
        <v>105</v>
      </c>
      <c r="BD111" s="379" t="s">
        <v>125</v>
      </c>
      <c r="BE111" s="379" t="s">
        <v>125</v>
      </c>
      <c r="BF111" s="382" t="s">
        <v>105</v>
      </c>
      <c r="BG111" s="385" t="s">
        <v>125</v>
      </c>
      <c r="BH111" s="379" t="s">
        <v>105</v>
      </c>
      <c r="BI111" s="379" t="s">
        <v>105</v>
      </c>
      <c r="BJ111" s="379" t="s">
        <v>125</v>
      </c>
      <c r="BK111" s="382" t="s">
        <v>105</v>
      </c>
      <c r="BL111" s="385" t="s">
        <v>105</v>
      </c>
      <c r="BM111" s="382" t="s">
        <v>105</v>
      </c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43</v>
      </c>
      <c r="B112" s="6"/>
      <c r="C112" s="334" t="s">
        <v>124</v>
      </c>
      <c r="D112" s="374" t="s">
        <v>105</v>
      </c>
      <c r="E112" s="377" t="s">
        <v>125</v>
      </c>
      <c r="F112" s="377" t="s">
        <v>105</v>
      </c>
      <c r="G112" s="377" t="s">
        <v>125</v>
      </c>
      <c r="H112" s="380" t="s">
        <v>125</v>
      </c>
      <c r="I112" s="383" t="s">
        <v>125</v>
      </c>
      <c r="J112" s="377" t="s">
        <v>125</v>
      </c>
      <c r="K112" s="377" t="s">
        <v>125</v>
      </c>
      <c r="L112" s="377" t="s">
        <v>125</v>
      </c>
      <c r="M112" s="380" t="s">
        <v>125</v>
      </c>
      <c r="N112" s="383" t="s">
        <v>125</v>
      </c>
      <c r="O112" s="377" t="s">
        <v>125</v>
      </c>
      <c r="P112" s="377" t="s">
        <v>125</v>
      </c>
      <c r="Q112" s="377" t="s">
        <v>125</v>
      </c>
      <c r="R112" s="380" t="s">
        <v>125</v>
      </c>
      <c r="S112" s="383" t="s">
        <v>125</v>
      </c>
      <c r="T112" s="377" t="s">
        <v>125</v>
      </c>
      <c r="U112" s="377" t="s">
        <v>171</v>
      </c>
      <c r="V112" s="377" t="s">
        <v>125</v>
      </c>
      <c r="W112" s="380" t="s">
        <v>125</v>
      </c>
      <c r="X112" s="383" t="s">
        <v>125</v>
      </c>
      <c r="Y112" s="377" t="s">
        <v>125</v>
      </c>
      <c r="Z112" s="377" t="s">
        <v>125</v>
      </c>
      <c r="AA112" s="377" t="s">
        <v>293</v>
      </c>
      <c r="AB112" s="380" t="s">
        <v>212</v>
      </c>
      <c r="AC112" s="383" t="s">
        <v>213</v>
      </c>
      <c r="AD112" s="377" t="s">
        <v>204</v>
      </c>
      <c r="AE112" s="377" t="s">
        <v>277</v>
      </c>
      <c r="AF112" s="377" t="s">
        <v>105</v>
      </c>
      <c r="AG112" s="380" t="s">
        <v>125</v>
      </c>
      <c r="AH112" s="383" t="s">
        <v>125</v>
      </c>
      <c r="AI112" s="377" t="s">
        <v>125</v>
      </c>
      <c r="AJ112" s="377" t="s">
        <v>125</v>
      </c>
      <c r="AK112" s="377" t="s">
        <v>125</v>
      </c>
      <c r="AL112" s="380" t="s">
        <v>125</v>
      </c>
      <c r="AM112" s="383" t="s">
        <v>125</v>
      </c>
      <c r="AN112" s="377" t="s">
        <v>253</v>
      </c>
      <c r="AO112" s="377" t="s">
        <v>125</v>
      </c>
      <c r="AP112" s="377" t="s">
        <v>125</v>
      </c>
      <c r="AQ112" s="380" t="s">
        <v>125</v>
      </c>
      <c r="AR112" s="383" t="s">
        <v>294</v>
      </c>
      <c r="AS112" s="377" t="s">
        <v>215</v>
      </c>
      <c r="AT112" s="377" t="s">
        <v>125</v>
      </c>
      <c r="AU112" s="377" t="s">
        <v>125</v>
      </c>
      <c r="AV112" s="380" t="s">
        <v>125</v>
      </c>
      <c r="AW112" s="383" t="s">
        <v>125</v>
      </c>
      <c r="AX112" s="377" t="s">
        <v>125</v>
      </c>
      <c r="AY112" s="377" t="s">
        <v>125</v>
      </c>
      <c r="AZ112" s="377" t="s">
        <v>222</v>
      </c>
      <c r="BA112" s="380" t="s">
        <v>125</v>
      </c>
      <c r="BB112" s="383" t="s">
        <v>125</v>
      </c>
      <c r="BC112" s="377" t="s">
        <v>279</v>
      </c>
      <c r="BD112" s="377" t="s">
        <v>125</v>
      </c>
      <c r="BE112" s="377" t="s">
        <v>125</v>
      </c>
      <c r="BF112" s="380" t="s">
        <v>125</v>
      </c>
      <c r="BG112" s="383" t="s">
        <v>125</v>
      </c>
      <c r="BH112" s="377" t="s">
        <v>125</v>
      </c>
      <c r="BI112" s="377" t="s">
        <v>125</v>
      </c>
      <c r="BJ112" s="377" t="s">
        <v>105</v>
      </c>
      <c r="BK112" s="380" t="s">
        <v>105</v>
      </c>
      <c r="BL112" s="383" t="s">
        <v>125</v>
      </c>
      <c r="BM112" s="380" t="s">
        <v>125</v>
      </c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65" t="s">
        <v>11</v>
      </c>
      <c r="B113" s="7" t="s">
        <v>49</v>
      </c>
      <c r="C113" s="335"/>
      <c r="D113" s="375" t="s">
        <v>105</v>
      </c>
      <c r="E113" s="378" t="s">
        <v>125</v>
      </c>
      <c r="F113" s="378" t="s">
        <v>105</v>
      </c>
      <c r="G113" s="378" t="s">
        <v>125</v>
      </c>
      <c r="H113" s="381" t="s">
        <v>125</v>
      </c>
      <c r="I113" s="384" t="s">
        <v>125</v>
      </c>
      <c r="J113" s="378" t="s">
        <v>125</v>
      </c>
      <c r="K113" s="378" t="s">
        <v>125</v>
      </c>
      <c r="L113" s="378" t="s">
        <v>125</v>
      </c>
      <c r="M113" s="381" t="s">
        <v>125</v>
      </c>
      <c r="N113" s="384" t="s">
        <v>125</v>
      </c>
      <c r="O113" s="378" t="s">
        <v>125</v>
      </c>
      <c r="P113" s="378" t="s">
        <v>125</v>
      </c>
      <c r="Q113" s="378" t="s">
        <v>125</v>
      </c>
      <c r="R113" s="381" t="s">
        <v>125</v>
      </c>
      <c r="S113" s="384" t="s">
        <v>125</v>
      </c>
      <c r="T113" s="378" t="s">
        <v>125</v>
      </c>
      <c r="U113" s="378" t="s">
        <v>171</v>
      </c>
      <c r="V113" s="378" t="s">
        <v>125</v>
      </c>
      <c r="W113" s="381" t="s">
        <v>125</v>
      </c>
      <c r="X113" s="384" t="s">
        <v>125</v>
      </c>
      <c r="Y113" s="378" t="s">
        <v>125</v>
      </c>
      <c r="Z113" s="378" t="s">
        <v>125</v>
      </c>
      <c r="AA113" s="378" t="s">
        <v>293</v>
      </c>
      <c r="AB113" s="381" t="s">
        <v>212</v>
      </c>
      <c r="AC113" s="384" t="s">
        <v>213</v>
      </c>
      <c r="AD113" s="378" t="s">
        <v>204</v>
      </c>
      <c r="AE113" s="378" t="s">
        <v>277</v>
      </c>
      <c r="AF113" s="378" t="s">
        <v>105</v>
      </c>
      <c r="AG113" s="381" t="s">
        <v>125</v>
      </c>
      <c r="AH113" s="384" t="s">
        <v>125</v>
      </c>
      <c r="AI113" s="378" t="s">
        <v>125</v>
      </c>
      <c r="AJ113" s="378" t="s">
        <v>125</v>
      </c>
      <c r="AK113" s="378" t="s">
        <v>125</v>
      </c>
      <c r="AL113" s="381" t="s">
        <v>125</v>
      </c>
      <c r="AM113" s="384" t="s">
        <v>125</v>
      </c>
      <c r="AN113" s="378" t="s">
        <v>253</v>
      </c>
      <c r="AO113" s="378" t="s">
        <v>125</v>
      </c>
      <c r="AP113" s="378" t="s">
        <v>125</v>
      </c>
      <c r="AQ113" s="381" t="s">
        <v>125</v>
      </c>
      <c r="AR113" s="384" t="s">
        <v>294</v>
      </c>
      <c r="AS113" s="378" t="s">
        <v>215</v>
      </c>
      <c r="AT113" s="378" t="s">
        <v>125</v>
      </c>
      <c r="AU113" s="378" t="s">
        <v>125</v>
      </c>
      <c r="AV113" s="381" t="s">
        <v>125</v>
      </c>
      <c r="AW113" s="384" t="s">
        <v>125</v>
      </c>
      <c r="AX113" s="378" t="s">
        <v>125</v>
      </c>
      <c r="AY113" s="378" t="s">
        <v>125</v>
      </c>
      <c r="AZ113" s="378" t="s">
        <v>222</v>
      </c>
      <c r="BA113" s="381" t="s">
        <v>125</v>
      </c>
      <c r="BB113" s="384" t="s">
        <v>125</v>
      </c>
      <c r="BC113" s="378" t="s">
        <v>279</v>
      </c>
      <c r="BD113" s="378" t="s">
        <v>125</v>
      </c>
      <c r="BE113" s="378" t="s">
        <v>125</v>
      </c>
      <c r="BF113" s="381" t="s">
        <v>125</v>
      </c>
      <c r="BG113" s="384" t="s">
        <v>125</v>
      </c>
      <c r="BH113" s="378" t="s">
        <v>125</v>
      </c>
      <c r="BI113" s="378" t="s">
        <v>125</v>
      </c>
      <c r="BJ113" s="378" t="s">
        <v>105</v>
      </c>
      <c r="BK113" s="381" t="s">
        <v>105</v>
      </c>
      <c r="BL113" s="384" t="s">
        <v>125</v>
      </c>
      <c r="BM113" s="381" t="s">
        <v>125</v>
      </c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65"/>
      <c r="B114" s="8"/>
      <c r="C114" s="335"/>
      <c r="D114" s="376" t="s">
        <v>105</v>
      </c>
      <c r="E114" s="379" t="s">
        <v>125</v>
      </c>
      <c r="F114" s="379" t="s">
        <v>105</v>
      </c>
      <c r="G114" s="379" t="s">
        <v>125</v>
      </c>
      <c r="H114" s="382" t="s">
        <v>125</v>
      </c>
      <c r="I114" s="385" t="s">
        <v>125</v>
      </c>
      <c r="J114" s="379" t="s">
        <v>125</v>
      </c>
      <c r="K114" s="379" t="s">
        <v>125</v>
      </c>
      <c r="L114" s="379" t="s">
        <v>125</v>
      </c>
      <c r="M114" s="382" t="s">
        <v>125</v>
      </c>
      <c r="N114" s="385" t="s">
        <v>125</v>
      </c>
      <c r="O114" s="379" t="s">
        <v>125</v>
      </c>
      <c r="P114" s="379" t="s">
        <v>125</v>
      </c>
      <c r="Q114" s="379" t="s">
        <v>125</v>
      </c>
      <c r="R114" s="382" t="s">
        <v>125</v>
      </c>
      <c r="S114" s="385" t="s">
        <v>125</v>
      </c>
      <c r="T114" s="379" t="s">
        <v>125</v>
      </c>
      <c r="U114" s="379" t="s">
        <v>171</v>
      </c>
      <c r="V114" s="379" t="s">
        <v>125</v>
      </c>
      <c r="W114" s="382" t="s">
        <v>125</v>
      </c>
      <c r="X114" s="385" t="s">
        <v>125</v>
      </c>
      <c r="Y114" s="379" t="s">
        <v>125</v>
      </c>
      <c r="Z114" s="379" t="s">
        <v>125</v>
      </c>
      <c r="AA114" s="379" t="s">
        <v>293</v>
      </c>
      <c r="AB114" s="382" t="s">
        <v>212</v>
      </c>
      <c r="AC114" s="385" t="s">
        <v>213</v>
      </c>
      <c r="AD114" s="379" t="s">
        <v>204</v>
      </c>
      <c r="AE114" s="379" t="s">
        <v>277</v>
      </c>
      <c r="AF114" s="379" t="s">
        <v>105</v>
      </c>
      <c r="AG114" s="382" t="s">
        <v>125</v>
      </c>
      <c r="AH114" s="385" t="s">
        <v>125</v>
      </c>
      <c r="AI114" s="379" t="s">
        <v>125</v>
      </c>
      <c r="AJ114" s="379" t="s">
        <v>125</v>
      </c>
      <c r="AK114" s="379" t="s">
        <v>125</v>
      </c>
      <c r="AL114" s="382" t="s">
        <v>125</v>
      </c>
      <c r="AM114" s="385" t="s">
        <v>125</v>
      </c>
      <c r="AN114" s="379" t="s">
        <v>253</v>
      </c>
      <c r="AO114" s="379" t="s">
        <v>125</v>
      </c>
      <c r="AP114" s="379" t="s">
        <v>125</v>
      </c>
      <c r="AQ114" s="382" t="s">
        <v>125</v>
      </c>
      <c r="AR114" s="385" t="s">
        <v>294</v>
      </c>
      <c r="AS114" s="379" t="s">
        <v>215</v>
      </c>
      <c r="AT114" s="379" t="s">
        <v>125</v>
      </c>
      <c r="AU114" s="379" t="s">
        <v>125</v>
      </c>
      <c r="AV114" s="382" t="s">
        <v>125</v>
      </c>
      <c r="AW114" s="385" t="s">
        <v>125</v>
      </c>
      <c r="AX114" s="379" t="s">
        <v>125</v>
      </c>
      <c r="AY114" s="379" t="s">
        <v>125</v>
      </c>
      <c r="AZ114" s="379" t="s">
        <v>222</v>
      </c>
      <c r="BA114" s="382" t="s">
        <v>125</v>
      </c>
      <c r="BB114" s="385" t="s">
        <v>125</v>
      </c>
      <c r="BC114" s="379" t="s">
        <v>279</v>
      </c>
      <c r="BD114" s="379" t="s">
        <v>125</v>
      </c>
      <c r="BE114" s="379" t="s">
        <v>125</v>
      </c>
      <c r="BF114" s="382" t="s">
        <v>125</v>
      </c>
      <c r="BG114" s="385" t="s">
        <v>125</v>
      </c>
      <c r="BH114" s="379" t="s">
        <v>125</v>
      </c>
      <c r="BI114" s="379" t="s">
        <v>125</v>
      </c>
      <c r="BJ114" s="379" t="s">
        <v>105</v>
      </c>
      <c r="BK114" s="382" t="s">
        <v>105</v>
      </c>
      <c r="BL114" s="385" t="s">
        <v>125</v>
      </c>
      <c r="BM114" s="382" t="s">
        <v>125</v>
      </c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customHeight="1" x14ac:dyDescent="0.2">
      <c r="A115" s="163" t="s">
        <v>4</v>
      </c>
      <c r="B115" s="164"/>
      <c r="C115" s="18" t="s">
        <v>5</v>
      </c>
      <c r="D115" s="89">
        <v>1</v>
      </c>
      <c r="E115" s="90">
        <v>2</v>
      </c>
      <c r="F115" s="90">
        <v>3</v>
      </c>
      <c r="G115" s="90">
        <v>4</v>
      </c>
      <c r="H115" s="90">
        <v>5</v>
      </c>
      <c r="I115" s="90">
        <v>6</v>
      </c>
      <c r="J115" s="90">
        <v>7</v>
      </c>
      <c r="K115" s="90">
        <v>8</v>
      </c>
      <c r="L115" s="90">
        <v>9</v>
      </c>
      <c r="M115" s="90">
        <v>10</v>
      </c>
      <c r="N115" s="90">
        <v>11</v>
      </c>
      <c r="O115" s="90">
        <v>12</v>
      </c>
      <c r="P115" s="90">
        <v>13</v>
      </c>
      <c r="Q115" s="90">
        <v>14</v>
      </c>
      <c r="R115" s="90">
        <v>15</v>
      </c>
      <c r="S115" s="90">
        <v>16</v>
      </c>
      <c r="T115" s="90">
        <v>17</v>
      </c>
      <c r="U115" s="90">
        <v>18</v>
      </c>
      <c r="V115" s="90">
        <v>19</v>
      </c>
      <c r="W115" s="90">
        <v>20</v>
      </c>
      <c r="X115" s="90">
        <v>21</v>
      </c>
      <c r="Y115" s="90">
        <v>22</v>
      </c>
      <c r="Z115" s="90">
        <v>23</v>
      </c>
      <c r="AA115" s="90">
        <v>24</v>
      </c>
      <c r="AB115" s="90">
        <v>25</v>
      </c>
      <c r="AC115" s="90">
        <v>26</v>
      </c>
      <c r="AD115" s="90">
        <v>27</v>
      </c>
      <c r="AE115" s="90">
        <v>28</v>
      </c>
      <c r="AF115" s="90">
        <v>29</v>
      </c>
      <c r="AG115" s="90">
        <v>30</v>
      </c>
      <c r="AH115" s="90">
        <v>31</v>
      </c>
      <c r="AI115" s="90">
        <v>32</v>
      </c>
      <c r="AJ115" s="90">
        <v>33</v>
      </c>
      <c r="AK115" s="90">
        <v>34</v>
      </c>
      <c r="AL115" s="90">
        <v>35</v>
      </c>
      <c r="AM115" s="90">
        <v>36</v>
      </c>
      <c r="AN115" s="90">
        <v>37</v>
      </c>
      <c r="AO115" s="90">
        <v>38</v>
      </c>
      <c r="AP115" s="90">
        <v>39</v>
      </c>
      <c r="AQ115" s="90">
        <v>40</v>
      </c>
      <c r="AR115" s="90">
        <v>41</v>
      </c>
      <c r="AS115" s="90">
        <v>42</v>
      </c>
      <c r="AT115" s="90">
        <v>43</v>
      </c>
      <c r="AU115" s="90">
        <v>44</v>
      </c>
      <c r="AV115" s="90">
        <v>45</v>
      </c>
      <c r="AW115" s="90">
        <v>46</v>
      </c>
      <c r="AX115" s="90">
        <v>47</v>
      </c>
      <c r="AY115" s="90">
        <v>48</v>
      </c>
      <c r="AZ115" s="90">
        <v>49</v>
      </c>
      <c r="BA115" s="90">
        <v>50</v>
      </c>
      <c r="BB115" s="90">
        <v>51</v>
      </c>
      <c r="BC115" s="90">
        <v>52</v>
      </c>
      <c r="BD115" s="90">
        <v>53</v>
      </c>
      <c r="BE115" s="90">
        <v>54</v>
      </c>
      <c r="BF115" s="90">
        <v>55</v>
      </c>
      <c r="BG115" s="90">
        <v>56</v>
      </c>
      <c r="BH115" s="90">
        <v>57</v>
      </c>
      <c r="BI115" s="90">
        <v>58</v>
      </c>
      <c r="BJ115" s="90">
        <v>59</v>
      </c>
      <c r="BK115" s="90">
        <v>60</v>
      </c>
      <c r="BL115" s="90">
        <v>61</v>
      </c>
      <c r="BM115" s="91">
        <v>62</v>
      </c>
      <c r="BN115" s="19"/>
      <c r="BO115" s="19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3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13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13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6" customHeight="1" x14ac:dyDescent="0.2">
      <c r="A129" s="1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24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6" customHeight="1" x14ac:dyDescent="0.2">
      <c r="A130" s="9"/>
      <c r="B130" s="277" t="s">
        <v>295</v>
      </c>
      <c r="C130" s="278"/>
      <c r="D130" s="278"/>
      <c r="E130" s="278"/>
      <c r="F130" s="278"/>
      <c r="G130" s="278"/>
      <c r="H130" s="278"/>
      <c r="I130" s="278"/>
      <c r="J130" s="278"/>
      <c r="K130" s="278"/>
      <c r="L130" s="279"/>
      <c r="M130" s="304" t="s">
        <v>296</v>
      </c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  <c r="AA130" s="305"/>
      <c r="AB130" s="305"/>
      <c r="AC130" s="305"/>
      <c r="AD130" s="305"/>
      <c r="AE130" s="305"/>
      <c r="AF130" s="306"/>
      <c r="AG130" s="368" t="s">
        <v>297</v>
      </c>
      <c r="AH130" s="369"/>
      <c r="AI130" s="369"/>
      <c r="AJ130" s="369"/>
      <c r="AK130" s="369"/>
      <c r="AL130" s="369"/>
      <c r="AM130" s="369"/>
      <c r="AN130" s="369"/>
      <c r="AO130" s="369"/>
      <c r="AP130" s="369"/>
      <c r="AQ130" s="369"/>
      <c r="AR130" s="369"/>
      <c r="AS130" s="369"/>
      <c r="AT130" s="369"/>
      <c r="AU130" s="369"/>
      <c r="AV130" s="370"/>
      <c r="AW130" s="192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  <c r="BI130" s="193"/>
      <c r="BJ130" s="193"/>
      <c r="BK130" s="193"/>
      <c r="BL130" s="193"/>
      <c r="BM130" s="193"/>
      <c r="BN130" s="193"/>
      <c r="BO130" s="193"/>
      <c r="BP130" s="193"/>
      <c r="BQ130" s="193"/>
      <c r="BR130" s="184" t="s">
        <v>84</v>
      </c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5"/>
      <c r="CL130" s="353" t="str">
        <f>Thickness!CL130</f>
        <v xml:space="preserve">INTERNATIONAL PAPER </v>
      </c>
      <c r="CM130" s="354"/>
      <c r="CN130" s="354"/>
      <c r="CO130" s="354"/>
      <c r="CP130" s="354"/>
      <c r="CQ130" s="354"/>
      <c r="CR130" s="354"/>
      <c r="CS130" s="354"/>
      <c r="CT130" s="354"/>
      <c r="CU130" s="354"/>
      <c r="CV130" s="354"/>
      <c r="CW130" s="354"/>
      <c r="CX130" s="354"/>
      <c r="CY130" s="354"/>
      <c r="CZ130" s="354"/>
      <c r="DA130" s="354"/>
      <c r="DB130" s="354"/>
      <c r="DC130" s="354"/>
      <c r="DD130" s="354"/>
      <c r="DE130" s="354"/>
      <c r="DF130" s="354"/>
      <c r="DG130" s="354"/>
      <c r="DH130" s="354"/>
      <c r="DI130" s="354"/>
      <c r="DJ130" s="354"/>
      <c r="DK130" s="354"/>
      <c r="DL130" s="354"/>
      <c r="DM130" s="354"/>
      <c r="DN130" s="354"/>
      <c r="DO130" s="354"/>
      <c r="DP130" s="354"/>
      <c r="DQ130" s="354"/>
      <c r="DR130" s="354"/>
      <c r="DS130" s="354"/>
      <c r="DT130" s="354"/>
      <c r="DU130" s="354"/>
      <c r="DV130" s="354"/>
      <c r="DW130" s="354"/>
      <c r="DX130" s="354"/>
      <c r="DY130" s="354"/>
      <c r="DZ130" s="355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6" customHeight="1" x14ac:dyDescent="0.2">
      <c r="A131" s="217" t="s">
        <v>54</v>
      </c>
      <c r="B131" s="336" t="s">
        <v>298</v>
      </c>
      <c r="C131" s="281"/>
      <c r="D131" s="281"/>
      <c r="E131" s="281"/>
      <c r="F131" s="281"/>
      <c r="G131" s="281"/>
      <c r="H131" s="281"/>
      <c r="I131" s="281"/>
      <c r="J131" s="281"/>
      <c r="K131" s="281"/>
      <c r="L131" s="282"/>
      <c r="M131" s="307"/>
      <c r="N131" s="308"/>
      <c r="O131" s="308"/>
      <c r="P131" s="308"/>
      <c r="Q131" s="308"/>
      <c r="R131" s="308"/>
      <c r="S131" s="308"/>
      <c r="T131" s="308"/>
      <c r="U131" s="308"/>
      <c r="V131" s="308"/>
      <c r="W131" s="308"/>
      <c r="X131" s="308"/>
      <c r="Y131" s="308"/>
      <c r="Z131" s="308"/>
      <c r="AA131" s="308"/>
      <c r="AB131" s="308"/>
      <c r="AC131" s="308"/>
      <c r="AD131" s="308"/>
      <c r="AE131" s="308"/>
      <c r="AF131" s="309"/>
      <c r="AG131" s="371"/>
      <c r="AH131" s="372"/>
      <c r="AI131" s="372"/>
      <c r="AJ131" s="372"/>
      <c r="AK131" s="372"/>
      <c r="AL131" s="372"/>
      <c r="AM131" s="372"/>
      <c r="AN131" s="372"/>
      <c r="AO131" s="372"/>
      <c r="AP131" s="372"/>
      <c r="AQ131" s="372"/>
      <c r="AR131" s="372"/>
      <c r="AS131" s="372"/>
      <c r="AT131" s="372"/>
      <c r="AU131" s="372"/>
      <c r="AV131" s="373"/>
      <c r="AW131" s="194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7"/>
      <c r="CL131" s="356" t="str">
        <f>Thickness!CL131</f>
        <v>RIVERDALE MILL</v>
      </c>
      <c r="CM131" s="357"/>
      <c r="CN131" s="357"/>
      <c r="CO131" s="357"/>
      <c r="CP131" s="357"/>
      <c r="CQ131" s="357"/>
      <c r="CR131" s="357"/>
      <c r="CS131" s="357"/>
      <c r="CT131" s="357"/>
      <c r="CU131" s="357"/>
      <c r="CV131" s="357"/>
      <c r="CW131" s="357"/>
      <c r="CX131" s="357"/>
      <c r="CY131" s="357"/>
      <c r="CZ131" s="357"/>
      <c r="DA131" s="357"/>
      <c r="DB131" s="357"/>
      <c r="DC131" s="357"/>
      <c r="DD131" s="357"/>
      <c r="DE131" s="357"/>
      <c r="DF131" s="357"/>
      <c r="DG131" s="357"/>
      <c r="DH131" s="357"/>
      <c r="DI131" s="357"/>
      <c r="DJ131" s="357"/>
      <c r="DK131" s="357"/>
      <c r="DL131" s="357"/>
      <c r="DM131" s="357"/>
      <c r="DN131" s="357"/>
      <c r="DO131" s="357"/>
      <c r="DP131" s="357"/>
      <c r="DQ131" s="357"/>
      <c r="DR131" s="357"/>
      <c r="DS131" s="357"/>
      <c r="DT131" s="357"/>
      <c r="DU131" s="357"/>
      <c r="DV131" s="357"/>
      <c r="DW131" s="357"/>
      <c r="DX131" s="357"/>
      <c r="DY131" s="357"/>
      <c r="DZ131" s="358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ht="36" customHeight="1" x14ac:dyDescent="0.2">
      <c r="A132" s="217"/>
      <c r="B132" s="359" t="s">
        <v>299</v>
      </c>
      <c r="C132" s="360"/>
      <c r="D132" s="360"/>
      <c r="E132" s="360"/>
      <c r="F132" s="360"/>
      <c r="G132" s="360"/>
      <c r="H132" s="360"/>
      <c r="I132" s="360"/>
      <c r="J132" s="360"/>
      <c r="K132" s="360"/>
      <c r="L132" s="361"/>
      <c r="M132" s="292" t="s">
        <v>112</v>
      </c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  <c r="AB132" s="293"/>
      <c r="AC132" s="293"/>
      <c r="AD132" s="293"/>
      <c r="AE132" s="293"/>
      <c r="AF132" s="294"/>
      <c r="AG132" s="371"/>
      <c r="AH132" s="372"/>
      <c r="AI132" s="372"/>
      <c r="AJ132" s="372"/>
      <c r="AK132" s="372"/>
      <c r="AL132" s="372"/>
      <c r="AM132" s="372"/>
      <c r="AN132" s="372"/>
      <c r="AO132" s="372"/>
      <c r="AP132" s="372"/>
      <c r="AQ132" s="372"/>
      <c r="AR132" s="372"/>
      <c r="AS132" s="372"/>
      <c r="AT132" s="372"/>
      <c r="AU132" s="372"/>
      <c r="AV132" s="373"/>
      <c r="AW132" s="194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7"/>
      <c r="CL132" s="344" t="s">
        <v>300</v>
      </c>
      <c r="CM132" s="345"/>
      <c r="CN132" s="345"/>
      <c r="CO132" s="345"/>
      <c r="CP132" s="345"/>
      <c r="CQ132" s="345"/>
      <c r="CR132" s="345"/>
      <c r="CS132" s="345"/>
      <c r="CT132" s="345"/>
      <c r="CU132" s="345"/>
      <c r="CV132" s="345"/>
      <c r="CW132" s="345"/>
      <c r="CX132" s="345"/>
      <c r="CY132" s="345"/>
      <c r="CZ132" s="345"/>
      <c r="DA132" s="345"/>
      <c r="DB132" s="345"/>
      <c r="DC132" s="345"/>
      <c r="DD132" s="345"/>
      <c r="DE132" s="345"/>
      <c r="DF132" s="345"/>
      <c r="DG132" s="345"/>
      <c r="DH132" s="345"/>
      <c r="DI132" s="345"/>
      <c r="DJ132" s="345"/>
      <c r="DK132" s="345"/>
      <c r="DL132" s="345"/>
      <c r="DM132" s="345"/>
      <c r="DN132" s="345"/>
      <c r="DO132" s="345"/>
      <c r="DP132" s="345"/>
      <c r="DQ132" s="345"/>
      <c r="DR132" s="345"/>
      <c r="DS132" s="345"/>
      <c r="DT132" s="345"/>
      <c r="DU132" s="345"/>
      <c r="DV132" s="345"/>
      <c r="DW132" s="345"/>
      <c r="DX132" s="345"/>
      <c r="DY132" s="345"/>
      <c r="DZ132" s="346"/>
    </row>
    <row r="133" spans="1:182" ht="36" customHeight="1" x14ac:dyDescent="0.2">
      <c r="A133" s="217"/>
      <c r="B133" s="341" t="s">
        <v>301</v>
      </c>
      <c r="C133" s="342"/>
      <c r="D133" s="342"/>
      <c r="E133" s="342"/>
      <c r="F133" s="342"/>
      <c r="G133" s="342"/>
      <c r="H133" s="342"/>
      <c r="I133" s="342"/>
      <c r="J133" s="342"/>
      <c r="K133" s="342"/>
      <c r="L133" s="343"/>
      <c r="M133" s="295" t="s">
        <v>115</v>
      </c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96"/>
      <c r="AB133" s="296"/>
      <c r="AC133" s="296"/>
      <c r="AD133" s="296"/>
      <c r="AE133" s="296"/>
      <c r="AF133" s="297"/>
      <c r="AG133" s="362" t="s">
        <v>289</v>
      </c>
      <c r="AH133" s="363"/>
      <c r="AI133" s="363"/>
      <c r="AJ133" s="363"/>
      <c r="AK133" s="363"/>
      <c r="AL133" s="363"/>
      <c r="AM133" s="363"/>
      <c r="AN133" s="363"/>
      <c r="AO133" s="363"/>
      <c r="AP133" s="363"/>
      <c r="AQ133" s="363"/>
      <c r="AR133" s="363"/>
      <c r="AS133" s="363"/>
      <c r="AT133" s="363"/>
      <c r="AU133" s="363"/>
      <c r="AV133" s="364"/>
      <c r="AW133" s="196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9"/>
      <c r="CL133" s="344" t="str">
        <f>Thickness!CL133</f>
        <v>NO. 1 RECOVERY BOILER</v>
      </c>
      <c r="CM133" s="345"/>
      <c r="CN133" s="345"/>
      <c r="CO133" s="345"/>
      <c r="CP133" s="345"/>
      <c r="CQ133" s="345"/>
      <c r="CR133" s="345"/>
      <c r="CS133" s="345"/>
      <c r="CT133" s="345"/>
      <c r="CU133" s="345"/>
      <c r="CV133" s="345"/>
      <c r="CW133" s="345"/>
      <c r="CX133" s="345"/>
      <c r="CY133" s="345"/>
      <c r="CZ133" s="345"/>
      <c r="DA133" s="345"/>
      <c r="DB133" s="345"/>
      <c r="DC133" s="345"/>
      <c r="DD133" s="345"/>
      <c r="DE133" s="345"/>
      <c r="DF133" s="345"/>
      <c r="DG133" s="345"/>
      <c r="DH133" s="345"/>
      <c r="DI133" s="345"/>
      <c r="DJ133" s="345"/>
      <c r="DK133" s="345"/>
      <c r="DL133" s="345"/>
      <c r="DM133" s="345"/>
      <c r="DN133" s="345"/>
      <c r="DO133" s="345"/>
      <c r="DP133" s="345"/>
      <c r="DQ133" s="345"/>
      <c r="DR133" s="345"/>
      <c r="DS133" s="345"/>
      <c r="DT133" s="345"/>
      <c r="DU133" s="345"/>
      <c r="DV133" s="345"/>
      <c r="DW133" s="345"/>
      <c r="DX133" s="345"/>
      <c r="DY133" s="345"/>
      <c r="DZ133" s="346"/>
    </row>
    <row r="134" spans="1:182" ht="36" customHeight="1" x14ac:dyDescent="0.2">
      <c r="A134" s="217"/>
      <c r="B134" s="347" t="s">
        <v>302</v>
      </c>
      <c r="C134" s="348"/>
      <c r="D134" s="348"/>
      <c r="E134" s="348"/>
      <c r="F134" s="348"/>
      <c r="G134" s="348"/>
      <c r="H134" s="348"/>
      <c r="I134" s="348"/>
      <c r="J134" s="348"/>
      <c r="K134" s="348"/>
      <c r="L134" s="349"/>
      <c r="M134" s="312" t="s">
        <v>105</v>
      </c>
      <c r="N134" s="313"/>
      <c r="O134" s="313"/>
      <c r="P134" s="313"/>
      <c r="Q134" s="314"/>
      <c r="R134" s="258" t="s">
        <v>117</v>
      </c>
      <c r="S134" s="258"/>
      <c r="T134" s="258"/>
      <c r="U134" s="258"/>
      <c r="V134" s="258"/>
      <c r="W134" s="258"/>
      <c r="X134" s="258"/>
      <c r="Y134" s="258"/>
      <c r="Z134" s="258"/>
      <c r="AA134" s="258"/>
      <c r="AB134" s="258"/>
      <c r="AC134" s="258"/>
      <c r="AD134" s="258"/>
      <c r="AE134" s="258"/>
      <c r="AF134" s="259"/>
      <c r="AG134" s="365"/>
      <c r="AH134" s="366"/>
      <c r="AI134" s="366"/>
      <c r="AJ134" s="366"/>
      <c r="AK134" s="366"/>
      <c r="AL134" s="366"/>
      <c r="AM134" s="366"/>
      <c r="AN134" s="366"/>
      <c r="AO134" s="366"/>
      <c r="AP134" s="366"/>
      <c r="AQ134" s="366"/>
      <c r="AR134" s="366"/>
      <c r="AS134" s="366"/>
      <c r="AT134" s="366"/>
      <c r="AU134" s="366"/>
      <c r="AV134" s="367"/>
      <c r="AW134" s="190" t="str">
        <f>Thickness!AW134</f>
        <v>Job #  H449364  P.O. #  0018342455 W.O. #  N/A   Date:  5/05/2025</v>
      </c>
      <c r="AX134" s="310"/>
      <c r="AY134" s="310"/>
      <c r="AZ134" s="310"/>
      <c r="BA134" s="310"/>
      <c r="BB134" s="310"/>
      <c r="BC134" s="310"/>
      <c r="BD134" s="310"/>
      <c r="BE134" s="310"/>
      <c r="BF134" s="310"/>
      <c r="BG134" s="310"/>
      <c r="BH134" s="310"/>
      <c r="BI134" s="310"/>
      <c r="BJ134" s="310"/>
      <c r="BK134" s="310"/>
      <c r="BL134" s="310"/>
      <c r="BM134" s="310"/>
      <c r="BN134" s="310"/>
      <c r="BO134" s="310"/>
      <c r="BP134" s="310"/>
      <c r="BQ134" s="310"/>
      <c r="BR134" s="310"/>
      <c r="BS134" s="310"/>
      <c r="BT134" s="310"/>
      <c r="BU134" s="310"/>
      <c r="BV134" s="310"/>
      <c r="BW134" s="310"/>
      <c r="BX134" s="310"/>
      <c r="BY134" s="310"/>
      <c r="BZ134" s="310"/>
      <c r="CA134" s="310"/>
      <c r="CB134" s="310"/>
      <c r="CC134" s="310"/>
      <c r="CD134" s="310"/>
      <c r="CE134" s="310"/>
      <c r="CF134" s="310"/>
      <c r="CG134" s="310"/>
      <c r="CH134" s="310"/>
      <c r="CI134" s="310"/>
      <c r="CJ134" s="310"/>
      <c r="CK134" s="311"/>
      <c r="CL134" s="350" t="str">
        <f>Thickness!CL134</f>
        <v>04 REAR WALL W/ PORTS</v>
      </c>
      <c r="CM134" s="351"/>
      <c r="CN134" s="351"/>
      <c r="CO134" s="351"/>
      <c r="CP134" s="351"/>
      <c r="CQ134" s="351"/>
      <c r="CR134" s="351"/>
      <c r="CS134" s="351"/>
      <c r="CT134" s="351"/>
      <c r="CU134" s="351"/>
      <c r="CV134" s="351"/>
      <c r="CW134" s="351"/>
      <c r="CX134" s="351"/>
      <c r="CY134" s="351"/>
      <c r="CZ134" s="351"/>
      <c r="DA134" s="351"/>
      <c r="DB134" s="351"/>
      <c r="DC134" s="351"/>
      <c r="DD134" s="351"/>
      <c r="DE134" s="351"/>
      <c r="DF134" s="351"/>
      <c r="DG134" s="351"/>
      <c r="DH134" s="351"/>
      <c r="DI134" s="351"/>
      <c r="DJ134" s="351"/>
      <c r="DK134" s="351"/>
      <c r="DL134" s="351"/>
      <c r="DM134" s="351"/>
      <c r="DN134" s="351"/>
      <c r="DO134" s="351"/>
      <c r="DP134" s="351"/>
      <c r="DQ134" s="351"/>
      <c r="DR134" s="351"/>
      <c r="DS134" s="351"/>
      <c r="DT134" s="351"/>
      <c r="DU134" s="351"/>
      <c r="DV134" s="351"/>
      <c r="DW134" s="351"/>
      <c r="DX134" s="351"/>
      <c r="DY134" s="351"/>
      <c r="DZ134" s="352"/>
    </row>
    <row r="135" spans="1:182" ht="36" customHeight="1" x14ac:dyDescent="0.35">
      <c r="B135" s="16" t="s">
        <v>303</v>
      </c>
    </row>
    <row r="136" spans="1:182" ht="36" customHeight="1" x14ac:dyDescent="0.2"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</row>
    <row r="137" spans="1:182" ht="36" customHeight="1" x14ac:dyDescent="0.2"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82" x14ac:dyDescent="0.2"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BJ138" s="3"/>
      <c r="BK138" s="3"/>
      <c r="BL138" s="3"/>
      <c r="BM138" s="3"/>
      <c r="BN138" s="3"/>
      <c r="BO138" s="3"/>
      <c r="BP138" s="3"/>
      <c r="BQ138" s="3"/>
      <c r="BR138" s="184" t="s">
        <v>84</v>
      </c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5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82" x14ac:dyDescent="0.2">
      <c r="BJ139" s="3"/>
      <c r="BK139" s="3"/>
      <c r="BL139" s="3"/>
      <c r="BM139" s="3"/>
      <c r="BN139" s="3"/>
      <c r="BO139" s="3"/>
      <c r="BP139" s="3"/>
      <c r="BQ139" s="3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7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82" x14ac:dyDescent="0.2"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7"/>
    </row>
    <row r="141" spans="1:182" x14ac:dyDescent="0.2"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9"/>
    </row>
    <row r="143" spans="1:182" x14ac:dyDescent="0.2">
      <c r="BR143" s="184" t="s">
        <v>101</v>
      </c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5"/>
    </row>
    <row r="144" spans="1:182" x14ac:dyDescent="0.2"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7"/>
    </row>
    <row r="145" spans="70:89" x14ac:dyDescent="0.2"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7"/>
    </row>
    <row r="146" spans="70:89" x14ac:dyDescent="0.2"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  <c r="CD146" s="188"/>
      <c r="CE146" s="188"/>
      <c r="CF146" s="188"/>
      <c r="CG146" s="188"/>
      <c r="CH146" s="188"/>
      <c r="CI146" s="188"/>
      <c r="CJ146" s="188"/>
      <c r="CK146" s="189"/>
    </row>
    <row r="148" spans="70:89" x14ac:dyDescent="0.2">
      <c r="BR148" s="184" t="s">
        <v>102</v>
      </c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5"/>
    </row>
    <row r="149" spans="70:89" x14ac:dyDescent="0.2"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7"/>
    </row>
    <row r="150" spans="70:89" x14ac:dyDescent="0.2"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7"/>
    </row>
    <row r="151" spans="70:89" x14ac:dyDescent="0.2"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  <c r="CD151" s="188"/>
      <c r="CE151" s="188"/>
      <c r="CF151" s="188"/>
      <c r="CG151" s="188"/>
      <c r="CH151" s="188"/>
      <c r="CI151" s="188"/>
      <c r="CJ151" s="188"/>
      <c r="CK151" s="189"/>
    </row>
  </sheetData>
  <mergeCells count="2399">
    <mergeCell ref="BK112:BK114"/>
    <mergeCell ref="BL112:BL114"/>
    <mergeCell ref="BM112:BM114"/>
    <mergeCell ref="BF112:BF114"/>
    <mergeCell ref="BG112:BG114"/>
    <mergeCell ref="BH112:BH114"/>
    <mergeCell ref="BI112:BI114"/>
    <mergeCell ref="BJ112:BJ114"/>
    <mergeCell ref="BA112:BA114"/>
    <mergeCell ref="BB112:BB114"/>
    <mergeCell ref="BC112:BC114"/>
    <mergeCell ref="BD112:BD114"/>
    <mergeCell ref="BE112:BE114"/>
    <mergeCell ref="AV112:AV114"/>
    <mergeCell ref="AW112:AW114"/>
    <mergeCell ref="AX112:AX114"/>
    <mergeCell ref="AY112:AY114"/>
    <mergeCell ref="AZ112:AZ114"/>
    <mergeCell ref="AQ112:AQ114"/>
    <mergeCell ref="AR112:AR114"/>
    <mergeCell ref="AS112:AS114"/>
    <mergeCell ref="AT112:AT114"/>
    <mergeCell ref="AU112:AU114"/>
    <mergeCell ref="AL112:AL114"/>
    <mergeCell ref="AM112:AM114"/>
    <mergeCell ref="AN112:AN114"/>
    <mergeCell ref="AO112:AO114"/>
    <mergeCell ref="AP112:AP114"/>
    <mergeCell ref="AG112:AG114"/>
    <mergeCell ref="AH112:AH114"/>
    <mergeCell ref="AI112:AI114"/>
    <mergeCell ref="AJ112:AJ114"/>
    <mergeCell ref="AK112:AK114"/>
    <mergeCell ref="AB112:AB114"/>
    <mergeCell ref="AC112:AC114"/>
    <mergeCell ref="AD112:AD114"/>
    <mergeCell ref="AE112:AE114"/>
    <mergeCell ref="AF112:AF114"/>
    <mergeCell ref="W112:W114"/>
    <mergeCell ref="X112:X114"/>
    <mergeCell ref="Y112:Y114"/>
    <mergeCell ref="Z112:Z114"/>
    <mergeCell ref="AA112:AA114"/>
    <mergeCell ref="R112:R114"/>
    <mergeCell ref="S112:S114"/>
    <mergeCell ref="T112:T114"/>
    <mergeCell ref="U112:U114"/>
    <mergeCell ref="V112:V114"/>
    <mergeCell ref="BL109:BL111"/>
    <mergeCell ref="BM109:BM111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BG109:BG111"/>
    <mergeCell ref="BH109:BH111"/>
    <mergeCell ref="BI109:BI111"/>
    <mergeCell ref="BJ109:BJ111"/>
    <mergeCell ref="BK109:BK111"/>
    <mergeCell ref="BB109:BB111"/>
    <mergeCell ref="BC109:BC111"/>
    <mergeCell ref="BD109:BD111"/>
    <mergeCell ref="BE109:BE111"/>
    <mergeCell ref="BF109:BF111"/>
    <mergeCell ref="AW109:AW111"/>
    <mergeCell ref="AX109:AX111"/>
    <mergeCell ref="AY109:AY111"/>
    <mergeCell ref="AZ109:AZ111"/>
    <mergeCell ref="BA109:BA111"/>
    <mergeCell ref="AR109:AR111"/>
    <mergeCell ref="AS109:AS111"/>
    <mergeCell ref="AT109:AT111"/>
    <mergeCell ref="AU109:AU111"/>
    <mergeCell ref="AV109:AV111"/>
    <mergeCell ref="AM109:AM111"/>
    <mergeCell ref="AN109:AN111"/>
    <mergeCell ref="AO109:AO111"/>
    <mergeCell ref="AP109:AP111"/>
    <mergeCell ref="AQ109:AQ111"/>
    <mergeCell ref="AH109:AH111"/>
    <mergeCell ref="AI109:AI111"/>
    <mergeCell ref="AJ109:AJ111"/>
    <mergeCell ref="AK109:AK111"/>
    <mergeCell ref="AL109:AL111"/>
    <mergeCell ref="AC109:AC111"/>
    <mergeCell ref="AD109:AD111"/>
    <mergeCell ref="AE109:AE111"/>
    <mergeCell ref="AF109:AF111"/>
    <mergeCell ref="AG109:AG111"/>
    <mergeCell ref="X109:X111"/>
    <mergeCell ref="Y109:Y111"/>
    <mergeCell ref="Z109:Z111"/>
    <mergeCell ref="AA109:AA111"/>
    <mergeCell ref="AB109:AB111"/>
    <mergeCell ref="S109:S111"/>
    <mergeCell ref="T109:T111"/>
    <mergeCell ref="U109:U111"/>
    <mergeCell ref="V109:V111"/>
    <mergeCell ref="W109:W111"/>
    <mergeCell ref="N109:N111"/>
    <mergeCell ref="O109:O111"/>
    <mergeCell ref="P109:P111"/>
    <mergeCell ref="Q109:Q111"/>
    <mergeCell ref="R109:R111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G109:G111"/>
    <mergeCell ref="H109:H111"/>
    <mergeCell ref="BI106:BI108"/>
    <mergeCell ref="BJ106:BJ108"/>
    <mergeCell ref="BK106:BK108"/>
    <mergeCell ref="BL106:BL108"/>
    <mergeCell ref="BM106:BM108"/>
    <mergeCell ref="BD106:BD108"/>
    <mergeCell ref="BE106:BE108"/>
    <mergeCell ref="BF106:BF108"/>
    <mergeCell ref="BG106:BG108"/>
    <mergeCell ref="BH106:BH108"/>
    <mergeCell ref="AY106:AY108"/>
    <mergeCell ref="AZ106:AZ108"/>
    <mergeCell ref="BA106:BA108"/>
    <mergeCell ref="BB106:BB108"/>
    <mergeCell ref="BC106:BC108"/>
    <mergeCell ref="AT106:AT108"/>
    <mergeCell ref="AU106:AU108"/>
    <mergeCell ref="AV106:AV108"/>
    <mergeCell ref="AW106:AW108"/>
    <mergeCell ref="AX106:AX108"/>
    <mergeCell ref="AO106:AO108"/>
    <mergeCell ref="AP106:AP108"/>
    <mergeCell ref="AQ106:AQ108"/>
    <mergeCell ref="AR106:AR108"/>
    <mergeCell ref="AS106:AS108"/>
    <mergeCell ref="AJ106:AJ108"/>
    <mergeCell ref="AK106:AK108"/>
    <mergeCell ref="AL106:AL108"/>
    <mergeCell ref="AM106:AM108"/>
    <mergeCell ref="AN106:AN108"/>
    <mergeCell ref="AE106:AE108"/>
    <mergeCell ref="AF106:AF108"/>
    <mergeCell ref="AG106:AG108"/>
    <mergeCell ref="AH106:AH108"/>
    <mergeCell ref="AI106:AI108"/>
    <mergeCell ref="Z106:Z108"/>
    <mergeCell ref="AA106:AA108"/>
    <mergeCell ref="AB106:AB108"/>
    <mergeCell ref="AC106:AC108"/>
    <mergeCell ref="AD106:AD108"/>
    <mergeCell ref="U106:U108"/>
    <mergeCell ref="V106:V108"/>
    <mergeCell ref="W106:W108"/>
    <mergeCell ref="X106:X108"/>
    <mergeCell ref="Y106:Y108"/>
    <mergeCell ref="P106:P108"/>
    <mergeCell ref="Q106:Q108"/>
    <mergeCell ref="R106:R108"/>
    <mergeCell ref="S106:S108"/>
    <mergeCell ref="T106:T108"/>
    <mergeCell ref="BJ103:BJ105"/>
    <mergeCell ref="BK103:BK105"/>
    <mergeCell ref="BL103:BL105"/>
    <mergeCell ref="BM103:BM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BE103:BE105"/>
    <mergeCell ref="BF103:BF105"/>
    <mergeCell ref="BG103:BG105"/>
    <mergeCell ref="BH103:BH105"/>
    <mergeCell ref="BI103:BI105"/>
    <mergeCell ref="AZ103:AZ105"/>
    <mergeCell ref="BA103:BA105"/>
    <mergeCell ref="BB103:BB105"/>
    <mergeCell ref="BC103:BC105"/>
    <mergeCell ref="BD103:BD105"/>
    <mergeCell ref="AU103:AU105"/>
    <mergeCell ref="AV103:AV105"/>
    <mergeCell ref="AW103:AW105"/>
    <mergeCell ref="AX103:AX105"/>
    <mergeCell ref="AY103:AY105"/>
    <mergeCell ref="AP103:AP105"/>
    <mergeCell ref="AQ103:AQ105"/>
    <mergeCell ref="AR103:AR105"/>
    <mergeCell ref="AS103:AS105"/>
    <mergeCell ref="AT103:AT105"/>
    <mergeCell ref="AK103:AK105"/>
    <mergeCell ref="AL103:AL105"/>
    <mergeCell ref="AM103:AM105"/>
    <mergeCell ref="AN103:AN105"/>
    <mergeCell ref="AO103:AO105"/>
    <mergeCell ref="AF103:AF105"/>
    <mergeCell ref="AG103:AG105"/>
    <mergeCell ref="AH103:AH105"/>
    <mergeCell ref="AI103:AI105"/>
    <mergeCell ref="AJ103:AJ105"/>
    <mergeCell ref="AA103:AA105"/>
    <mergeCell ref="AB103:AB105"/>
    <mergeCell ref="AC103:AC105"/>
    <mergeCell ref="AD103:AD105"/>
    <mergeCell ref="AE103:AE105"/>
    <mergeCell ref="V103:V105"/>
    <mergeCell ref="W103:W105"/>
    <mergeCell ref="X103:X105"/>
    <mergeCell ref="Y103:Y105"/>
    <mergeCell ref="Z103:Z105"/>
    <mergeCell ref="Q103:Q105"/>
    <mergeCell ref="R103:R105"/>
    <mergeCell ref="S103:S105"/>
    <mergeCell ref="T103:T105"/>
    <mergeCell ref="U103:U105"/>
    <mergeCell ref="BK100:BK102"/>
    <mergeCell ref="BL100:BL102"/>
    <mergeCell ref="BM100:BM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BF100:BF102"/>
    <mergeCell ref="BG100:BG102"/>
    <mergeCell ref="BH100:BH102"/>
    <mergeCell ref="BI100:BI102"/>
    <mergeCell ref="BJ100:BJ102"/>
    <mergeCell ref="BA100:BA102"/>
    <mergeCell ref="BB100:BB102"/>
    <mergeCell ref="BC100:BC102"/>
    <mergeCell ref="BD100:BD102"/>
    <mergeCell ref="BE100:BE102"/>
    <mergeCell ref="AV100:AV102"/>
    <mergeCell ref="AW100:AW102"/>
    <mergeCell ref="AX100:AX102"/>
    <mergeCell ref="AY100:AY102"/>
    <mergeCell ref="AZ100:AZ102"/>
    <mergeCell ref="AQ100:AQ102"/>
    <mergeCell ref="AR100:AR102"/>
    <mergeCell ref="AS100:AS102"/>
    <mergeCell ref="AT100:AT102"/>
    <mergeCell ref="AU100:AU102"/>
    <mergeCell ref="AL100:AL102"/>
    <mergeCell ref="AM100:AM102"/>
    <mergeCell ref="AN100:AN102"/>
    <mergeCell ref="AO100:AO102"/>
    <mergeCell ref="AP100:AP102"/>
    <mergeCell ref="AG100:AG102"/>
    <mergeCell ref="AH100:AH102"/>
    <mergeCell ref="AI100:AI102"/>
    <mergeCell ref="AJ100:AJ102"/>
    <mergeCell ref="AK100:AK102"/>
    <mergeCell ref="AB100:AB102"/>
    <mergeCell ref="AC100:AC102"/>
    <mergeCell ref="AD100:AD102"/>
    <mergeCell ref="AE100:AE102"/>
    <mergeCell ref="AF100:AF102"/>
    <mergeCell ref="W100:W102"/>
    <mergeCell ref="X100:X102"/>
    <mergeCell ref="Y100:Y102"/>
    <mergeCell ref="Z100:Z102"/>
    <mergeCell ref="AA100:AA102"/>
    <mergeCell ref="R100:R102"/>
    <mergeCell ref="S100:S102"/>
    <mergeCell ref="T100:T102"/>
    <mergeCell ref="U100:U102"/>
    <mergeCell ref="V100:V102"/>
    <mergeCell ref="BL97:BL99"/>
    <mergeCell ref="BM97:BM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N97:N99"/>
    <mergeCell ref="O97:O99"/>
    <mergeCell ref="P97:P99"/>
    <mergeCell ref="Q97:Q99"/>
    <mergeCell ref="R97:R99"/>
    <mergeCell ref="I97:I99"/>
    <mergeCell ref="J97:J99"/>
    <mergeCell ref="K97:K99"/>
    <mergeCell ref="L97:L99"/>
    <mergeCell ref="M97:M99"/>
    <mergeCell ref="D97:D99"/>
    <mergeCell ref="E97:E99"/>
    <mergeCell ref="F97:F99"/>
    <mergeCell ref="G97:G99"/>
    <mergeCell ref="H97:H99"/>
    <mergeCell ref="BI94:BI96"/>
    <mergeCell ref="BJ94:BJ96"/>
    <mergeCell ref="BK94:BK96"/>
    <mergeCell ref="BL94:BL96"/>
    <mergeCell ref="BM94:BM96"/>
    <mergeCell ref="BD94:BD96"/>
    <mergeCell ref="BE94:BE96"/>
    <mergeCell ref="BF94:BF96"/>
    <mergeCell ref="BG94:BG96"/>
    <mergeCell ref="BH94:BH96"/>
    <mergeCell ref="AY94:AY96"/>
    <mergeCell ref="AZ94:AZ96"/>
    <mergeCell ref="BA94:BA96"/>
    <mergeCell ref="BB94:BB96"/>
    <mergeCell ref="BC94:BC96"/>
    <mergeCell ref="AT94:AT96"/>
    <mergeCell ref="AU94:AU96"/>
    <mergeCell ref="AV94:AV96"/>
    <mergeCell ref="AW94:AW96"/>
    <mergeCell ref="AX94:AX96"/>
    <mergeCell ref="AO94:AO96"/>
    <mergeCell ref="AP94:AP96"/>
    <mergeCell ref="AQ94:AQ96"/>
    <mergeCell ref="AR94:AR96"/>
    <mergeCell ref="AS94:AS96"/>
    <mergeCell ref="AJ94:AJ96"/>
    <mergeCell ref="AK94:AK96"/>
    <mergeCell ref="AL94:AL96"/>
    <mergeCell ref="AM94:AM96"/>
    <mergeCell ref="AN94:AN96"/>
    <mergeCell ref="AE94:AE96"/>
    <mergeCell ref="AF94:AF96"/>
    <mergeCell ref="AG94:AG96"/>
    <mergeCell ref="AH94:AH96"/>
    <mergeCell ref="AI94:AI96"/>
    <mergeCell ref="Z94:Z96"/>
    <mergeCell ref="AA94:AA96"/>
    <mergeCell ref="AB94:AB96"/>
    <mergeCell ref="AC94:AC96"/>
    <mergeCell ref="AD94:AD96"/>
    <mergeCell ref="U94:U96"/>
    <mergeCell ref="V94:V96"/>
    <mergeCell ref="W94:W96"/>
    <mergeCell ref="X94:X96"/>
    <mergeCell ref="Y94:Y96"/>
    <mergeCell ref="P94:P96"/>
    <mergeCell ref="Q94:Q96"/>
    <mergeCell ref="R94:R96"/>
    <mergeCell ref="S94:S96"/>
    <mergeCell ref="T94:T96"/>
    <mergeCell ref="BJ91:BJ93"/>
    <mergeCell ref="BK91:BK93"/>
    <mergeCell ref="BL91:BL93"/>
    <mergeCell ref="BM91:BM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BE91:BE93"/>
    <mergeCell ref="BF91:BF93"/>
    <mergeCell ref="BG91:BG93"/>
    <mergeCell ref="BH91:BH93"/>
    <mergeCell ref="BI91:BI93"/>
    <mergeCell ref="AZ91:AZ93"/>
    <mergeCell ref="BA91:BA93"/>
    <mergeCell ref="BB91:BB93"/>
    <mergeCell ref="BC91:BC93"/>
    <mergeCell ref="BD91:BD93"/>
    <mergeCell ref="AU91:AU93"/>
    <mergeCell ref="AV91:AV93"/>
    <mergeCell ref="AW91:AW93"/>
    <mergeCell ref="AX91:AX93"/>
    <mergeCell ref="AY91:AY93"/>
    <mergeCell ref="AP91:AP93"/>
    <mergeCell ref="AQ91:AQ93"/>
    <mergeCell ref="AR91:AR93"/>
    <mergeCell ref="AS91:AS93"/>
    <mergeCell ref="AT91:AT93"/>
    <mergeCell ref="AK91:AK93"/>
    <mergeCell ref="AL91:AL93"/>
    <mergeCell ref="AM91:AM93"/>
    <mergeCell ref="AN91:AN93"/>
    <mergeCell ref="AO91:AO93"/>
    <mergeCell ref="AF91:AF93"/>
    <mergeCell ref="AG91:AG93"/>
    <mergeCell ref="AH91:AH93"/>
    <mergeCell ref="AI91:AI93"/>
    <mergeCell ref="AJ91:AJ93"/>
    <mergeCell ref="AA91:AA93"/>
    <mergeCell ref="AB91:AB93"/>
    <mergeCell ref="AC91:AC93"/>
    <mergeCell ref="AD91:AD93"/>
    <mergeCell ref="AE91:AE93"/>
    <mergeCell ref="V91:V93"/>
    <mergeCell ref="W91:W93"/>
    <mergeCell ref="X91:X93"/>
    <mergeCell ref="Y91:Y93"/>
    <mergeCell ref="Z91:Z93"/>
    <mergeCell ref="Q91:Q93"/>
    <mergeCell ref="R91:R93"/>
    <mergeCell ref="S91:S93"/>
    <mergeCell ref="T91:T93"/>
    <mergeCell ref="U91:U93"/>
    <mergeCell ref="BK88:BK90"/>
    <mergeCell ref="BL88:BL90"/>
    <mergeCell ref="BM88:BM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P91:P93"/>
    <mergeCell ref="BF88:BF90"/>
    <mergeCell ref="BG88:BG90"/>
    <mergeCell ref="BH88:BH90"/>
    <mergeCell ref="BI88:BI90"/>
    <mergeCell ref="BJ88:BJ90"/>
    <mergeCell ref="BA88:BA90"/>
    <mergeCell ref="BB88:BB90"/>
    <mergeCell ref="BC88:BC90"/>
    <mergeCell ref="BD88:BD90"/>
    <mergeCell ref="BE88:BE90"/>
    <mergeCell ref="AV88:AV90"/>
    <mergeCell ref="AW88:AW90"/>
    <mergeCell ref="AX88:AX90"/>
    <mergeCell ref="AY88:AY90"/>
    <mergeCell ref="AZ88:AZ90"/>
    <mergeCell ref="AQ88:AQ90"/>
    <mergeCell ref="AR88:AR90"/>
    <mergeCell ref="AS88:AS90"/>
    <mergeCell ref="AT88:AT90"/>
    <mergeCell ref="AU88:AU90"/>
    <mergeCell ref="AL88:AL90"/>
    <mergeCell ref="AM88:AM90"/>
    <mergeCell ref="AN88:AN90"/>
    <mergeCell ref="AO88:AO90"/>
    <mergeCell ref="AP88:AP90"/>
    <mergeCell ref="AG88:AG90"/>
    <mergeCell ref="AH88:AH90"/>
    <mergeCell ref="AI88:AI90"/>
    <mergeCell ref="AJ88:AJ90"/>
    <mergeCell ref="AK88:AK90"/>
    <mergeCell ref="AB88:AB90"/>
    <mergeCell ref="AC88:AC90"/>
    <mergeCell ref="AD88:AD90"/>
    <mergeCell ref="AE88:AE90"/>
    <mergeCell ref="AF88:AF90"/>
    <mergeCell ref="W88:W90"/>
    <mergeCell ref="X88:X90"/>
    <mergeCell ref="Y88:Y90"/>
    <mergeCell ref="Z88:Z90"/>
    <mergeCell ref="AA88:AA90"/>
    <mergeCell ref="R88:R90"/>
    <mergeCell ref="S88:S90"/>
    <mergeCell ref="T88:T90"/>
    <mergeCell ref="U88:U90"/>
    <mergeCell ref="V88:V90"/>
    <mergeCell ref="BL85:BL87"/>
    <mergeCell ref="BM85:BM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BG85:BG87"/>
    <mergeCell ref="BH85:BH87"/>
    <mergeCell ref="BI85:BI87"/>
    <mergeCell ref="BJ85:BJ87"/>
    <mergeCell ref="BK85:BK87"/>
    <mergeCell ref="BB85:BB87"/>
    <mergeCell ref="BC85:BC87"/>
    <mergeCell ref="BD85:BD87"/>
    <mergeCell ref="BE85:BE87"/>
    <mergeCell ref="BF85:BF87"/>
    <mergeCell ref="AW85:AW87"/>
    <mergeCell ref="AX85:AX87"/>
    <mergeCell ref="AY85:AY87"/>
    <mergeCell ref="AZ85:AZ87"/>
    <mergeCell ref="BA85:BA87"/>
    <mergeCell ref="AR85:AR87"/>
    <mergeCell ref="AS85:AS87"/>
    <mergeCell ref="AT85:AT87"/>
    <mergeCell ref="AU85:AU87"/>
    <mergeCell ref="AV85:AV87"/>
    <mergeCell ref="AM85:AM87"/>
    <mergeCell ref="AN85:AN87"/>
    <mergeCell ref="AO85:AO87"/>
    <mergeCell ref="AP85:AP87"/>
    <mergeCell ref="AQ85:AQ87"/>
    <mergeCell ref="AH85:AH87"/>
    <mergeCell ref="AI85:AI87"/>
    <mergeCell ref="AJ85:AJ87"/>
    <mergeCell ref="AK85:AK87"/>
    <mergeCell ref="AL85:AL87"/>
    <mergeCell ref="AC85:AC87"/>
    <mergeCell ref="AD85:AD87"/>
    <mergeCell ref="AE85:AE87"/>
    <mergeCell ref="AF85:AF87"/>
    <mergeCell ref="AG85:AG87"/>
    <mergeCell ref="X85:X87"/>
    <mergeCell ref="Y85:Y87"/>
    <mergeCell ref="Z85:Z87"/>
    <mergeCell ref="AA85:AA87"/>
    <mergeCell ref="AB85:AB87"/>
    <mergeCell ref="S85:S87"/>
    <mergeCell ref="T85:T87"/>
    <mergeCell ref="U85:U87"/>
    <mergeCell ref="V85:V87"/>
    <mergeCell ref="W85:W87"/>
    <mergeCell ref="N85:N87"/>
    <mergeCell ref="O85:O87"/>
    <mergeCell ref="P85:P87"/>
    <mergeCell ref="Q85:Q87"/>
    <mergeCell ref="R85:R87"/>
    <mergeCell ref="I85:I87"/>
    <mergeCell ref="J85:J87"/>
    <mergeCell ref="K85:K87"/>
    <mergeCell ref="L85:L87"/>
    <mergeCell ref="M85:M87"/>
    <mergeCell ref="D85:D87"/>
    <mergeCell ref="E85:E87"/>
    <mergeCell ref="F85:F87"/>
    <mergeCell ref="G85:G87"/>
    <mergeCell ref="H85:H87"/>
    <mergeCell ref="BI82:BI84"/>
    <mergeCell ref="BJ82:BJ84"/>
    <mergeCell ref="BK82:BK84"/>
    <mergeCell ref="BL82:BL84"/>
    <mergeCell ref="BM82:BM84"/>
    <mergeCell ref="BD82:BD84"/>
    <mergeCell ref="BE82:BE84"/>
    <mergeCell ref="BF82:BF84"/>
    <mergeCell ref="BG82:BG84"/>
    <mergeCell ref="BH82:BH84"/>
    <mergeCell ref="AY82:AY84"/>
    <mergeCell ref="AZ82:AZ84"/>
    <mergeCell ref="BA82:BA84"/>
    <mergeCell ref="BB82:BB84"/>
    <mergeCell ref="BC82:BC84"/>
    <mergeCell ref="AT82:AT84"/>
    <mergeCell ref="AU82:AU84"/>
    <mergeCell ref="AV82:AV84"/>
    <mergeCell ref="AW82:AW84"/>
    <mergeCell ref="AX82:AX84"/>
    <mergeCell ref="AO82:AO84"/>
    <mergeCell ref="AP82:AP84"/>
    <mergeCell ref="AQ82:AQ84"/>
    <mergeCell ref="AR82:AR84"/>
    <mergeCell ref="AS82:AS84"/>
    <mergeCell ref="AJ82:AJ84"/>
    <mergeCell ref="AK82:AK84"/>
    <mergeCell ref="AL82:AL84"/>
    <mergeCell ref="AM82:AM84"/>
    <mergeCell ref="AN82:AN84"/>
    <mergeCell ref="AE82:AE84"/>
    <mergeCell ref="AF82:AF84"/>
    <mergeCell ref="AG82:AG84"/>
    <mergeCell ref="AH82:AH84"/>
    <mergeCell ref="AI82:AI84"/>
    <mergeCell ref="Z82:Z84"/>
    <mergeCell ref="AA82:AA84"/>
    <mergeCell ref="AB82:AB84"/>
    <mergeCell ref="AC82:AC84"/>
    <mergeCell ref="AD82:AD84"/>
    <mergeCell ref="U82:U84"/>
    <mergeCell ref="V82:V84"/>
    <mergeCell ref="W82:W84"/>
    <mergeCell ref="X82:X84"/>
    <mergeCell ref="Y82:Y84"/>
    <mergeCell ref="P82:P84"/>
    <mergeCell ref="Q82:Q84"/>
    <mergeCell ref="R82:R84"/>
    <mergeCell ref="S82:S84"/>
    <mergeCell ref="T82:T84"/>
    <mergeCell ref="BJ79:BJ81"/>
    <mergeCell ref="BK79:BK81"/>
    <mergeCell ref="BL79:BL81"/>
    <mergeCell ref="BM79:BM81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BE79:BE81"/>
    <mergeCell ref="BF79:BF81"/>
    <mergeCell ref="BG79:BG81"/>
    <mergeCell ref="BH79:BH81"/>
    <mergeCell ref="BI79:BI81"/>
    <mergeCell ref="AZ79:AZ81"/>
    <mergeCell ref="BA79:BA81"/>
    <mergeCell ref="BB79:BB81"/>
    <mergeCell ref="BC79:BC81"/>
    <mergeCell ref="BD79:BD81"/>
    <mergeCell ref="AU79:AU81"/>
    <mergeCell ref="AV79:AV81"/>
    <mergeCell ref="AW79:AW81"/>
    <mergeCell ref="AX79:AX81"/>
    <mergeCell ref="AY79:AY81"/>
    <mergeCell ref="AP79:AP81"/>
    <mergeCell ref="AQ79:AQ81"/>
    <mergeCell ref="AR79:AR81"/>
    <mergeCell ref="AS79:AS81"/>
    <mergeCell ref="AT79:AT81"/>
    <mergeCell ref="AK79:AK81"/>
    <mergeCell ref="AL79:AL81"/>
    <mergeCell ref="AM79:AM81"/>
    <mergeCell ref="AN79:AN81"/>
    <mergeCell ref="AO79:AO81"/>
    <mergeCell ref="AF79:AF81"/>
    <mergeCell ref="AG79:AG81"/>
    <mergeCell ref="AH79:AH81"/>
    <mergeCell ref="AI79:AI81"/>
    <mergeCell ref="AJ79:AJ81"/>
    <mergeCell ref="AA79:AA81"/>
    <mergeCell ref="AB79:AB81"/>
    <mergeCell ref="AC79:AC81"/>
    <mergeCell ref="AD79:AD81"/>
    <mergeCell ref="AE79:AE81"/>
    <mergeCell ref="V79:V81"/>
    <mergeCell ref="W79:W81"/>
    <mergeCell ref="X79:X81"/>
    <mergeCell ref="Y79:Y81"/>
    <mergeCell ref="Z79:Z81"/>
    <mergeCell ref="Q79:Q81"/>
    <mergeCell ref="R79:R81"/>
    <mergeCell ref="S79:S81"/>
    <mergeCell ref="T79:T81"/>
    <mergeCell ref="U79:U81"/>
    <mergeCell ref="BK76:BK78"/>
    <mergeCell ref="BL76:BL78"/>
    <mergeCell ref="BM76:BM78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BF76:BF78"/>
    <mergeCell ref="BG76:BG78"/>
    <mergeCell ref="BH76:BH78"/>
    <mergeCell ref="BI76:BI78"/>
    <mergeCell ref="BJ76:BJ78"/>
    <mergeCell ref="BA76:BA78"/>
    <mergeCell ref="BB76:BB78"/>
    <mergeCell ref="BC76:BC78"/>
    <mergeCell ref="BD76:BD78"/>
    <mergeCell ref="BE76:BE78"/>
    <mergeCell ref="AV76:AV78"/>
    <mergeCell ref="AW76:AW78"/>
    <mergeCell ref="AX76:AX78"/>
    <mergeCell ref="AY76:AY78"/>
    <mergeCell ref="AZ76:AZ78"/>
    <mergeCell ref="AQ76:AQ78"/>
    <mergeCell ref="AR76:AR78"/>
    <mergeCell ref="AS76:AS78"/>
    <mergeCell ref="AT76:AT78"/>
    <mergeCell ref="AU76:AU78"/>
    <mergeCell ref="AL76:AL78"/>
    <mergeCell ref="AM76:AM78"/>
    <mergeCell ref="AN76:AN78"/>
    <mergeCell ref="AO76:AO78"/>
    <mergeCell ref="AP76:AP78"/>
    <mergeCell ref="AG76:AG78"/>
    <mergeCell ref="AH76:AH78"/>
    <mergeCell ref="AI76:AI78"/>
    <mergeCell ref="AJ76:AJ78"/>
    <mergeCell ref="AK76:AK78"/>
    <mergeCell ref="AB76:AB78"/>
    <mergeCell ref="AC76:AC78"/>
    <mergeCell ref="AD76:AD78"/>
    <mergeCell ref="AE76:AE78"/>
    <mergeCell ref="AF76:AF78"/>
    <mergeCell ref="W76:W78"/>
    <mergeCell ref="X76:X78"/>
    <mergeCell ref="Y76:Y78"/>
    <mergeCell ref="Z76:Z78"/>
    <mergeCell ref="AA76:AA78"/>
    <mergeCell ref="R76:R78"/>
    <mergeCell ref="S76:S78"/>
    <mergeCell ref="T76:T78"/>
    <mergeCell ref="U76:U78"/>
    <mergeCell ref="V76:V78"/>
    <mergeCell ref="BL73:BL75"/>
    <mergeCell ref="BM73:BM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N73:N75"/>
    <mergeCell ref="O73:O75"/>
    <mergeCell ref="P73:P75"/>
    <mergeCell ref="Q73:Q75"/>
    <mergeCell ref="R73:R75"/>
    <mergeCell ref="I73:I75"/>
    <mergeCell ref="J73:J75"/>
    <mergeCell ref="K73:K75"/>
    <mergeCell ref="L73:L75"/>
    <mergeCell ref="M73:M75"/>
    <mergeCell ref="D73:D75"/>
    <mergeCell ref="E73:E75"/>
    <mergeCell ref="F73:F75"/>
    <mergeCell ref="G73:G75"/>
    <mergeCell ref="H73:H75"/>
    <mergeCell ref="BI70:BI72"/>
    <mergeCell ref="BJ70:BJ72"/>
    <mergeCell ref="BK70:BK72"/>
    <mergeCell ref="BL70:BL72"/>
    <mergeCell ref="BM70:BM72"/>
    <mergeCell ref="BD70:BD72"/>
    <mergeCell ref="BE70:BE72"/>
    <mergeCell ref="BF70:BF72"/>
    <mergeCell ref="BG70:BG72"/>
    <mergeCell ref="BH70:BH72"/>
    <mergeCell ref="AY70:AY72"/>
    <mergeCell ref="AZ70:AZ72"/>
    <mergeCell ref="BA70:BA72"/>
    <mergeCell ref="BB70:BB72"/>
    <mergeCell ref="BC70:BC72"/>
    <mergeCell ref="AT70:AT72"/>
    <mergeCell ref="AU70:AU72"/>
    <mergeCell ref="AV70:AV72"/>
    <mergeCell ref="AW70:AW72"/>
    <mergeCell ref="AX70:AX72"/>
    <mergeCell ref="AO70:AO72"/>
    <mergeCell ref="AP70:AP72"/>
    <mergeCell ref="AQ70:AQ72"/>
    <mergeCell ref="AR70:AR72"/>
    <mergeCell ref="AS70:AS72"/>
    <mergeCell ref="AJ70:AJ72"/>
    <mergeCell ref="AK70:AK72"/>
    <mergeCell ref="AL70:AL72"/>
    <mergeCell ref="AM70:AM72"/>
    <mergeCell ref="AN70:AN72"/>
    <mergeCell ref="AE70:AE72"/>
    <mergeCell ref="AF70:AF72"/>
    <mergeCell ref="AG70:AG72"/>
    <mergeCell ref="AH70:AH72"/>
    <mergeCell ref="AI70:AI72"/>
    <mergeCell ref="Z70:Z72"/>
    <mergeCell ref="AA70:AA72"/>
    <mergeCell ref="AB70:AB72"/>
    <mergeCell ref="AC70:AC72"/>
    <mergeCell ref="AD70:AD72"/>
    <mergeCell ref="U70:U72"/>
    <mergeCell ref="V70:V72"/>
    <mergeCell ref="W70:W72"/>
    <mergeCell ref="X70:X72"/>
    <mergeCell ref="Y70:Y72"/>
    <mergeCell ref="P70:P72"/>
    <mergeCell ref="Q70:Q72"/>
    <mergeCell ref="R70:R72"/>
    <mergeCell ref="S70:S72"/>
    <mergeCell ref="T70:T72"/>
    <mergeCell ref="BJ67:BJ69"/>
    <mergeCell ref="BK67:BK69"/>
    <mergeCell ref="BL67:BL69"/>
    <mergeCell ref="BM67:BM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BE67:BE69"/>
    <mergeCell ref="BF67:BF69"/>
    <mergeCell ref="BG67:BG69"/>
    <mergeCell ref="BH67:BH69"/>
    <mergeCell ref="BI67:BI69"/>
    <mergeCell ref="AZ67:AZ69"/>
    <mergeCell ref="BA67:BA69"/>
    <mergeCell ref="BB67:BB69"/>
    <mergeCell ref="BC67:BC69"/>
    <mergeCell ref="BD67:BD69"/>
    <mergeCell ref="AU67:AU69"/>
    <mergeCell ref="AV67:AV69"/>
    <mergeCell ref="AW67:AW69"/>
    <mergeCell ref="AX67:AX69"/>
    <mergeCell ref="AY67:AY69"/>
    <mergeCell ref="AP67:AP69"/>
    <mergeCell ref="AQ67:AQ69"/>
    <mergeCell ref="AR67:AR69"/>
    <mergeCell ref="AS67:AS69"/>
    <mergeCell ref="AT67:AT69"/>
    <mergeCell ref="AK67:AK69"/>
    <mergeCell ref="AL67:AL69"/>
    <mergeCell ref="AM67:AM69"/>
    <mergeCell ref="AN67:AN69"/>
    <mergeCell ref="AO67:AO69"/>
    <mergeCell ref="AF67:AF69"/>
    <mergeCell ref="AG67:AG69"/>
    <mergeCell ref="AH67:AH69"/>
    <mergeCell ref="AI67:AI69"/>
    <mergeCell ref="AJ67:AJ69"/>
    <mergeCell ref="AA67:AA69"/>
    <mergeCell ref="AB67:AB69"/>
    <mergeCell ref="AC67:AC69"/>
    <mergeCell ref="AD67:AD69"/>
    <mergeCell ref="AE67:AE69"/>
    <mergeCell ref="V67:V69"/>
    <mergeCell ref="W67:W69"/>
    <mergeCell ref="X67:X69"/>
    <mergeCell ref="Y67:Y69"/>
    <mergeCell ref="Z67:Z69"/>
    <mergeCell ref="Q67:Q69"/>
    <mergeCell ref="R67:R69"/>
    <mergeCell ref="S67:S69"/>
    <mergeCell ref="T67:T69"/>
    <mergeCell ref="U67:U69"/>
    <mergeCell ref="BK64:BK66"/>
    <mergeCell ref="BL64:BL66"/>
    <mergeCell ref="BM64:BM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BF64:BF66"/>
    <mergeCell ref="BG64:BG66"/>
    <mergeCell ref="BH64:BH66"/>
    <mergeCell ref="BI64:BI66"/>
    <mergeCell ref="BJ64:BJ66"/>
    <mergeCell ref="BA64:BA66"/>
    <mergeCell ref="BB64:BB66"/>
    <mergeCell ref="BC64:BC66"/>
    <mergeCell ref="BD64:BD66"/>
    <mergeCell ref="BE64:BE66"/>
    <mergeCell ref="AV64:AV66"/>
    <mergeCell ref="AW64:AW66"/>
    <mergeCell ref="AX64:AX66"/>
    <mergeCell ref="AY64:AY66"/>
    <mergeCell ref="AZ64:AZ66"/>
    <mergeCell ref="AQ64:AQ66"/>
    <mergeCell ref="AR64:AR66"/>
    <mergeCell ref="AS64:AS66"/>
    <mergeCell ref="AT64:AT66"/>
    <mergeCell ref="AU64:AU66"/>
    <mergeCell ref="AL64:AL66"/>
    <mergeCell ref="AM64:AM66"/>
    <mergeCell ref="AN64:AN66"/>
    <mergeCell ref="AO64:AO66"/>
    <mergeCell ref="AP64:AP66"/>
    <mergeCell ref="AG64:AG66"/>
    <mergeCell ref="AH64:AH66"/>
    <mergeCell ref="AI64:AI66"/>
    <mergeCell ref="AJ64:AJ66"/>
    <mergeCell ref="AK64:AK66"/>
    <mergeCell ref="AB64:AB66"/>
    <mergeCell ref="AC64:AC66"/>
    <mergeCell ref="AD64:AD66"/>
    <mergeCell ref="AE64:AE66"/>
    <mergeCell ref="AF64:AF66"/>
    <mergeCell ref="W64:W66"/>
    <mergeCell ref="X64:X66"/>
    <mergeCell ref="Y64:Y66"/>
    <mergeCell ref="Z64:Z66"/>
    <mergeCell ref="AA64:AA66"/>
    <mergeCell ref="R64:R66"/>
    <mergeCell ref="S64:S66"/>
    <mergeCell ref="T64:T66"/>
    <mergeCell ref="U64:U66"/>
    <mergeCell ref="V64:V66"/>
    <mergeCell ref="BL61:BL63"/>
    <mergeCell ref="BM61:BM63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BG61:BG63"/>
    <mergeCell ref="BH61:BH63"/>
    <mergeCell ref="BI61:BI63"/>
    <mergeCell ref="BJ61:BJ63"/>
    <mergeCell ref="BK61:BK63"/>
    <mergeCell ref="BB61:BB63"/>
    <mergeCell ref="BC61:BC63"/>
    <mergeCell ref="BD61:BD63"/>
    <mergeCell ref="BE61:BE63"/>
    <mergeCell ref="BF61:BF63"/>
    <mergeCell ref="AW61:AW63"/>
    <mergeCell ref="AX61:AX63"/>
    <mergeCell ref="AY61:AY63"/>
    <mergeCell ref="AZ61:AZ63"/>
    <mergeCell ref="BA61:BA63"/>
    <mergeCell ref="AR61:AR63"/>
    <mergeCell ref="AS61:AS63"/>
    <mergeCell ref="AT61:AT63"/>
    <mergeCell ref="AU61:AU63"/>
    <mergeCell ref="AV61:AV63"/>
    <mergeCell ref="AM61:AM63"/>
    <mergeCell ref="AN61:AN63"/>
    <mergeCell ref="AO61:AO63"/>
    <mergeCell ref="AP61:AP63"/>
    <mergeCell ref="AQ61:AQ63"/>
    <mergeCell ref="AH61:AH63"/>
    <mergeCell ref="AI61:AI63"/>
    <mergeCell ref="AJ61:AJ63"/>
    <mergeCell ref="AK61:AK63"/>
    <mergeCell ref="AL61:AL63"/>
    <mergeCell ref="AC61:AC63"/>
    <mergeCell ref="AD61:AD63"/>
    <mergeCell ref="AE61:AE63"/>
    <mergeCell ref="AF61:AF63"/>
    <mergeCell ref="AG61:AG63"/>
    <mergeCell ref="X61:X63"/>
    <mergeCell ref="Y61:Y63"/>
    <mergeCell ref="Z61:Z63"/>
    <mergeCell ref="AA61:AA63"/>
    <mergeCell ref="AB61:AB63"/>
    <mergeCell ref="S61:S63"/>
    <mergeCell ref="T61:T63"/>
    <mergeCell ref="U61:U63"/>
    <mergeCell ref="V61:V63"/>
    <mergeCell ref="W61:W63"/>
    <mergeCell ref="N61:N63"/>
    <mergeCell ref="O61:O63"/>
    <mergeCell ref="P61:P63"/>
    <mergeCell ref="Q61:Q63"/>
    <mergeCell ref="R61:R63"/>
    <mergeCell ref="I61:I63"/>
    <mergeCell ref="J61:J63"/>
    <mergeCell ref="K61:K63"/>
    <mergeCell ref="L61:L63"/>
    <mergeCell ref="M61:M63"/>
    <mergeCell ref="D61:D63"/>
    <mergeCell ref="E61:E63"/>
    <mergeCell ref="F61:F63"/>
    <mergeCell ref="G61:G63"/>
    <mergeCell ref="H61:H63"/>
    <mergeCell ref="BI58:BI60"/>
    <mergeCell ref="BJ58:BJ60"/>
    <mergeCell ref="BK58:BK60"/>
    <mergeCell ref="BL58:BL60"/>
    <mergeCell ref="BM58:BM60"/>
    <mergeCell ref="BD58:BD60"/>
    <mergeCell ref="BE58:BE60"/>
    <mergeCell ref="BF58:BF60"/>
    <mergeCell ref="BG58:BG60"/>
    <mergeCell ref="BH58:BH60"/>
    <mergeCell ref="AY58:AY60"/>
    <mergeCell ref="AZ58:AZ60"/>
    <mergeCell ref="BA58:BA60"/>
    <mergeCell ref="BB58:BB60"/>
    <mergeCell ref="BC58:BC60"/>
    <mergeCell ref="AT58:AT60"/>
    <mergeCell ref="AU58:AU60"/>
    <mergeCell ref="AV58:AV60"/>
    <mergeCell ref="AW58:AW60"/>
    <mergeCell ref="AX58:AX60"/>
    <mergeCell ref="AO58:AO60"/>
    <mergeCell ref="AP58:AP60"/>
    <mergeCell ref="AQ58:AQ60"/>
    <mergeCell ref="AR58:AR60"/>
    <mergeCell ref="AS58:AS60"/>
    <mergeCell ref="AJ58:AJ60"/>
    <mergeCell ref="AK58:AK60"/>
    <mergeCell ref="AL58:AL60"/>
    <mergeCell ref="AM58:AM60"/>
    <mergeCell ref="AN58:AN60"/>
    <mergeCell ref="AE58:AE60"/>
    <mergeCell ref="AF58:AF60"/>
    <mergeCell ref="AG58:AG60"/>
    <mergeCell ref="AH58:AH60"/>
    <mergeCell ref="AI58:AI60"/>
    <mergeCell ref="Z58:Z60"/>
    <mergeCell ref="AA58:AA60"/>
    <mergeCell ref="AB58:AB60"/>
    <mergeCell ref="AC58:AC60"/>
    <mergeCell ref="AD58:AD60"/>
    <mergeCell ref="U58:U60"/>
    <mergeCell ref="V58:V60"/>
    <mergeCell ref="W58:W60"/>
    <mergeCell ref="X58:X60"/>
    <mergeCell ref="Y58:Y60"/>
    <mergeCell ref="P58:P60"/>
    <mergeCell ref="Q58:Q60"/>
    <mergeCell ref="R58:R60"/>
    <mergeCell ref="S58:S60"/>
    <mergeCell ref="T58:T60"/>
    <mergeCell ref="BJ55:BJ57"/>
    <mergeCell ref="BK55:BK57"/>
    <mergeCell ref="BL55:BL57"/>
    <mergeCell ref="BM55:BM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BE55:BE57"/>
    <mergeCell ref="BF55:BF57"/>
    <mergeCell ref="BG55:BG57"/>
    <mergeCell ref="BH55:BH57"/>
    <mergeCell ref="BI55:BI57"/>
    <mergeCell ref="AZ55:AZ57"/>
    <mergeCell ref="BA55:BA57"/>
    <mergeCell ref="BB55:BB57"/>
    <mergeCell ref="BC55:BC57"/>
    <mergeCell ref="BD55:BD57"/>
    <mergeCell ref="AU55:AU57"/>
    <mergeCell ref="AV55:AV57"/>
    <mergeCell ref="AW55:AW57"/>
    <mergeCell ref="AX55:AX57"/>
    <mergeCell ref="AY55:AY57"/>
    <mergeCell ref="AP55:AP57"/>
    <mergeCell ref="AQ55:AQ57"/>
    <mergeCell ref="AR55:AR57"/>
    <mergeCell ref="AS55:AS57"/>
    <mergeCell ref="AT55:AT57"/>
    <mergeCell ref="AK55:AK57"/>
    <mergeCell ref="AL55:AL57"/>
    <mergeCell ref="AM55:AM57"/>
    <mergeCell ref="AN55:AN57"/>
    <mergeCell ref="AO55:AO57"/>
    <mergeCell ref="AF55:AF57"/>
    <mergeCell ref="AG55:AG57"/>
    <mergeCell ref="AH55:AH57"/>
    <mergeCell ref="AI55:AI57"/>
    <mergeCell ref="AJ55:AJ57"/>
    <mergeCell ref="AA55:AA57"/>
    <mergeCell ref="AB55:AB57"/>
    <mergeCell ref="AC55:AC57"/>
    <mergeCell ref="AD55:AD57"/>
    <mergeCell ref="AE55:AE57"/>
    <mergeCell ref="V55:V57"/>
    <mergeCell ref="W55:W57"/>
    <mergeCell ref="X55:X57"/>
    <mergeCell ref="Y55:Y57"/>
    <mergeCell ref="Z55:Z57"/>
    <mergeCell ref="Q55:Q57"/>
    <mergeCell ref="R55:R57"/>
    <mergeCell ref="S55:S57"/>
    <mergeCell ref="T55:T57"/>
    <mergeCell ref="U55:U57"/>
    <mergeCell ref="BK52:BK54"/>
    <mergeCell ref="BL52:BL54"/>
    <mergeCell ref="BM52:BM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BF52:BF54"/>
    <mergeCell ref="BG52:BG54"/>
    <mergeCell ref="BH52:BH54"/>
    <mergeCell ref="BI52:BI54"/>
    <mergeCell ref="BJ52:BJ54"/>
    <mergeCell ref="BA52:BA54"/>
    <mergeCell ref="BB52:BB54"/>
    <mergeCell ref="BC52:BC54"/>
    <mergeCell ref="BD52:BD54"/>
    <mergeCell ref="BE52:BE54"/>
    <mergeCell ref="AV52:AV54"/>
    <mergeCell ref="AW52:AW54"/>
    <mergeCell ref="AX52:AX54"/>
    <mergeCell ref="AY52:AY54"/>
    <mergeCell ref="AZ52:AZ54"/>
    <mergeCell ref="AQ52:AQ54"/>
    <mergeCell ref="AR52:AR54"/>
    <mergeCell ref="AS52:AS54"/>
    <mergeCell ref="AT52:AT54"/>
    <mergeCell ref="AU52:AU54"/>
    <mergeCell ref="AL52:AL54"/>
    <mergeCell ref="AM52:AM54"/>
    <mergeCell ref="AN52:AN54"/>
    <mergeCell ref="AO52:AO54"/>
    <mergeCell ref="AP52:AP54"/>
    <mergeCell ref="AG52:AG54"/>
    <mergeCell ref="AH52:AH54"/>
    <mergeCell ref="AI52:AI54"/>
    <mergeCell ref="AJ52:AJ54"/>
    <mergeCell ref="AK52:AK54"/>
    <mergeCell ref="AB52:AB54"/>
    <mergeCell ref="AC52:AC54"/>
    <mergeCell ref="AD52:AD54"/>
    <mergeCell ref="AE52:AE54"/>
    <mergeCell ref="AF52:AF54"/>
    <mergeCell ref="W52:W54"/>
    <mergeCell ref="X52:X54"/>
    <mergeCell ref="Y52:Y54"/>
    <mergeCell ref="Z52:Z54"/>
    <mergeCell ref="AA52:AA54"/>
    <mergeCell ref="R52:R54"/>
    <mergeCell ref="S52:S54"/>
    <mergeCell ref="T52:T54"/>
    <mergeCell ref="U52:U54"/>
    <mergeCell ref="V52:V54"/>
    <mergeCell ref="BL49:BL51"/>
    <mergeCell ref="BM49:BM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BG49:BG51"/>
    <mergeCell ref="BH49:BH51"/>
    <mergeCell ref="BI49:BI51"/>
    <mergeCell ref="BJ49:BJ51"/>
    <mergeCell ref="BK49:BK51"/>
    <mergeCell ref="BB49:BB51"/>
    <mergeCell ref="BC49:BC51"/>
    <mergeCell ref="BD49:BD51"/>
    <mergeCell ref="BE49:BE51"/>
    <mergeCell ref="BF49:BF51"/>
    <mergeCell ref="AW49:AW51"/>
    <mergeCell ref="AX49:AX51"/>
    <mergeCell ref="AY49:AY51"/>
    <mergeCell ref="AZ49:AZ51"/>
    <mergeCell ref="BA49:BA51"/>
    <mergeCell ref="AR49:AR51"/>
    <mergeCell ref="AS49:AS51"/>
    <mergeCell ref="AT49:AT51"/>
    <mergeCell ref="AU49:AU51"/>
    <mergeCell ref="AV49:AV51"/>
    <mergeCell ref="AM49:AM51"/>
    <mergeCell ref="AN49:AN51"/>
    <mergeCell ref="AO49:AO51"/>
    <mergeCell ref="AP49:AP51"/>
    <mergeCell ref="AQ49:AQ51"/>
    <mergeCell ref="AH49:AH51"/>
    <mergeCell ref="AI49:AI51"/>
    <mergeCell ref="AJ49:AJ51"/>
    <mergeCell ref="AK49:AK51"/>
    <mergeCell ref="AL49:AL51"/>
    <mergeCell ref="AC49:AC51"/>
    <mergeCell ref="AD49:AD51"/>
    <mergeCell ref="AE49:AE51"/>
    <mergeCell ref="AF49:AF51"/>
    <mergeCell ref="AG49:AG51"/>
    <mergeCell ref="X49:X51"/>
    <mergeCell ref="Y49:Y51"/>
    <mergeCell ref="Z49:Z51"/>
    <mergeCell ref="AA49:AA51"/>
    <mergeCell ref="AB49:AB51"/>
    <mergeCell ref="S49:S51"/>
    <mergeCell ref="T49:T51"/>
    <mergeCell ref="U49:U51"/>
    <mergeCell ref="V49:V51"/>
    <mergeCell ref="W49:W51"/>
    <mergeCell ref="N49:N51"/>
    <mergeCell ref="O49:O51"/>
    <mergeCell ref="P49:P51"/>
    <mergeCell ref="Q49:Q51"/>
    <mergeCell ref="R49:R51"/>
    <mergeCell ref="I49:I51"/>
    <mergeCell ref="J49:J51"/>
    <mergeCell ref="K49:K51"/>
    <mergeCell ref="L49:L51"/>
    <mergeCell ref="M49:M51"/>
    <mergeCell ref="D49:D51"/>
    <mergeCell ref="E49:E51"/>
    <mergeCell ref="F49:F51"/>
    <mergeCell ref="G49:G51"/>
    <mergeCell ref="H49:H51"/>
    <mergeCell ref="BI46:BI48"/>
    <mergeCell ref="BJ46:BJ48"/>
    <mergeCell ref="BK46:BK48"/>
    <mergeCell ref="BL46:BL48"/>
    <mergeCell ref="BM46:BM48"/>
    <mergeCell ref="BD46:BD48"/>
    <mergeCell ref="BE46:BE48"/>
    <mergeCell ref="BF46:BF48"/>
    <mergeCell ref="BG46:BG48"/>
    <mergeCell ref="BH46:BH48"/>
    <mergeCell ref="AY46:AY48"/>
    <mergeCell ref="AZ46:AZ48"/>
    <mergeCell ref="BA46:BA48"/>
    <mergeCell ref="BB46:BB48"/>
    <mergeCell ref="BC46:BC48"/>
    <mergeCell ref="AT46:AT48"/>
    <mergeCell ref="AU46:AU48"/>
    <mergeCell ref="AV46:AV48"/>
    <mergeCell ref="AW46:AW48"/>
    <mergeCell ref="AX46:AX48"/>
    <mergeCell ref="AO46:AO48"/>
    <mergeCell ref="AP46:AP48"/>
    <mergeCell ref="AQ46:AQ48"/>
    <mergeCell ref="AR46:AR48"/>
    <mergeCell ref="AS46:AS48"/>
    <mergeCell ref="AJ46:AJ48"/>
    <mergeCell ref="AK46:AK48"/>
    <mergeCell ref="AL46:AL48"/>
    <mergeCell ref="AM46:AM48"/>
    <mergeCell ref="AN46:AN48"/>
    <mergeCell ref="AE46:AE48"/>
    <mergeCell ref="AF46:AF48"/>
    <mergeCell ref="AG46:AG48"/>
    <mergeCell ref="AH46:AH48"/>
    <mergeCell ref="AI46:AI48"/>
    <mergeCell ref="Z46:Z48"/>
    <mergeCell ref="AA46:AA48"/>
    <mergeCell ref="AB46:AB48"/>
    <mergeCell ref="AC46:AC48"/>
    <mergeCell ref="AD46:AD48"/>
    <mergeCell ref="U46:U48"/>
    <mergeCell ref="V46:V48"/>
    <mergeCell ref="W46:W48"/>
    <mergeCell ref="X46:X48"/>
    <mergeCell ref="Y46:Y48"/>
    <mergeCell ref="P46:P48"/>
    <mergeCell ref="Q46:Q48"/>
    <mergeCell ref="R46:R48"/>
    <mergeCell ref="S46:S48"/>
    <mergeCell ref="T46:T48"/>
    <mergeCell ref="BJ43:BJ45"/>
    <mergeCell ref="BK43:BK45"/>
    <mergeCell ref="BL43:BL45"/>
    <mergeCell ref="BM43:BM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BE43:BE45"/>
    <mergeCell ref="BF43:BF45"/>
    <mergeCell ref="BG43:BG45"/>
    <mergeCell ref="BH43:BH45"/>
    <mergeCell ref="BI43:BI45"/>
    <mergeCell ref="AZ43:AZ45"/>
    <mergeCell ref="BA43:BA45"/>
    <mergeCell ref="BB43:BB45"/>
    <mergeCell ref="BC43:BC45"/>
    <mergeCell ref="BD43:BD45"/>
    <mergeCell ref="AU43:AU45"/>
    <mergeCell ref="AV43:AV45"/>
    <mergeCell ref="AW43:AW45"/>
    <mergeCell ref="AX43:AX45"/>
    <mergeCell ref="AY43:AY45"/>
    <mergeCell ref="AP43:AP45"/>
    <mergeCell ref="AQ43:AQ45"/>
    <mergeCell ref="AR43:AR45"/>
    <mergeCell ref="AS43:AS45"/>
    <mergeCell ref="AT43:AT45"/>
    <mergeCell ref="AK43:AK45"/>
    <mergeCell ref="AL43:AL45"/>
    <mergeCell ref="AM43:AM45"/>
    <mergeCell ref="AN43:AN45"/>
    <mergeCell ref="AO43:AO45"/>
    <mergeCell ref="AF43:AF45"/>
    <mergeCell ref="AG43:AG45"/>
    <mergeCell ref="AH43:AH45"/>
    <mergeCell ref="AI43:AI45"/>
    <mergeCell ref="AJ43:AJ45"/>
    <mergeCell ref="AA43:AA45"/>
    <mergeCell ref="AB43:AB45"/>
    <mergeCell ref="AC43:AC45"/>
    <mergeCell ref="AD43:AD45"/>
    <mergeCell ref="AE43:AE45"/>
    <mergeCell ref="V43:V45"/>
    <mergeCell ref="W43:W45"/>
    <mergeCell ref="X43:X45"/>
    <mergeCell ref="Y43:Y45"/>
    <mergeCell ref="Z43:Z45"/>
    <mergeCell ref="Q43:Q45"/>
    <mergeCell ref="R43:R45"/>
    <mergeCell ref="S43:S45"/>
    <mergeCell ref="T43:T45"/>
    <mergeCell ref="U43:U45"/>
    <mergeCell ref="BK40:BK42"/>
    <mergeCell ref="BL40:BL42"/>
    <mergeCell ref="BM40:BM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BF40:BF42"/>
    <mergeCell ref="BG40:BG42"/>
    <mergeCell ref="BH40:BH42"/>
    <mergeCell ref="BI40:BI42"/>
    <mergeCell ref="BJ40:BJ42"/>
    <mergeCell ref="BA40:BA42"/>
    <mergeCell ref="BB40:BB42"/>
    <mergeCell ref="BC40:BC42"/>
    <mergeCell ref="BD40:BD42"/>
    <mergeCell ref="BE40:BE42"/>
    <mergeCell ref="AV40:AV42"/>
    <mergeCell ref="AW40:AW42"/>
    <mergeCell ref="AX40:AX42"/>
    <mergeCell ref="AY40:AY42"/>
    <mergeCell ref="AZ40:AZ42"/>
    <mergeCell ref="AQ40:AQ42"/>
    <mergeCell ref="AR40:AR42"/>
    <mergeCell ref="AS40:AS42"/>
    <mergeCell ref="AT40:AT42"/>
    <mergeCell ref="AU40:AU42"/>
    <mergeCell ref="AL40:AL42"/>
    <mergeCell ref="AM40:AM42"/>
    <mergeCell ref="AN40:AN42"/>
    <mergeCell ref="AO40:AO42"/>
    <mergeCell ref="AP40:AP42"/>
    <mergeCell ref="AG40:AG42"/>
    <mergeCell ref="AH40:AH42"/>
    <mergeCell ref="AI40:AI42"/>
    <mergeCell ref="AJ40:AJ42"/>
    <mergeCell ref="AK40:AK42"/>
    <mergeCell ref="AB40:AB42"/>
    <mergeCell ref="AC40:AC42"/>
    <mergeCell ref="AD40:AD42"/>
    <mergeCell ref="AE40:AE42"/>
    <mergeCell ref="AF40:AF42"/>
    <mergeCell ref="W40:W42"/>
    <mergeCell ref="X40:X42"/>
    <mergeCell ref="Y40:Y42"/>
    <mergeCell ref="Z40:Z42"/>
    <mergeCell ref="AA40:AA42"/>
    <mergeCell ref="R40:R42"/>
    <mergeCell ref="S40:S42"/>
    <mergeCell ref="T40:T42"/>
    <mergeCell ref="U40:U42"/>
    <mergeCell ref="V40:V42"/>
    <mergeCell ref="BL37:BL39"/>
    <mergeCell ref="BM37:BM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BG37:BG39"/>
    <mergeCell ref="BH37:BH39"/>
    <mergeCell ref="BI37:BI39"/>
    <mergeCell ref="BJ37:BJ39"/>
    <mergeCell ref="BK37:BK39"/>
    <mergeCell ref="BB37:BB39"/>
    <mergeCell ref="BC37:BC39"/>
    <mergeCell ref="BD37:BD39"/>
    <mergeCell ref="BE37:BE39"/>
    <mergeCell ref="BF37:BF39"/>
    <mergeCell ref="AW37:AW39"/>
    <mergeCell ref="AX37:AX39"/>
    <mergeCell ref="AY37:AY39"/>
    <mergeCell ref="AZ37:AZ39"/>
    <mergeCell ref="BA37:BA39"/>
    <mergeCell ref="AR37:AR39"/>
    <mergeCell ref="AS37:AS39"/>
    <mergeCell ref="AT37:AT39"/>
    <mergeCell ref="AU37:AU39"/>
    <mergeCell ref="AV37:AV39"/>
    <mergeCell ref="AM37:AM39"/>
    <mergeCell ref="AN37:AN39"/>
    <mergeCell ref="AO37:AO39"/>
    <mergeCell ref="AP37:AP39"/>
    <mergeCell ref="AQ37:AQ39"/>
    <mergeCell ref="AH37:AH39"/>
    <mergeCell ref="AI37:AI39"/>
    <mergeCell ref="AJ37:AJ39"/>
    <mergeCell ref="AK37:AK39"/>
    <mergeCell ref="AL37:AL39"/>
    <mergeCell ref="AC37:AC39"/>
    <mergeCell ref="AD37:AD39"/>
    <mergeCell ref="AE37:AE39"/>
    <mergeCell ref="AF37:AF39"/>
    <mergeCell ref="AG37:AG39"/>
    <mergeCell ref="X37:X39"/>
    <mergeCell ref="Y37:Y39"/>
    <mergeCell ref="Z37:Z39"/>
    <mergeCell ref="AA37:AA39"/>
    <mergeCell ref="AB37:AB39"/>
    <mergeCell ref="S37:S39"/>
    <mergeCell ref="T37:T39"/>
    <mergeCell ref="U37:U39"/>
    <mergeCell ref="V37:V39"/>
    <mergeCell ref="W37:W39"/>
    <mergeCell ref="N37:N39"/>
    <mergeCell ref="O37:O39"/>
    <mergeCell ref="P37:P39"/>
    <mergeCell ref="Q37:Q39"/>
    <mergeCell ref="R37:R39"/>
    <mergeCell ref="I37:I39"/>
    <mergeCell ref="J37:J39"/>
    <mergeCell ref="K37:K39"/>
    <mergeCell ref="L37:L39"/>
    <mergeCell ref="M37:M39"/>
    <mergeCell ref="D37:D39"/>
    <mergeCell ref="E37:E39"/>
    <mergeCell ref="F37:F39"/>
    <mergeCell ref="G37:G39"/>
    <mergeCell ref="H37:H39"/>
    <mergeCell ref="BI34:BI36"/>
    <mergeCell ref="BJ34:BJ36"/>
    <mergeCell ref="BK34:BK36"/>
    <mergeCell ref="BL34:BL36"/>
    <mergeCell ref="BM34:BM36"/>
    <mergeCell ref="BD34:BD36"/>
    <mergeCell ref="BE34:BE36"/>
    <mergeCell ref="BF34:BF36"/>
    <mergeCell ref="BG34:BG36"/>
    <mergeCell ref="BH34:BH36"/>
    <mergeCell ref="AY34:AY36"/>
    <mergeCell ref="AZ34:AZ36"/>
    <mergeCell ref="BA34:BA36"/>
    <mergeCell ref="BB34:BB36"/>
    <mergeCell ref="BC34:BC36"/>
    <mergeCell ref="AT34:AT36"/>
    <mergeCell ref="AU34:AU36"/>
    <mergeCell ref="AV34:AV36"/>
    <mergeCell ref="AW34:AW36"/>
    <mergeCell ref="AX34:AX36"/>
    <mergeCell ref="AO34:AO36"/>
    <mergeCell ref="AP34:AP36"/>
    <mergeCell ref="AQ34:AQ36"/>
    <mergeCell ref="AR34:AR36"/>
    <mergeCell ref="AS34:AS36"/>
    <mergeCell ref="AJ34:AJ36"/>
    <mergeCell ref="AK34:AK36"/>
    <mergeCell ref="AL34:AL36"/>
    <mergeCell ref="AM34:AM36"/>
    <mergeCell ref="AN34:AN36"/>
    <mergeCell ref="AE34:AE36"/>
    <mergeCell ref="AF34:AF36"/>
    <mergeCell ref="AG34:AG36"/>
    <mergeCell ref="AH34:AH36"/>
    <mergeCell ref="AI34:AI36"/>
    <mergeCell ref="Z34:Z36"/>
    <mergeCell ref="AA34:AA36"/>
    <mergeCell ref="AB34:AB36"/>
    <mergeCell ref="AC34:AC36"/>
    <mergeCell ref="AD34:AD36"/>
    <mergeCell ref="U34:U36"/>
    <mergeCell ref="V34:V36"/>
    <mergeCell ref="W34:W36"/>
    <mergeCell ref="X34:X36"/>
    <mergeCell ref="Y34:Y36"/>
    <mergeCell ref="P34:P36"/>
    <mergeCell ref="Q34:Q36"/>
    <mergeCell ref="R34:R36"/>
    <mergeCell ref="S34:S36"/>
    <mergeCell ref="T34:T36"/>
    <mergeCell ref="BJ31:BJ33"/>
    <mergeCell ref="BK31:BK33"/>
    <mergeCell ref="BL31:BL33"/>
    <mergeCell ref="BM31:BM33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BE31:BE33"/>
    <mergeCell ref="BF31:BF33"/>
    <mergeCell ref="BG31:BG33"/>
    <mergeCell ref="BH31:BH33"/>
    <mergeCell ref="BI31:BI33"/>
    <mergeCell ref="AZ31:AZ33"/>
    <mergeCell ref="BA31:BA33"/>
    <mergeCell ref="BB31:BB33"/>
    <mergeCell ref="BC31:BC33"/>
    <mergeCell ref="BD31:BD33"/>
    <mergeCell ref="AU31:AU33"/>
    <mergeCell ref="AV31:AV33"/>
    <mergeCell ref="AW31:AW33"/>
    <mergeCell ref="AX31:AX33"/>
    <mergeCell ref="AY31:AY33"/>
    <mergeCell ref="AP31:AP33"/>
    <mergeCell ref="AQ31:AQ33"/>
    <mergeCell ref="AR31:AR33"/>
    <mergeCell ref="AS31:AS33"/>
    <mergeCell ref="AT31:AT33"/>
    <mergeCell ref="AK31:AK33"/>
    <mergeCell ref="AL31:AL33"/>
    <mergeCell ref="AM31:AM33"/>
    <mergeCell ref="AN31:AN33"/>
    <mergeCell ref="AO31:AO33"/>
    <mergeCell ref="AF31:AF33"/>
    <mergeCell ref="AG31:AG33"/>
    <mergeCell ref="AH31:AH33"/>
    <mergeCell ref="AI31:AI33"/>
    <mergeCell ref="AJ31:AJ33"/>
    <mergeCell ref="AA31:AA33"/>
    <mergeCell ref="AB31:AB33"/>
    <mergeCell ref="AC31:AC33"/>
    <mergeCell ref="AD31:AD33"/>
    <mergeCell ref="AE31:AE33"/>
    <mergeCell ref="V31:V33"/>
    <mergeCell ref="W31:W33"/>
    <mergeCell ref="X31:X33"/>
    <mergeCell ref="Y31:Y33"/>
    <mergeCell ref="Z31:Z33"/>
    <mergeCell ref="Q31:Q33"/>
    <mergeCell ref="R31:R33"/>
    <mergeCell ref="S31:S33"/>
    <mergeCell ref="T31:T33"/>
    <mergeCell ref="U31:U33"/>
    <mergeCell ref="L31:L33"/>
    <mergeCell ref="M31:M33"/>
    <mergeCell ref="N31:N33"/>
    <mergeCell ref="O31:O33"/>
    <mergeCell ref="P31:P33"/>
    <mergeCell ref="G31:G33"/>
    <mergeCell ref="H31:H33"/>
    <mergeCell ref="I31:I33"/>
    <mergeCell ref="J31:J33"/>
    <mergeCell ref="K31:K33"/>
    <mergeCell ref="BI28:BI30"/>
    <mergeCell ref="BJ28:BJ30"/>
    <mergeCell ref="BK28:BK30"/>
    <mergeCell ref="BL28:BL30"/>
    <mergeCell ref="BM28:BM30"/>
    <mergeCell ref="BD28:BD30"/>
    <mergeCell ref="BE28:BE30"/>
    <mergeCell ref="BF28:BF30"/>
    <mergeCell ref="BG28:BG30"/>
    <mergeCell ref="BH28:BH30"/>
    <mergeCell ref="AY28:AY30"/>
    <mergeCell ref="AZ28:AZ30"/>
    <mergeCell ref="BA28:BA30"/>
    <mergeCell ref="BB28:BB30"/>
    <mergeCell ref="BC28:BC30"/>
    <mergeCell ref="AT28:AT30"/>
    <mergeCell ref="AU28:AU30"/>
    <mergeCell ref="AV28:AV30"/>
    <mergeCell ref="AW28:AW30"/>
    <mergeCell ref="AX28:AX30"/>
    <mergeCell ref="AO28:AO30"/>
    <mergeCell ref="AP28:AP30"/>
    <mergeCell ref="AQ28:AQ30"/>
    <mergeCell ref="AR28:AR30"/>
    <mergeCell ref="AS28:AS30"/>
    <mergeCell ref="AJ28:AJ30"/>
    <mergeCell ref="AK28:AK30"/>
    <mergeCell ref="AL28:AL30"/>
    <mergeCell ref="AM28:AM30"/>
    <mergeCell ref="AN28:AN30"/>
    <mergeCell ref="AE28:AE30"/>
    <mergeCell ref="AF28:AF30"/>
    <mergeCell ref="AG28:AG30"/>
    <mergeCell ref="AH28:AH30"/>
    <mergeCell ref="AI28:AI30"/>
    <mergeCell ref="Z28:Z30"/>
    <mergeCell ref="AA28:AA30"/>
    <mergeCell ref="AB28:AB30"/>
    <mergeCell ref="AC28:AC30"/>
    <mergeCell ref="AD28:AD30"/>
    <mergeCell ref="U28:U30"/>
    <mergeCell ref="V28:V30"/>
    <mergeCell ref="W28:W30"/>
    <mergeCell ref="X28:X30"/>
    <mergeCell ref="Y28:Y30"/>
    <mergeCell ref="P28:P30"/>
    <mergeCell ref="Q28:Q30"/>
    <mergeCell ref="R28:R30"/>
    <mergeCell ref="S28:S30"/>
    <mergeCell ref="T28:T30"/>
    <mergeCell ref="BJ25:BJ27"/>
    <mergeCell ref="BK25:BK27"/>
    <mergeCell ref="BL25:BL27"/>
    <mergeCell ref="BM25:BM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BE25:BE27"/>
    <mergeCell ref="BF25:BF27"/>
    <mergeCell ref="BG25:BG27"/>
    <mergeCell ref="BH25:BH27"/>
    <mergeCell ref="BI25:BI27"/>
    <mergeCell ref="AZ25:AZ27"/>
    <mergeCell ref="BA25:BA27"/>
    <mergeCell ref="BB25:BB27"/>
    <mergeCell ref="BC25:BC27"/>
    <mergeCell ref="BD25:BD27"/>
    <mergeCell ref="AU25:AU27"/>
    <mergeCell ref="AV25:AV27"/>
    <mergeCell ref="AW25:AW27"/>
    <mergeCell ref="AX25:AX27"/>
    <mergeCell ref="AY25:AY27"/>
    <mergeCell ref="AP25:AP27"/>
    <mergeCell ref="AQ25:AQ27"/>
    <mergeCell ref="AR25:AR27"/>
    <mergeCell ref="AS25:AS27"/>
    <mergeCell ref="AT25:AT27"/>
    <mergeCell ref="AK25:AK27"/>
    <mergeCell ref="AL25:AL27"/>
    <mergeCell ref="AM25:AM27"/>
    <mergeCell ref="AN25:AN27"/>
    <mergeCell ref="AO25:AO27"/>
    <mergeCell ref="AF25:AF27"/>
    <mergeCell ref="AG25:AG27"/>
    <mergeCell ref="AH25:AH27"/>
    <mergeCell ref="AI25:AI27"/>
    <mergeCell ref="AJ25:AJ27"/>
    <mergeCell ref="AA25:AA27"/>
    <mergeCell ref="AB25:AB27"/>
    <mergeCell ref="AC25:AC27"/>
    <mergeCell ref="AD25:AD27"/>
    <mergeCell ref="AE25:AE27"/>
    <mergeCell ref="V25:V27"/>
    <mergeCell ref="W25:W27"/>
    <mergeCell ref="X25:X27"/>
    <mergeCell ref="Y25:Y27"/>
    <mergeCell ref="Z25:Z27"/>
    <mergeCell ref="Q25:Q27"/>
    <mergeCell ref="R25:R27"/>
    <mergeCell ref="S25:S27"/>
    <mergeCell ref="T25:T27"/>
    <mergeCell ref="U25:U27"/>
    <mergeCell ref="BK22:BK24"/>
    <mergeCell ref="BL22:BL24"/>
    <mergeCell ref="BM22:BM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BF22:BF24"/>
    <mergeCell ref="BG22:BG24"/>
    <mergeCell ref="BH22:BH24"/>
    <mergeCell ref="BI22:BI24"/>
    <mergeCell ref="BJ22:BJ24"/>
    <mergeCell ref="BA22:BA24"/>
    <mergeCell ref="BB22:BB24"/>
    <mergeCell ref="BC22:BC24"/>
    <mergeCell ref="BD22:BD24"/>
    <mergeCell ref="BE22:BE24"/>
    <mergeCell ref="AV22:AV24"/>
    <mergeCell ref="AW22:AW24"/>
    <mergeCell ref="AX22:AX24"/>
    <mergeCell ref="AY22:AY24"/>
    <mergeCell ref="AZ22:AZ24"/>
    <mergeCell ref="AQ22:AQ24"/>
    <mergeCell ref="AR22:AR24"/>
    <mergeCell ref="AS22:AS24"/>
    <mergeCell ref="AT22:AT24"/>
    <mergeCell ref="AU22:AU24"/>
    <mergeCell ref="AL22:AL24"/>
    <mergeCell ref="AM22:AM24"/>
    <mergeCell ref="AN22:AN24"/>
    <mergeCell ref="AO22:AO24"/>
    <mergeCell ref="AP22:AP24"/>
    <mergeCell ref="AG22:AG24"/>
    <mergeCell ref="AH22:AH24"/>
    <mergeCell ref="AI22:AI24"/>
    <mergeCell ref="AJ22:AJ24"/>
    <mergeCell ref="AK22:AK24"/>
    <mergeCell ref="AB22:AB24"/>
    <mergeCell ref="AC22:AC24"/>
    <mergeCell ref="AD22:AD24"/>
    <mergeCell ref="AE22:AE24"/>
    <mergeCell ref="AF22:AF24"/>
    <mergeCell ref="W22:W24"/>
    <mergeCell ref="X22:X24"/>
    <mergeCell ref="Y22:Y24"/>
    <mergeCell ref="Z22:Z24"/>
    <mergeCell ref="AA22:AA24"/>
    <mergeCell ref="R22:R24"/>
    <mergeCell ref="S22:S24"/>
    <mergeCell ref="T22:T24"/>
    <mergeCell ref="U22:U24"/>
    <mergeCell ref="V22:V24"/>
    <mergeCell ref="M22:M24"/>
    <mergeCell ref="N22:N24"/>
    <mergeCell ref="O22:O24"/>
    <mergeCell ref="P22:P24"/>
    <mergeCell ref="Q22:Q24"/>
    <mergeCell ref="H22:H24"/>
    <mergeCell ref="I22:I24"/>
    <mergeCell ref="J22:J24"/>
    <mergeCell ref="K22:K24"/>
    <mergeCell ref="L22:L24"/>
    <mergeCell ref="BI19:BI21"/>
    <mergeCell ref="BJ19:BJ21"/>
    <mergeCell ref="BK19:BK21"/>
    <mergeCell ref="BL19:BL21"/>
    <mergeCell ref="BM19:BM21"/>
    <mergeCell ref="BD19:BD21"/>
    <mergeCell ref="BE19:BE21"/>
    <mergeCell ref="BF19:BF21"/>
    <mergeCell ref="BG19:BG21"/>
    <mergeCell ref="BH19:BH21"/>
    <mergeCell ref="AY19:AY21"/>
    <mergeCell ref="AZ19:AZ21"/>
    <mergeCell ref="BA19:BA21"/>
    <mergeCell ref="BB19:BB21"/>
    <mergeCell ref="BC19:BC21"/>
    <mergeCell ref="AT19:AT21"/>
    <mergeCell ref="AU19:AU21"/>
    <mergeCell ref="AV19:AV21"/>
    <mergeCell ref="AW19:AW21"/>
    <mergeCell ref="AX19:AX21"/>
    <mergeCell ref="AO19:AO21"/>
    <mergeCell ref="AP19:AP21"/>
    <mergeCell ref="AQ19:AQ21"/>
    <mergeCell ref="AR19:AR21"/>
    <mergeCell ref="AS19:AS21"/>
    <mergeCell ref="AJ19:AJ21"/>
    <mergeCell ref="AK19:AK21"/>
    <mergeCell ref="AL19:AL21"/>
    <mergeCell ref="AM19:AM21"/>
    <mergeCell ref="AN19:AN21"/>
    <mergeCell ref="AE19:AE21"/>
    <mergeCell ref="AF19:AF21"/>
    <mergeCell ref="AG19:AG21"/>
    <mergeCell ref="AH19:AH21"/>
    <mergeCell ref="AI19:AI21"/>
    <mergeCell ref="Z19:Z21"/>
    <mergeCell ref="AA19:AA21"/>
    <mergeCell ref="AB19:AB21"/>
    <mergeCell ref="AC19:AC21"/>
    <mergeCell ref="AD19:AD21"/>
    <mergeCell ref="U19:U21"/>
    <mergeCell ref="V19:V21"/>
    <mergeCell ref="W19:W21"/>
    <mergeCell ref="X19:X21"/>
    <mergeCell ref="Y19:Y21"/>
    <mergeCell ref="P19:P21"/>
    <mergeCell ref="Q19:Q21"/>
    <mergeCell ref="R19:R21"/>
    <mergeCell ref="S19:S21"/>
    <mergeCell ref="T19:T21"/>
    <mergeCell ref="BJ16:BJ18"/>
    <mergeCell ref="BK16:BK18"/>
    <mergeCell ref="BL16:BL18"/>
    <mergeCell ref="BM16:BM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BE16:BE18"/>
    <mergeCell ref="BF16:BF18"/>
    <mergeCell ref="BG16:BG18"/>
    <mergeCell ref="BH16:BH18"/>
    <mergeCell ref="BI16:BI18"/>
    <mergeCell ref="AZ16:AZ18"/>
    <mergeCell ref="BA16:BA18"/>
    <mergeCell ref="BB16:BB18"/>
    <mergeCell ref="BC16:BC18"/>
    <mergeCell ref="BD16:BD18"/>
    <mergeCell ref="AU16:AU18"/>
    <mergeCell ref="AV16:AV18"/>
    <mergeCell ref="AW16:AW18"/>
    <mergeCell ref="AX16:AX18"/>
    <mergeCell ref="AY16:AY18"/>
    <mergeCell ref="AP16:AP18"/>
    <mergeCell ref="AQ16:AQ18"/>
    <mergeCell ref="AR16:AR18"/>
    <mergeCell ref="AS16:AS18"/>
    <mergeCell ref="AT16:AT18"/>
    <mergeCell ref="AK16:AK18"/>
    <mergeCell ref="AL16:AL18"/>
    <mergeCell ref="AM16:AM18"/>
    <mergeCell ref="AN16:AN18"/>
    <mergeCell ref="AO16:AO18"/>
    <mergeCell ref="AF16:AF18"/>
    <mergeCell ref="AG16:AG18"/>
    <mergeCell ref="AH16:AH18"/>
    <mergeCell ref="AI16:AI18"/>
    <mergeCell ref="AJ16:AJ18"/>
    <mergeCell ref="AA16:AA18"/>
    <mergeCell ref="AB16:AB18"/>
    <mergeCell ref="AC16:AC18"/>
    <mergeCell ref="AD16:AD18"/>
    <mergeCell ref="AE16:AE18"/>
    <mergeCell ref="V16:V18"/>
    <mergeCell ref="W16:W18"/>
    <mergeCell ref="X16:X18"/>
    <mergeCell ref="Y16:Y18"/>
    <mergeCell ref="Z16:Z18"/>
    <mergeCell ref="Q16:Q18"/>
    <mergeCell ref="R16:R18"/>
    <mergeCell ref="S16:S18"/>
    <mergeCell ref="T16:T18"/>
    <mergeCell ref="U16:U18"/>
    <mergeCell ref="BK13:BK15"/>
    <mergeCell ref="BL13:BL15"/>
    <mergeCell ref="BM13:BM15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BF13:BF15"/>
    <mergeCell ref="BG13:BG15"/>
    <mergeCell ref="BH13:BH15"/>
    <mergeCell ref="BI13:BI15"/>
    <mergeCell ref="BJ13:BJ15"/>
    <mergeCell ref="BA13:BA15"/>
    <mergeCell ref="BB13:BB15"/>
    <mergeCell ref="BC13:BC15"/>
    <mergeCell ref="BD13:BD15"/>
    <mergeCell ref="BE13:BE15"/>
    <mergeCell ref="AV13:AV15"/>
    <mergeCell ref="AW13:AW15"/>
    <mergeCell ref="AX13:AX15"/>
    <mergeCell ref="AY13:AY15"/>
    <mergeCell ref="AZ13:AZ15"/>
    <mergeCell ref="AQ13:AQ15"/>
    <mergeCell ref="AR13:AR15"/>
    <mergeCell ref="AS13:AS15"/>
    <mergeCell ref="AT13:AT15"/>
    <mergeCell ref="AU13:AU15"/>
    <mergeCell ref="AL13:AL15"/>
    <mergeCell ref="AM13:AM15"/>
    <mergeCell ref="AN13:AN15"/>
    <mergeCell ref="AO13:AO15"/>
    <mergeCell ref="AP13:AP15"/>
    <mergeCell ref="AG13:AG15"/>
    <mergeCell ref="AH13:AH15"/>
    <mergeCell ref="AI13:AI15"/>
    <mergeCell ref="AJ13:AJ15"/>
    <mergeCell ref="AK13:AK15"/>
    <mergeCell ref="AB13:AB15"/>
    <mergeCell ref="AC13:AC15"/>
    <mergeCell ref="AD13:AD15"/>
    <mergeCell ref="AE13:AE15"/>
    <mergeCell ref="AF13:AF15"/>
    <mergeCell ref="W13:W15"/>
    <mergeCell ref="X13:X15"/>
    <mergeCell ref="Y13:Y15"/>
    <mergeCell ref="Z13:Z15"/>
    <mergeCell ref="AA13:AA15"/>
    <mergeCell ref="R13:R15"/>
    <mergeCell ref="S13:S15"/>
    <mergeCell ref="T13:T15"/>
    <mergeCell ref="U13:U15"/>
    <mergeCell ref="V13:V15"/>
    <mergeCell ref="M13:M15"/>
    <mergeCell ref="N13:N15"/>
    <mergeCell ref="O13:O15"/>
    <mergeCell ref="P13:P15"/>
    <mergeCell ref="Q13:Q15"/>
    <mergeCell ref="H13:H15"/>
    <mergeCell ref="I13:I15"/>
    <mergeCell ref="J13:J15"/>
    <mergeCell ref="K13:K15"/>
    <mergeCell ref="L13:L15"/>
    <mergeCell ref="BI10:BI12"/>
    <mergeCell ref="BJ10:BJ12"/>
    <mergeCell ref="BK10:BK12"/>
    <mergeCell ref="BL10:BL12"/>
    <mergeCell ref="BM10:BM12"/>
    <mergeCell ref="BD10:BD12"/>
    <mergeCell ref="BE10:BE12"/>
    <mergeCell ref="BF10:BF12"/>
    <mergeCell ref="BG10:BG12"/>
    <mergeCell ref="BH10:BH12"/>
    <mergeCell ref="AY10:AY12"/>
    <mergeCell ref="AZ10:AZ12"/>
    <mergeCell ref="BA10:BA12"/>
    <mergeCell ref="BB10:BB12"/>
    <mergeCell ref="BC10:BC12"/>
    <mergeCell ref="AT10:AT12"/>
    <mergeCell ref="AU10:AU12"/>
    <mergeCell ref="AV10:AV12"/>
    <mergeCell ref="AW10:AW12"/>
    <mergeCell ref="AX10:AX12"/>
    <mergeCell ref="AO10:AO12"/>
    <mergeCell ref="AP10:AP12"/>
    <mergeCell ref="AQ10:AQ12"/>
    <mergeCell ref="AR10:AR12"/>
    <mergeCell ref="AS10:AS12"/>
    <mergeCell ref="AJ10:AJ12"/>
    <mergeCell ref="AK10:AK12"/>
    <mergeCell ref="AL10:AL12"/>
    <mergeCell ref="AM10:AM12"/>
    <mergeCell ref="AN10:AN12"/>
    <mergeCell ref="AE10:AE12"/>
    <mergeCell ref="AF10:AF12"/>
    <mergeCell ref="AG10:AG12"/>
    <mergeCell ref="AH10:AH12"/>
    <mergeCell ref="AI10:AI12"/>
    <mergeCell ref="Z10:Z12"/>
    <mergeCell ref="AA10:AA12"/>
    <mergeCell ref="AB10:AB12"/>
    <mergeCell ref="AC10:AC12"/>
    <mergeCell ref="AD10:AD12"/>
    <mergeCell ref="U10:U12"/>
    <mergeCell ref="V10:V12"/>
    <mergeCell ref="W10:W12"/>
    <mergeCell ref="X10:X12"/>
    <mergeCell ref="Y10:Y12"/>
    <mergeCell ref="P10:P12"/>
    <mergeCell ref="Q10:Q12"/>
    <mergeCell ref="R10:R12"/>
    <mergeCell ref="S10:S12"/>
    <mergeCell ref="T10:T12"/>
    <mergeCell ref="BJ7:BJ9"/>
    <mergeCell ref="BK7:BK9"/>
    <mergeCell ref="BL7:BL9"/>
    <mergeCell ref="BM7:BM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BE7:BE9"/>
    <mergeCell ref="BF7:BF9"/>
    <mergeCell ref="BG7:BG9"/>
    <mergeCell ref="BH7:BH9"/>
    <mergeCell ref="BI7:BI9"/>
    <mergeCell ref="AZ7:AZ9"/>
    <mergeCell ref="BA7:BA9"/>
    <mergeCell ref="BB7:BB9"/>
    <mergeCell ref="BC7:BC9"/>
    <mergeCell ref="BD7:BD9"/>
    <mergeCell ref="AU7:AU9"/>
    <mergeCell ref="AV7:AV9"/>
    <mergeCell ref="AW7:AW9"/>
    <mergeCell ref="AX7:AX9"/>
    <mergeCell ref="AY7:AY9"/>
    <mergeCell ref="AP7:AP9"/>
    <mergeCell ref="AQ7:AQ9"/>
    <mergeCell ref="AR7:AR9"/>
    <mergeCell ref="AS7:AS9"/>
    <mergeCell ref="AT7:AT9"/>
    <mergeCell ref="AK7:AK9"/>
    <mergeCell ref="AL7:AL9"/>
    <mergeCell ref="AM7:AM9"/>
    <mergeCell ref="AN7:AN9"/>
    <mergeCell ref="AO7:AO9"/>
    <mergeCell ref="AF7:AF9"/>
    <mergeCell ref="AG7:AG9"/>
    <mergeCell ref="AH7:AH9"/>
    <mergeCell ref="AI7:AI9"/>
    <mergeCell ref="AJ7:AJ9"/>
    <mergeCell ref="AA7:AA9"/>
    <mergeCell ref="AB7:AB9"/>
    <mergeCell ref="AC7:AC9"/>
    <mergeCell ref="AD7:AD9"/>
    <mergeCell ref="AE7:AE9"/>
    <mergeCell ref="V7:V9"/>
    <mergeCell ref="W7:W9"/>
    <mergeCell ref="X7:X9"/>
    <mergeCell ref="Y7:Y9"/>
    <mergeCell ref="Z7:Z9"/>
    <mergeCell ref="Q7:Q9"/>
    <mergeCell ref="R7:R9"/>
    <mergeCell ref="S7:S9"/>
    <mergeCell ref="T7:T9"/>
    <mergeCell ref="U7:U9"/>
    <mergeCell ref="BK4:BK6"/>
    <mergeCell ref="BL4:BL6"/>
    <mergeCell ref="BM4:BM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BF4:BF6"/>
    <mergeCell ref="BG4:BG6"/>
    <mergeCell ref="BH4:BH6"/>
    <mergeCell ref="BI4:BI6"/>
    <mergeCell ref="BJ4:BJ6"/>
    <mergeCell ref="BA4:BA6"/>
    <mergeCell ref="BB4:BB6"/>
    <mergeCell ref="BC4:BC6"/>
    <mergeCell ref="BD4:BD6"/>
    <mergeCell ref="BE4:BE6"/>
    <mergeCell ref="AV4:AV6"/>
    <mergeCell ref="AW4:AW6"/>
    <mergeCell ref="AX4:AX6"/>
    <mergeCell ref="AY4:AY6"/>
    <mergeCell ref="AZ4:AZ6"/>
    <mergeCell ref="AQ4:AQ6"/>
    <mergeCell ref="AR4:AR6"/>
    <mergeCell ref="AS4:AS6"/>
    <mergeCell ref="AT4:AT6"/>
    <mergeCell ref="AU4:AU6"/>
    <mergeCell ref="AL4:AL6"/>
    <mergeCell ref="AM4:AM6"/>
    <mergeCell ref="AN4:AN6"/>
    <mergeCell ref="AO4:AO6"/>
    <mergeCell ref="AP4:AP6"/>
    <mergeCell ref="AG4:AG6"/>
    <mergeCell ref="AH4:AH6"/>
    <mergeCell ref="AI4:AI6"/>
    <mergeCell ref="AJ4:AJ6"/>
    <mergeCell ref="AK4:AK6"/>
    <mergeCell ref="AB4:AB6"/>
    <mergeCell ref="AC4:AC6"/>
    <mergeCell ref="AD4:AD6"/>
    <mergeCell ref="AE4:AE6"/>
    <mergeCell ref="AF4:AF6"/>
    <mergeCell ref="W4:W6"/>
    <mergeCell ref="X4:X6"/>
    <mergeCell ref="Y4:Y6"/>
    <mergeCell ref="Z4:Z6"/>
    <mergeCell ref="AA4:AA6"/>
    <mergeCell ref="R4:R6"/>
    <mergeCell ref="S4:S6"/>
    <mergeCell ref="T4:T6"/>
    <mergeCell ref="U4:U6"/>
    <mergeCell ref="V4:V6"/>
    <mergeCell ref="M4:M6"/>
    <mergeCell ref="N4:N6"/>
    <mergeCell ref="O4:O6"/>
    <mergeCell ref="P4:P6"/>
    <mergeCell ref="Q4:Q6"/>
    <mergeCell ref="H4:H6"/>
    <mergeCell ref="I4:I6"/>
    <mergeCell ref="J4:J6"/>
    <mergeCell ref="K4:K6"/>
    <mergeCell ref="L4:L6"/>
    <mergeCell ref="A115:B115"/>
    <mergeCell ref="D4:D6"/>
    <mergeCell ref="E4:E6"/>
    <mergeCell ref="F4:F6"/>
    <mergeCell ref="G4:G6"/>
    <mergeCell ref="D13:D15"/>
    <mergeCell ref="E13:E15"/>
    <mergeCell ref="F13:F15"/>
    <mergeCell ref="G13:G15"/>
    <mergeCell ref="D22:D24"/>
    <mergeCell ref="E22:E24"/>
    <mergeCell ref="F22:F24"/>
    <mergeCell ref="G22:G24"/>
    <mergeCell ref="D31:D33"/>
    <mergeCell ref="E31:E33"/>
    <mergeCell ref="F31:F33"/>
    <mergeCell ref="A14:A15"/>
    <mergeCell ref="C16:C18"/>
    <mergeCell ref="A17:A18"/>
    <mergeCell ref="C19:C21"/>
    <mergeCell ref="A20:A21"/>
    <mergeCell ref="C22:C24"/>
    <mergeCell ref="A23:A24"/>
    <mergeCell ref="C25:C27"/>
    <mergeCell ref="A26:A27"/>
    <mergeCell ref="C28:C30"/>
    <mergeCell ref="A29:A30"/>
    <mergeCell ref="BR143:CK146"/>
    <mergeCell ref="BR148:CK151"/>
    <mergeCell ref="B133:L133"/>
    <mergeCell ref="CL133:DZ133"/>
    <mergeCell ref="B134:L134"/>
    <mergeCell ref="AW134:CK134"/>
    <mergeCell ref="CL134:DZ134"/>
    <mergeCell ref="BR138:CK141"/>
    <mergeCell ref="AW130:BQ133"/>
    <mergeCell ref="BR130:CK133"/>
    <mergeCell ref="CL130:DZ130"/>
    <mergeCell ref="CL131:DZ131"/>
    <mergeCell ref="B132:L132"/>
    <mergeCell ref="CL132:DZ132"/>
    <mergeCell ref="AG133:AV134"/>
    <mergeCell ref="AG130:AV132"/>
    <mergeCell ref="A1:B2"/>
    <mergeCell ref="C1:DP1"/>
    <mergeCell ref="DQ1:DZ1"/>
    <mergeCell ref="C2:DP2"/>
    <mergeCell ref="DQ2:DZ2"/>
    <mergeCell ref="C40:C42"/>
    <mergeCell ref="A41:A42"/>
    <mergeCell ref="C43:C45"/>
    <mergeCell ref="A44:A45"/>
    <mergeCell ref="C46:C48"/>
    <mergeCell ref="A47:A48"/>
    <mergeCell ref="C49:C51"/>
    <mergeCell ref="A50:A51"/>
    <mergeCell ref="C52:C54"/>
    <mergeCell ref="A53:A54"/>
    <mergeCell ref="C55:C57"/>
    <mergeCell ref="A56:A57"/>
    <mergeCell ref="A3:B3"/>
    <mergeCell ref="M130:AF131"/>
    <mergeCell ref="M132:AF132"/>
    <mergeCell ref="M133:AF133"/>
    <mergeCell ref="M134:Q134"/>
    <mergeCell ref="R134:AF134"/>
    <mergeCell ref="A5:A6"/>
    <mergeCell ref="B130:L130"/>
    <mergeCell ref="A131:A134"/>
    <mergeCell ref="B131:L131"/>
    <mergeCell ref="C4:C6"/>
    <mergeCell ref="C7:C9"/>
    <mergeCell ref="A8:A9"/>
    <mergeCell ref="C10:C12"/>
    <mergeCell ref="A11:A12"/>
    <mergeCell ref="C13:C15"/>
    <mergeCell ref="C94:C96"/>
    <mergeCell ref="A95:A96"/>
    <mergeCell ref="C97:C99"/>
    <mergeCell ref="A98:A99"/>
    <mergeCell ref="C100:C102"/>
    <mergeCell ref="A101:A102"/>
    <mergeCell ref="A32:A33"/>
    <mergeCell ref="C34:C36"/>
    <mergeCell ref="A35:A36"/>
    <mergeCell ref="C37:C39"/>
    <mergeCell ref="A38:A39"/>
    <mergeCell ref="C31:C33"/>
    <mergeCell ref="C58:C60"/>
    <mergeCell ref="A59:A60"/>
    <mergeCell ref="C61:C63"/>
    <mergeCell ref="A86:A87"/>
    <mergeCell ref="C88:C90"/>
    <mergeCell ref="A89:A90"/>
    <mergeCell ref="C85:C87"/>
    <mergeCell ref="A62:A63"/>
    <mergeCell ref="C64:C66"/>
    <mergeCell ref="A65:A66"/>
    <mergeCell ref="C67:C69"/>
    <mergeCell ref="A68:A69"/>
    <mergeCell ref="C70:C72"/>
    <mergeCell ref="A71:A72"/>
    <mergeCell ref="C73:C75"/>
    <mergeCell ref="A74:A75"/>
    <mergeCell ref="C112:C114"/>
    <mergeCell ref="A113:A114"/>
    <mergeCell ref="C76:C78"/>
    <mergeCell ref="A77:A78"/>
    <mergeCell ref="C79:C81"/>
    <mergeCell ref="A80:A81"/>
    <mergeCell ref="C82:C84"/>
    <mergeCell ref="A83:A84"/>
    <mergeCell ref="C91:C93"/>
    <mergeCell ref="A92:A93"/>
    <mergeCell ref="C103:C105"/>
    <mergeCell ref="A104:A105"/>
    <mergeCell ref="C106:C108"/>
    <mergeCell ref="A107:A108"/>
    <mergeCell ref="C109:C111"/>
    <mergeCell ref="A110:A111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51"/>
  <sheetViews>
    <sheetView zoomScale="50" zoomScaleNormal="50" workbookViewId="0">
      <selection activeCell="CA120" sqref="CA120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406">
        <f>Thickness!A1</f>
        <v>2025</v>
      </c>
      <c r="B1" s="407"/>
      <c r="C1" s="268" t="str">
        <f>IF(ISBLANK(Thickness!C1),"",(Thickness!C1))</f>
        <v xml:space="preserve">RF - REFRACTORY; RT - RECESSED TUBE; </v>
      </c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  <c r="BK1" s="269"/>
      <c r="BL1" s="269"/>
      <c r="BM1" s="269"/>
      <c r="BN1" s="269"/>
      <c r="BO1" s="269"/>
      <c r="BP1" s="269"/>
      <c r="BQ1" s="269"/>
      <c r="BR1" s="269"/>
      <c r="BS1" s="269"/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/>
      <c r="CO1" s="269"/>
      <c r="CP1" s="269"/>
      <c r="CQ1" s="269"/>
      <c r="CR1" s="269"/>
      <c r="CS1" s="269"/>
      <c r="CT1" s="269"/>
      <c r="CU1" s="269"/>
      <c r="CV1" s="269"/>
      <c r="CW1" s="269"/>
      <c r="CX1" s="269"/>
      <c r="CY1" s="269"/>
      <c r="CZ1" s="269"/>
      <c r="DA1" s="269"/>
      <c r="DB1" s="269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  <c r="DO1" s="269"/>
      <c r="DP1" s="270"/>
      <c r="DQ1" s="169" t="s">
        <v>1</v>
      </c>
      <c r="DR1" s="170"/>
      <c r="DS1" s="170"/>
      <c r="DT1" s="170"/>
      <c r="DU1" s="170"/>
      <c r="DV1" s="170"/>
      <c r="DW1" s="170"/>
      <c r="DX1" s="170"/>
      <c r="DY1" s="170"/>
      <c r="DZ1" s="171"/>
    </row>
    <row r="2" spans="1:182" s="5" customFormat="1" ht="36" customHeight="1" x14ac:dyDescent="0.2">
      <c r="A2" s="408"/>
      <c r="B2" s="409"/>
      <c r="C2" s="268" t="s">
        <v>304</v>
      </c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  <c r="BB2" s="269"/>
      <c r="BC2" s="269"/>
      <c r="BD2" s="269"/>
      <c r="BE2" s="269"/>
      <c r="BF2" s="269"/>
      <c r="BG2" s="269"/>
      <c r="BH2" s="269"/>
      <c r="BI2" s="269"/>
      <c r="BJ2" s="269"/>
      <c r="BK2" s="269"/>
      <c r="BL2" s="269"/>
      <c r="BM2" s="269"/>
      <c r="BN2" s="269"/>
      <c r="BO2" s="269"/>
      <c r="BP2" s="269"/>
      <c r="BQ2" s="269"/>
      <c r="BR2" s="269"/>
      <c r="BS2" s="269"/>
      <c r="BT2" s="269"/>
      <c r="BU2" s="269"/>
      <c r="BV2" s="269"/>
      <c r="BW2" s="269"/>
      <c r="BX2" s="269"/>
      <c r="BY2" s="269"/>
      <c r="BZ2" s="269"/>
      <c r="CA2" s="269"/>
      <c r="CB2" s="269"/>
      <c r="CC2" s="269"/>
      <c r="CD2" s="269"/>
      <c r="CE2" s="269"/>
      <c r="CF2" s="269"/>
      <c r="CG2" s="269"/>
      <c r="CH2" s="269"/>
      <c r="CI2" s="269"/>
      <c r="CJ2" s="269"/>
      <c r="CK2" s="269"/>
      <c r="CL2" s="269"/>
      <c r="CM2" s="269"/>
      <c r="CN2" s="269"/>
      <c r="CO2" s="269"/>
      <c r="CP2" s="269"/>
      <c r="CQ2" s="269"/>
      <c r="CR2" s="269"/>
      <c r="CS2" s="269"/>
      <c r="CT2" s="269"/>
      <c r="CU2" s="269"/>
      <c r="CV2" s="269"/>
      <c r="CW2" s="269"/>
      <c r="CX2" s="269"/>
      <c r="CY2" s="269"/>
      <c r="CZ2" s="269"/>
      <c r="DA2" s="269"/>
      <c r="DB2" s="269"/>
      <c r="DC2" s="269"/>
      <c r="DD2" s="269"/>
      <c r="DE2" s="269"/>
      <c r="DF2" s="269"/>
      <c r="DG2" s="269"/>
      <c r="DH2" s="269"/>
      <c r="DI2" s="269"/>
      <c r="DJ2" s="269"/>
      <c r="DK2" s="269"/>
      <c r="DL2" s="269"/>
      <c r="DM2" s="269"/>
      <c r="DN2" s="269"/>
      <c r="DO2" s="269"/>
      <c r="DP2" s="270"/>
      <c r="DQ2" s="169" t="s">
        <v>3</v>
      </c>
      <c r="DR2" s="170"/>
      <c r="DS2" s="170"/>
      <c r="DT2" s="170"/>
      <c r="DU2" s="170"/>
      <c r="DV2" s="170"/>
      <c r="DW2" s="170"/>
      <c r="DX2" s="170"/>
      <c r="DY2" s="170"/>
      <c r="DZ2" s="171"/>
      <c r="EA2" s="4"/>
    </row>
    <row r="3" spans="1:182" s="5" customFormat="1" ht="36" customHeight="1" x14ac:dyDescent="0.2">
      <c r="A3" s="163" t="s">
        <v>4</v>
      </c>
      <c r="B3" s="164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8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395" t="s">
        <v>305</v>
      </c>
      <c r="D4" s="413" t="s">
        <v>11</v>
      </c>
      <c r="E4" s="416" t="s">
        <v>11</v>
      </c>
      <c r="F4" s="416" t="s">
        <v>11</v>
      </c>
      <c r="G4" s="416" t="s">
        <v>11</v>
      </c>
      <c r="H4" s="419" t="s">
        <v>11</v>
      </c>
      <c r="I4" s="422">
        <f>MIN(Thickness!I4:I6)</f>
        <v>0.17399999999999999</v>
      </c>
      <c r="J4" s="416">
        <f>MIN(Thickness!J4:J6)</f>
        <v>0.18</v>
      </c>
      <c r="K4" s="416">
        <f>MIN(Thickness!K4:K6)</f>
        <v>0.17699999999999999</v>
      </c>
      <c r="L4" s="416">
        <f>MIN(Thickness!L4:L6)</f>
        <v>0.16900000000000001</v>
      </c>
      <c r="M4" s="419">
        <f>MIN(Thickness!M4:M6)</f>
        <v>0.159</v>
      </c>
      <c r="N4" s="422">
        <f>MIN(Thickness!N4:N6)</f>
        <v>0.17499999999999999</v>
      </c>
      <c r="O4" s="416" t="s">
        <v>11</v>
      </c>
      <c r="P4" s="416" t="s">
        <v>11</v>
      </c>
      <c r="Q4" s="416" t="s">
        <v>11</v>
      </c>
      <c r="R4" s="419" t="s">
        <v>11</v>
      </c>
      <c r="S4" s="422" t="s">
        <v>11</v>
      </c>
      <c r="T4" s="416" t="s">
        <v>11</v>
      </c>
      <c r="U4" s="416" t="s">
        <v>11</v>
      </c>
      <c r="V4" s="416" t="s">
        <v>11</v>
      </c>
      <c r="W4" s="419" t="s">
        <v>11</v>
      </c>
      <c r="X4" s="422" t="s">
        <v>11</v>
      </c>
      <c r="Y4" s="416" t="s">
        <v>11</v>
      </c>
      <c r="Z4" s="416" t="s">
        <v>11</v>
      </c>
      <c r="AA4" s="416" t="s">
        <v>11</v>
      </c>
      <c r="AB4" s="419" t="s">
        <v>11</v>
      </c>
      <c r="AC4" s="422" t="s">
        <v>11</v>
      </c>
      <c r="AD4" s="416" t="s">
        <v>11</v>
      </c>
      <c r="AE4" s="416" t="s">
        <v>11</v>
      </c>
      <c r="AF4" s="416">
        <f>MIN(Thickness!AF4:AF6)</f>
        <v>0.17499999999999999</v>
      </c>
      <c r="AG4" s="419">
        <f>MIN(Thickness!AG4:AG6)</f>
        <v>0.16400000000000001</v>
      </c>
      <c r="AH4" s="422">
        <f>MIN(Thickness!AH4:AH6)</f>
        <v>0.17199999999999999</v>
      </c>
      <c r="AI4" s="416">
        <f>MIN(Thickness!AI4:AI6)</f>
        <v>0.17599999999999999</v>
      </c>
      <c r="AJ4" s="416">
        <f>MIN(Thickness!AJ4:AJ6)</f>
        <v>0.16500000000000001</v>
      </c>
      <c r="AK4" s="416">
        <f>MIN(Thickness!AK4:AK6)</f>
        <v>0.17599999999999999</v>
      </c>
      <c r="AL4" s="419" t="s">
        <v>11</v>
      </c>
      <c r="AM4" s="422" t="s">
        <v>11</v>
      </c>
      <c r="AN4" s="416" t="s">
        <v>11</v>
      </c>
      <c r="AO4" s="416" t="s">
        <v>11</v>
      </c>
      <c r="AP4" s="416" t="s">
        <v>11</v>
      </c>
      <c r="AQ4" s="419" t="s">
        <v>11</v>
      </c>
      <c r="AR4" s="422" t="s">
        <v>11</v>
      </c>
      <c r="AS4" s="416" t="s">
        <v>11</v>
      </c>
      <c r="AT4" s="416" t="s">
        <v>11</v>
      </c>
      <c r="AU4" s="416" t="s">
        <v>11</v>
      </c>
      <c r="AV4" s="419" t="s">
        <v>11</v>
      </c>
      <c r="AW4" s="422" t="s">
        <v>11</v>
      </c>
      <c r="AX4" s="416" t="s">
        <v>11</v>
      </c>
      <c r="AY4" s="416" t="s">
        <v>11</v>
      </c>
      <c r="AZ4" s="416" t="s">
        <v>11</v>
      </c>
      <c r="BA4" s="419" t="s">
        <v>11</v>
      </c>
      <c r="BB4" s="422">
        <f>MIN(Thickness!BB4:BB6)</f>
        <v>0.17</v>
      </c>
      <c r="BC4" s="416">
        <f>MIN(Thickness!BC4:BC6)</f>
        <v>0.17399999999999999</v>
      </c>
      <c r="BD4" s="416">
        <f>MIN(Thickness!BD4:BD6)</f>
        <v>0.17599999999999999</v>
      </c>
      <c r="BE4" s="416">
        <f>MIN(Thickness!BE4:BE6)</f>
        <v>0.16600000000000001</v>
      </c>
      <c r="BF4" s="419">
        <f>MIN(Thickness!BF4:BF6)</f>
        <v>0.17599999999999999</v>
      </c>
      <c r="BG4" s="422">
        <f>MIN(Thickness!BG4:BG6)</f>
        <v>0.18</v>
      </c>
      <c r="BH4" s="416" t="s">
        <v>11</v>
      </c>
      <c r="BI4" s="416" t="s">
        <v>11</v>
      </c>
      <c r="BJ4" s="416" t="s">
        <v>11</v>
      </c>
      <c r="BK4" s="419" t="s">
        <v>11</v>
      </c>
      <c r="BL4" s="422" t="s">
        <v>11</v>
      </c>
      <c r="BM4" s="419" t="s">
        <v>11</v>
      </c>
      <c r="BN4" s="166">
        <f t="shared" ref="BN4:BN6" si="0">IFERROR(AVERAGE(D4:BM6),0)</f>
        <v>0.17244444444444446</v>
      </c>
      <c r="BO4" s="166">
        <f t="shared" ref="BO4:BO6" si="1">MIN(D4:BM6)</f>
        <v>0.159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65">
        <v>9.9000000000000005E-2</v>
      </c>
      <c r="B5" s="7" t="s">
        <v>12</v>
      </c>
      <c r="C5" s="396"/>
      <c r="D5" s="414" t="s">
        <v>11</v>
      </c>
      <c r="E5" s="417" t="s">
        <v>11</v>
      </c>
      <c r="F5" s="417" t="s">
        <v>11</v>
      </c>
      <c r="G5" s="417" t="s">
        <v>11</v>
      </c>
      <c r="H5" s="420" t="s">
        <v>11</v>
      </c>
      <c r="I5" s="423"/>
      <c r="J5" s="417"/>
      <c r="K5" s="417"/>
      <c r="L5" s="417"/>
      <c r="M5" s="420"/>
      <c r="N5" s="423"/>
      <c r="O5" s="417" t="s">
        <v>11</v>
      </c>
      <c r="P5" s="417" t="s">
        <v>11</v>
      </c>
      <c r="Q5" s="417" t="s">
        <v>11</v>
      </c>
      <c r="R5" s="420" t="s">
        <v>11</v>
      </c>
      <c r="S5" s="423" t="s">
        <v>11</v>
      </c>
      <c r="T5" s="417" t="s">
        <v>11</v>
      </c>
      <c r="U5" s="417" t="s">
        <v>11</v>
      </c>
      <c r="V5" s="417" t="s">
        <v>11</v>
      </c>
      <c r="W5" s="420" t="s">
        <v>11</v>
      </c>
      <c r="X5" s="423" t="s">
        <v>11</v>
      </c>
      <c r="Y5" s="417" t="s">
        <v>11</v>
      </c>
      <c r="Z5" s="417" t="s">
        <v>11</v>
      </c>
      <c r="AA5" s="417" t="s">
        <v>11</v>
      </c>
      <c r="AB5" s="420" t="s">
        <v>11</v>
      </c>
      <c r="AC5" s="423" t="s">
        <v>11</v>
      </c>
      <c r="AD5" s="417" t="s">
        <v>11</v>
      </c>
      <c r="AE5" s="417" t="s">
        <v>11</v>
      </c>
      <c r="AF5" s="417"/>
      <c r="AG5" s="420"/>
      <c r="AH5" s="423"/>
      <c r="AI5" s="417"/>
      <c r="AJ5" s="417"/>
      <c r="AK5" s="417"/>
      <c r="AL5" s="420" t="s">
        <v>11</v>
      </c>
      <c r="AM5" s="423" t="s">
        <v>11</v>
      </c>
      <c r="AN5" s="417" t="s">
        <v>11</v>
      </c>
      <c r="AO5" s="417" t="s">
        <v>11</v>
      </c>
      <c r="AP5" s="417" t="s">
        <v>11</v>
      </c>
      <c r="AQ5" s="420" t="s">
        <v>11</v>
      </c>
      <c r="AR5" s="423" t="s">
        <v>11</v>
      </c>
      <c r="AS5" s="417" t="s">
        <v>11</v>
      </c>
      <c r="AT5" s="417" t="s">
        <v>11</v>
      </c>
      <c r="AU5" s="417" t="s">
        <v>11</v>
      </c>
      <c r="AV5" s="420" t="s">
        <v>11</v>
      </c>
      <c r="AW5" s="423" t="s">
        <v>11</v>
      </c>
      <c r="AX5" s="417" t="s">
        <v>11</v>
      </c>
      <c r="AY5" s="417" t="s">
        <v>11</v>
      </c>
      <c r="AZ5" s="417" t="s">
        <v>11</v>
      </c>
      <c r="BA5" s="420" t="s">
        <v>11</v>
      </c>
      <c r="BB5" s="423"/>
      <c r="BC5" s="417"/>
      <c r="BD5" s="417"/>
      <c r="BE5" s="417"/>
      <c r="BF5" s="420"/>
      <c r="BG5" s="423"/>
      <c r="BH5" s="417" t="s">
        <v>11</v>
      </c>
      <c r="BI5" s="417" t="s">
        <v>11</v>
      </c>
      <c r="BJ5" s="417" t="s">
        <v>11</v>
      </c>
      <c r="BK5" s="420" t="s">
        <v>11</v>
      </c>
      <c r="BL5" s="423" t="s">
        <v>11</v>
      </c>
      <c r="BM5" s="420" t="s">
        <v>11</v>
      </c>
      <c r="BN5" s="167">
        <f t="shared" si="0"/>
        <v>0.17535714285714282</v>
      </c>
      <c r="BO5" s="167">
        <f t="shared" si="1"/>
        <v>0.17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65"/>
      <c r="B6" s="8" t="s">
        <v>13</v>
      </c>
      <c r="C6" s="396"/>
      <c r="D6" s="415" t="s">
        <v>11</v>
      </c>
      <c r="E6" s="418" t="s">
        <v>11</v>
      </c>
      <c r="F6" s="418" t="s">
        <v>11</v>
      </c>
      <c r="G6" s="418" t="s">
        <v>11</v>
      </c>
      <c r="H6" s="421" t="s">
        <v>11</v>
      </c>
      <c r="I6" s="424"/>
      <c r="J6" s="418"/>
      <c r="K6" s="418"/>
      <c r="L6" s="418"/>
      <c r="M6" s="421"/>
      <c r="N6" s="424"/>
      <c r="O6" s="418" t="s">
        <v>11</v>
      </c>
      <c r="P6" s="418" t="s">
        <v>11</v>
      </c>
      <c r="Q6" s="418" t="s">
        <v>11</v>
      </c>
      <c r="R6" s="421" t="s">
        <v>11</v>
      </c>
      <c r="S6" s="424" t="s">
        <v>11</v>
      </c>
      <c r="T6" s="418" t="s">
        <v>11</v>
      </c>
      <c r="U6" s="418" t="s">
        <v>11</v>
      </c>
      <c r="V6" s="418" t="s">
        <v>11</v>
      </c>
      <c r="W6" s="421" t="s">
        <v>11</v>
      </c>
      <c r="X6" s="424" t="s">
        <v>11</v>
      </c>
      <c r="Y6" s="418" t="s">
        <v>11</v>
      </c>
      <c r="Z6" s="418" t="s">
        <v>11</v>
      </c>
      <c r="AA6" s="418" t="s">
        <v>11</v>
      </c>
      <c r="AB6" s="421" t="s">
        <v>11</v>
      </c>
      <c r="AC6" s="424" t="s">
        <v>11</v>
      </c>
      <c r="AD6" s="418" t="s">
        <v>11</v>
      </c>
      <c r="AE6" s="418" t="s">
        <v>11</v>
      </c>
      <c r="AF6" s="418"/>
      <c r="AG6" s="421"/>
      <c r="AH6" s="424"/>
      <c r="AI6" s="418"/>
      <c r="AJ6" s="418"/>
      <c r="AK6" s="418"/>
      <c r="AL6" s="421" t="s">
        <v>11</v>
      </c>
      <c r="AM6" s="424" t="s">
        <v>11</v>
      </c>
      <c r="AN6" s="418" t="s">
        <v>11</v>
      </c>
      <c r="AO6" s="418" t="s">
        <v>11</v>
      </c>
      <c r="AP6" s="418" t="s">
        <v>11</v>
      </c>
      <c r="AQ6" s="421" t="s">
        <v>11</v>
      </c>
      <c r="AR6" s="424" t="s">
        <v>11</v>
      </c>
      <c r="AS6" s="418" t="s">
        <v>11</v>
      </c>
      <c r="AT6" s="418" t="s">
        <v>11</v>
      </c>
      <c r="AU6" s="418" t="s">
        <v>11</v>
      </c>
      <c r="AV6" s="421" t="s">
        <v>11</v>
      </c>
      <c r="AW6" s="424" t="s">
        <v>11</v>
      </c>
      <c r="AX6" s="418" t="s">
        <v>11</v>
      </c>
      <c r="AY6" s="418" t="s">
        <v>11</v>
      </c>
      <c r="AZ6" s="418" t="s">
        <v>11</v>
      </c>
      <c r="BA6" s="421" t="s">
        <v>11</v>
      </c>
      <c r="BB6" s="424"/>
      <c r="BC6" s="418"/>
      <c r="BD6" s="418"/>
      <c r="BE6" s="418"/>
      <c r="BF6" s="421"/>
      <c r="BG6" s="424"/>
      <c r="BH6" s="418" t="s">
        <v>11</v>
      </c>
      <c r="BI6" s="418" t="s">
        <v>11</v>
      </c>
      <c r="BJ6" s="418" t="s">
        <v>11</v>
      </c>
      <c r="BK6" s="421" t="s">
        <v>11</v>
      </c>
      <c r="BL6" s="424" t="s">
        <v>11</v>
      </c>
      <c r="BM6" s="421" t="s">
        <v>11</v>
      </c>
      <c r="BN6" s="168">
        <f t="shared" si="0"/>
        <v>0.17535714285714282</v>
      </c>
      <c r="BO6" s="168">
        <f t="shared" si="1"/>
        <v>0.17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15</v>
      </c>
      <c r="C7" s="395" t="s">
        <v>305</v>
      </c>
      <c r="D7" s="413" t="s">
        <v>11</v>
      </c>
      <c r="E7" s="416" t="s">
        <v>11</v>
      </c>
      <c r="F7" s="416" t="s">
        <v>11</v>
      </c>
      <c r="G7" s="416" t="s">
        <v>11</v>
      </c>
      <c r="H7" s="419" t="s">
        <v>11</v>
      </c>
      <c r="I7" s="422">
        <f>MIN(Thickness!I7:I9)</f>
        <v>0.17799999999999999</v>
      </c>
      <c r="J7" s="416">
        <f>MIN(Thickness!J7:J9)</f>
        <v>0.17599999999999999</v>
      </c>
      <c r="K7" s="416">
        <f>MIN(Thickness!K7:K9)</f>
        <v>0.17199999999999999</v>
      </c>
      <c r="L7" s="416">
        <f>MIN(Thickness!L7:L9)</f>
        <v>0.17599999999999999</v>
      </c>
      <c r="M7" s="419" t="s">
        <v>16</v>
      </c>
      <c r="N7" s="422">
        <f>MIN(Thickness!N7:N9)</f>
        <v>0.17399999999999999</v>
      </c>
      <c r="O7" s="416" t="s">
        <v>11</v>
      </c>
      <c r="P7" s="416" t="s">
        <v>11</v>
      </c>
      <c r="Q7" s="416" t="s">
        <v>11</v>
      </c>
      <c r="R7" s="419" t="s">
        <v>11</v>
      </c>
      <c r="S7" s="422" t="s">
        <v>11</v>
      </c>
      <c r="T7" s="416" t="s">
        <v>11</v>
      </c>
      <c r="U7" s="416" t="s">
        <v>11</v>
      </c>
      <c r="V7" s="416" t="s">
        <v>11</v>
      </c>
      <c r="W7" s="419" t="s">
        <v>11</v>
      </c>
      <c r="X7" s="422" t="s">
        <v>11</v>
      </c>
      <c r="Y7" s="416" t="s">
        <v>11</v>
      </c>
      <c r="Z7" s="416" t="s">
        <v>11</v>
      </c>
      <c r="AA7" s="416" t="s">
        <v>11</v>
      </c>
      <c r="AB7" s="419" t="s">
        <v>11</v>
      </c>
      <c r="AC7" s="422" t="s">
        <v>11</v>
      </c>
      <c r="AD7" s="416" t="s">
        <v>11</v>
      </c>
      <c r="AE7" s="416" t="s">
        <v>11</v>
      </c>
      <c r="AF7" s="416">
        <f>MIN(Thickness!AF7:AF9)</f>
        <v>0.17599999999999999</v>
      </c>
      <c r="AG7" s="419" t="s">
        <v>16</v>
      </c>
      <c r="AH7" s="422">
        <f>MIN(Thickness!AH7:AH9)</f>
        <v>0.17599999999999999</v>
      </c>
      <c r="AI7" s="416">
        <f>MIN(Thickness!AI7:AI9)</f>
        <v>0.17499999999999999</v>
      </c>
      <c r="AJ7" s="416" t="s">
        <v>16</v>
      </c>
      <c r="AK7" s="416">
        <f>MIN(Thickness!AK7:AK9)</f>
        <v>0.18099999999999999</v>
      </c>
      <c r="AL7" s="419" t="s">
        <v>11</v>
      </c>
      <c r="AM7" s="422" t="s">
        <v>11</v>
      </c>
      <c r="AN7" s="416" t="s">
        <v>11</v>
      </c>
      <c r="AO7" s="416" t="s">
        <v>11</v>
      </c>
      <c r="AP7" s="416" t="s">
        <v>11</v>
      </c>
      <c r="AQ7" s="419" t="s">
        <v>11</v>
      </c>
      <c r="AR7" s="422" t="s">
        <v>11</v>
      </c>
      <c r="AS7" s="416" t="s">
        <v>11</v>
      </c>
      <c r="AT7" s="416" t="s">
        <v>11</v>
      </c>
      <c r="AU7" s="416" t="s">
        <v>11</v>
      </c>
      <c r="AV7" s="419" t="s">
        <v>11</v>
      </c>
      <c r="AW7" s="422" t="s">
        <v>11</v>
      </c>
      <c r="AX7" s="416" t="s">
        <v>11</v>
      </c>
      <c r="AY7" s="416" t="s">
        <v>11</v>
      </c>
      <c r="AZ7" s="416" t="s">
        <v>11</v>
      </c>
      <c r="BA7" s="419" t="s">
        <v>11</v>
      </c>
      <c r="BB7" s="422">
        <f>MIN(Thickness!BB7:BB9)</f>
        <v>0.17</v>
      </c>
      <c r="BC7" s="416">
        <f>MIN(Thickness!BC7:BC9)</f>
        <v>0.17100000000000001</v>
      </c>
      <c r="BD7" s="416">
        <f>MIN(Thickness!BD7:BD9)</f>
        <v>0.17499999999999999</v>
      </c>
      <c r="BE7" s="416" t="s">
        <v>16</v>
      </c>
      <c r="BF7" s="419">
        <f>MIN(Thickness!BF7:BF9)</f>
        <v>0.17499999999999999</v>
      </c>
      <c r="BG7" s="422">
        <f>MIN(Thickness!BG7:BG9)</f>
        <v>0.18</v>
      </c>
      <c r="BH7" s="416" t="s">
        <v>11</v>
      </c>
      <c r="BI7" s="416" t="s">
        <v>11</v>
      </c>
      <c r="BJ7" s="416" t="s">
        <v>11</v>
      </c>
      <c r="BK7" s="419" t="s">
        <v>11</v>
      </c>
      <c r="BL7" s="422" t="s">
        <v>11</v>
      </c>
      <c r="BM7" s="419" t="s">
        <v>11</v>
      </c>
      <c r="BN7" s="166">
        <f t="shared" ref="BN7:BN9" si="2">IFERROR(AVERAGE(D7:BM9),0)</f>
        <v>0.17535714285714282</v>
      </c>
      <c r="BO7" s="166">
        <f t="shared" ref="BO7:BO9" si="3">MIN(D7:BM9)</f>
        <v>0.17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65">
        <v>9.9000000000000005E-2</v>
      </c>
      <c r="B8" s="7" t="s">
        <v>12</v>
      </c>
      <c r="C8" s="396"/>
      <c r="D8" s="414" t="s">
        <v>11</v>
      </c>
      <c r="E8" s="417" t="s">
        <v>11</v>
      </c>
      <c r="F8" s="417" t="s">
        <v>11</v>
      </c>
      <c r="G8" s="417" t="s">
        <v>11</v>
      </c>
      <c r="H8" s="420" t="s">
        <v>11</v>
      </c>
      <c r="I8" s="423"/>
      <c r="J8" s="417"/>
      <c r="K8" s="417"/>
      <c r="L8" s="417"/>
      <c r="M8" s="420" t="s">
        <v>16</v>
      </c>
      <c r="N8" s="423"/>
      <c r="O8" s="417" t="s">
        <v>11</v>
      </c>
      <c r="P8" s="417" t="s">
        <v>11</v>
      </c>
      <c r="Q8" s="417" t="s">
        <v>11</v>
      </c>
      <c r="R8" s="420" t="s">
        <v>11</v>
      </c>
      <c r="S8" s="423" t="s">
        <v>11</v>
      </c>
      <c r="T8" s="417" t="s">
        <v>11</v>
      </c>
      <c r="U8" s="417" t="s">
        <v>11</v>
      </c>
      <c r="V8" s="417" t="s">
        <v>11</v>
      </c>
      <c r="W8" s="420" t="s">
        <v>11</v>
      </c>
      <c r="X8" s="423" t="s">
        <v>11</v>
      </c>
      <c r="Y8" s="417" t="s">
        <v>11</v>
      </c>
      <c r="Z8" s="417" t="s">
        <v>11</v>
      </c>
      <c r="AA8" s="417" t="s">
        <v>11</v>
      </c>
      <c r="AB8" s="420" t="s">
        <v>11</v>
      </c>
      <c r="AC8" s="423" t="s">
        <v>11</v>
      </c>
      <c r="AD8" s="417" t="s">
        <v>11</v>
      </c>
      <c r="AE8" s="417" t="s">
        <v>11</v>
      </c>
      <c r="AF8" s="417"/>
      <c r="AG8" s="420" t="s">
        <v>16</v>
      </c>
      <c r="AH8" s="423"/>
      <c r="AI8" s="417"/>
      <c r="AJ8" s="417" t="s">
        <v>16</v>
      </c>
      <c r="AK8" s="417"/>
      <c r="AL8" s="420" t="s">
        <v>11</v>
      </c>
      <c r="AM8" s="423" t="s">
        <v>11</v>
      </c>
      <c r="AN8" s="417" t="s">
        <v>11</v>
      </c>
      <c r="AO8" s="417" t="s">
        <v>11</v>
      </c>
      <c r="AP8" s="417" t="s">
        <v>11</v>
      </c>
      <c r="AQ8" s="420" t="s">
        <v>11</v>
      </c>
      <c r="AR8" s="423" t="s">
        <v>11</v>
      </c>
      <c r="AS8" s="417" t="s">
        <v>11</v>
      </c>
      <c r="AT8" s="417" t="s">
        <v>11</v>
      </c>
      <c r="AU8" s="417" t="s">
        <v>11</v>
      </c>
      <c r="AV8" s="420" t="s">
        <v>11</v>
      </c>
      <c r="AW8" s="423" t="s">
        <v>11</v>
      </c>
      <c r="AX8" s="417" t="s">
        <v>11</v>
      </c>
      <c r="AY8" s="417" t="s">
        <v>11</v>
      </c>
      <c r="AZ8" s="417" t="s">
        <v>11</v>
      </c>
      <c r="BA8" s="420" t="s">
        <v>11</v>
      </c>
      <c r="BB8" s="423"/>
      <c r="BC8" s="417"/>
      <c r="BD8" s="417"/>
      <c r="BE8" s="417" t="s">
        <v>16</v>
      </c>
      <c r="BF8" s="420"/>
      <c r="BG8" s="423"/>
      <c r="BH8" s="417" t="s">
        <v>11</v>
      </c>
      <c r="BI8" s="417" t="s">
        <v>11</v>
      </c>
      <c r="BJ8" s="417" t="s">
        <v>11</v>
      </c>
      <c r="BK8" s="420" t="s">
        <v>11</v>
      </c>
      <c r="BL8" s="423" t="s">
        <v>11</v>
      </c>
      <c r="BM8" s="420" t="s">
        <v>11</v>
      </c>
      <c r="BN8" s="167">
        <f t="shared" si="2"/>
        <v>0.1731111111111111</v>
      </c>
      <c r="BO8" s="167">
        <f t="shared" si="3"/>
        <v>0.16200000000000001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65"/>
      <c r="B9" s="8" t="s">
        <v>13</v>
      </c>
      <c r="C9" s="396"/>
      <c r="D9" s="415" t="s">
        <v>11</v>
      </c>
      <c r="E9" s="418" t="s">
        <v>11</v>
      </c>
      <c r="F9" s="418" t="s">
        <v>11</v>
      </c>
      <c r="G9" s="418" t="s">
        <v>11</v>
      </c>
      <c r="H9" s="421" t="s">
        <v>11</v>
      </c>
      <c r="I9" s="424"/>
      <c r="J9" s="418"/>
      <c r="K9" s="418"/>
      <c r="L9" s="418"/>
      <c r="M9" s="421" t="s">
        <v>16</v>
      </c>
      <c r="N9" s="424"/>
      <c r="O9" s="418" t="s">
        <v>11</v>
      </c>
      <c r="P9" s="418" t="s">
        <v>11</v>
      </c>
      <c r="Q9" s="418" t="s">
        <v>11</v>
      </c>
      <c r="R9" s="421" t="s">
        <v>11</v>
      </c>
      <c r="S9" s="424" t="s">
        <v>11</v>
      </c>
      <c r="T9" s="418" t="s">
        <v>11</v>
      </c>
      <c r="U9" s="418" t="s">
        <v>11</v>
      </c>
      <c r="V9" s="418" t="s">
        <v>11</v>
      </c>
      <c r="W9" s="421" t="s">
        <v>11</v>
      </c>
      <c r="X9" s="424" t="s">
        <v>11</v>
      </c>
      <c r="Y9" s="418" t="s">
        <v>11</v>
      </c>
      <c r="Z9" s="418" t="s">
        <v>11</v>
      </c>
      <c r="AA9" s="418" t="s">
        <v>11</v>
      </c>
      <c r="AB9" s="421" t="s">
        <v>11</v>
      </c>
      <c r="AC9" s="424" t="s">
        <v>11</v>
      </c>
      <c r="AD9" s="418" t="s">
        <v>11</v>
      </c>
      <c r="AE9" s="418" t="s">
        <v>11</v>
      </c>
      <c r="AF9" s="418"/>
      <c r="AG9" s="421" t="s">
        <v>16</v>
      </c>
      <c r="AH9" s="424"/>
      <c r="AI9" s="418"/>
      <c r="AJ9" s="418" t="s">
        <v>16</v>
      </c>
      <c r="AK9" s="418"/>
      <c r="AL9" s="421" t="s">
        <v>11</v>
      </c>
      <c r="AM9" s="424" t="s">
        <v>11</v>
      </c>
      <c r="AN9" s="418" t="s">
        <v>11</v>
      </c>
      <c r="AO9" s="418" t="s">
        <v>11</v>
      </c>
      <c r="AP9" s="418" t="s">
        <v>11</v>
      </c>
      <c r="AQ9" s="421" t="s">
        <v>11</v>
      </c>
      <c r="AR9" s="424" t="s">
        <v>11</v>
      </c>
      <c r="AS9" s="418" t="s">
        <v>11</v>
      </c>
      <c r="AT9" s="418" t="s">
        <v>11</v>
      </c>
      <c r="AU9" s="418" t="s">
        <v>11</v>
      </c>
      <c r="AV9" s="421" t="s">
        <v>11</v>
      </c>
      <c r="AW9" s="424" t="s">
        <v>11</v>
      </c>
      <c r="AX9" s="418" t="s">
        <v>11</v>
      </c>
      <c r="AY9" s="418" t="s">
        <v>11</v>
      </c>
      <c r="AZ9" s="418" t="s">
        <v>11</v>
      </c>
      <c r="BA9" s="421" t="s">
        <v>11</v>
      </c>
      <c r="BB9" s="424"/>
      <c r="BC9" s="418"/>
      <c r="BD9" s="418"/>
      <c r="BE9" s="418" t="s">
        <v>16</v>
      </c>
      <c r="BF9" s="421"/>
      <c r="BG9" s="424"/>
      <c r="BH9" s="418" t="s">
        <v>11</v>
      </c>
      <c r="BI9" s="418" t="s">
        <v>11</v>
      </c>
      <c r="BJ9" s="418" t="s">
        <v>11</v>
      </c>
      <c r="BK9" s="421" t="s">
        <v>11</v>
      </c>
      <c r="BL9" s="424" t="s">
        <v>11</v>
      </c>
      <c r="BM9" s="421" t="s">
        <v>11</v>
      </c>
      <c r="BN9" s="168">
        <f t="shared" si="2"/>
        <v>0.1731111111111111</v>
      </c>
      <c r="BO9" s="168">
        <f t="shared" si="3"/>
        <v>0.16200000000000001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395" t="s">
        <v>305</v>
      </c>
      <c r="D10" s="413" t="s">
        <v>11</v>
      </c>
      <c r="E10" s="416" t="s">
        <v>11</v>
      </c>
      <c r="F10" s="416" t="s">
        <v>11</v>
      </c>
      <c r="G10" s="416" t="s">
        <v>11</v>
      </c>
      <c r="H10" s="419" t="s">
        <v>11</v>
      </c>
      <c r="I10" s="422">
        <f>MIN(Thickness!I10:I12)</f>
        <v>0.16900000000000001</v>
      </c>
      <c r="J10" s="416">
        <f>MIN(Thickness!J10:J12)</f>
        <v>0.17499999999999999</v>
      </c>
      <c r="K10" s="416">
        <f>MIN(Thickness!K10:K12)</f>
        <v>0.17199999999999999</v>
      </c>
      <c r="L10" s="416">
        <f>MIN(Thickness!L10:L12)</f>
        <v>0.17799999999999999</v>
      </c>
      <c r="M10" s="419">
        <f>MIN(Thickness!M10:M12)</f>
        <v>0.16200000000000001</v>
      </c>
      <c r="N10" s="422">
        <f>MIN(Thickness!N10:N12)</f>
        <v>0.17199999999999999</v>
      </c>
      <c r="O10" s="416" t="s">
        <v>11</v>
      </c>
      <c r="P10" s="416" t="s">
        <v>11</v>
      </c>
      <c r="Q10" s="416" t="s">
        <v>11</v>
      </c>
      <c r="R10" s="419" t="s">
        <v>11</v>
      </c>
      <c r="S10" s="422" t="s">
        <v>11</v>
      </c>
      <c r="T10" s="416" t="s">
        <v>11</v>
      </c>
      <c r="U10" s="416" t="s">
        <v>11</v>
      </c>
      <c r="V10" s="416" t="s">
        <v>11</v>
      </c>
      <c r="W10" s="419" t="s">
        <v>11</v>
      </c>
      <c r="X10" s="422" t="s">
        <v>11</v>
      </c>
      <c r="Y10" s="416" t="s">
        <v>11</v>
      </c>
      <c r="Z10" s="416" t="s">
        <v>11</v>
      </c>
      <c r="AA10" s="416" t="s">
        <v>11</v>
      </c>
      <c r="AB10" s="419" t="s">
        <v>11</v>
      </c>
      <c r="AC10" s="422" t="s">
        <v>11</v>
      </c>
      <c r="AD10" s="416" t="s">
        <v>11</v>
      </c>
      <c r="AE10" s="416" t="s">
        <v>11</v>
      </c>
      <c r="AF10" s="416">
        <f>MIN(Thickness!AF10:AF12)</f>
        <v>0.17699999999999999</v>
      </c>
      <c r="AG10" s="419">
        <f>MIN(Thickness!AG10:AG12)</f>
        <v>0.16800000000000001</v>
      </c>
      <c r="AH10" s="422">
        <f>MIN(Thickness!AH10:AH12)</f>
        <v>0.16800000000000001</v>
      </c>
      <c r="AI10" s="416">
        <f>MIN(Thickness!AI10:AI12)</f>
        <v>0.18</v>
      </c>
      <c r="AJ10" s="416">
        <f>MIN(Thickness!AJ10:AJ12)</f>
        <v>0.16600000000000001</v>
      </c>
      <c r="AK10" s="416">
        <f>MIN(Thickness!AK10:AK12)</f>
        <v>0.182</v>
      </c>
      <c r="AL10" s="419" t="s">
        <v>11</v>
      </c>
      <c r="AM10" s="422" t="s">
        <v>11</v>
      </c>
      <c r="AN10" s="416" t="s">
        <v>11</v>
      </c>
      <c r="AO10" s="416" t="s">
        <v>11</v>
      </c>
      <c r="AP10" s="416" t="s">
        <v>11</v>
      </c>
      <c r="AQ10" s="419" t="s">
        <v>11</v>
      </c>
      <c r="AR10" s="422" t="s">
        <v>11</v>
      </c>
      <c r="AS10" s="416" t="s">
        <v>11</v>
      </c>
      <c r="AT10" s="416" t="s">
        <v>11</v>
      </c>
      <c r="AU10" s="416" t="s">
        <v>11</v>
      </c>
      <c r="AV10" s="419" t="s">
        <v>11</v>
      </c>
      <c r="AW10" s="422" t="s">
        <v>11</v>
      </c>
      <c r="AX10" s="416" t="s">
        <v>11</v>
      </c>
      <c r="AY10" s="416" t="s">
        <v>11</v>
      </c>
      <c r="AZ10" s="416" t="s">
        <v>11</v>
      </c>
      <c r="BA10" s="419" t="s">
        <v>11</v>
      </c>
      <c r="BB10" s="422">
        <f>MIN(Thickness!BB10:BB12)</f>
        <v>0.17399999999999999</v>
      </c>
      <c r="BC10" s="416">
        <f>MIN(Thickness!BC10:BC12)</f>
        <v>0.17299999999999999</v>
      </c>
      <c r="BD10" s="416">
        <f>MIN(Thickness!BD10:BD12)</f>
        <v>0.17699999999999999</v>
      </c>
      <c r="BE10" s="416">
        <f>MIN(Thickness!BE10:BE12)</f>
        <v>0.16900000000000001</v>
      </c>
      <c r="BF10" s="419">
        <f>MIN(Thickness!BF10:BF12)</f>
        <v>0.17599999999999999</v>
      </c>
      <c r="BG10" s="422">
        <f>MIN(Thickness!BG10:BG12)</f>
        <v>0.17799999999999999</v>
      </c>
      <c r="BH10" s="416" t="s">
        <v>11</v>
      </c>
      <c r="BI10" s="416" t="s">
        <v>11</v>
      </c>
      <c r="BJ10" s="416" t="s">
        <v>11</v>
      </c>
      <c r="BK10" s="419" t="s">
        <v>11</v>
      </c>
      <c r="BL10" s="422" t="s">
        <v>11</v>
      </c>
      <c r="BM10" s="419" t="s">
        <v>11</v>
      </c>
      <c r="BN10" s="166">
        <f t="shared" ref="BN10:BN12" si="4">IFERROR(AVERAGE(D10:BM12),0)</f>
        <v>0.1731111111111111</v>
      </c>
      <c r="BO10" s="166">
        <f t="shared" ref="BO10:BO12" si="5">MIN(D10:BM12)</f>
        <v>0.16200000000000001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65">
        <v>9.9000000000000005E-2</v>
      </c>
      <c r="B11" s="7" t="s">
        <v>18</v>
      </c>
      <c r="C11" s="396"/>
      <c r="D11" s="414" t="s">
        <v>11</v>
      </c>
      <c r="E11" s="417" t="s">
        <v>11</v>
      </c>
      <c r="F11" s="417" t="s">
        <v>11</v>
      </c>
      <c r="G11" s="417" t="s">
        <v>11</v>
      </c>
      <c r="H11" s="420" t="s">
        <v>11</v>
      </c>
      <c r="I11" s="423"/>
      <c r="J11" s="417"/>
      <c r="K11" s="417"/>
      <c r="L11" s="417"/>
      <c r="M11" s="420"/>
      <c r="N11" s="423"/>
      <c r="O11" s="417" t="s">
        <v>11</v>
      </c>
      <c r="P11" s="417" t="s">
        <v>11</v>
      </c>
      <c r="Q11" s="417" t="s">
        <v>11</v>
      </c>
      <c r="R11" s="420" t="s">
        <v>11</v>
      </c>
      <c r="S11" s="423" t="s">
        <v>11</v>
      </c>
      <c r="T11" s="417" t="s">
        <v>11</v>
      </c>
      <c r="U11" s="417" t="s">
        <v>11</v>
      </c>
      <c r="V11" s="417" t="s">
        <v>11</v>
      </c>
      <c r="W11" s="420" t="s">
        <v>11</v>
      </c>
      <c r="X11" s="423" t="s">
        <v>11</v>
      </c>
      <c r="Y11" s="417" t="s">
        <v>11</v>
      </c>
      <c r="Z11" s="417" t="s">
        <v>11</v>
      </c>
      <c r="AA11" s="417" t="s">
        <v>11</v>
      </c>
      <c r="AB11" s="420" t="s">
        <v>11</v>
      </c>
      <c r="AC11" s="423" t="s">
        <v>11</v>
      </c>
      <c r="AD11" s="417" t="s">
        <v>11</v>
      </c>
      <c r="AE11" s="417" t="s">
        <v>11</v>
      </c>
      <c r="AF11" s="417"/>
      <c r="AG11" s="420"/>
      <c r="AH11" s="423"/>
      <c r="AI11" s="417"/>
      <c r="AJ11" s="417"/>
      <c r="AK11" s="417"/>
      <c r="AL11" s="420" t="s">
        <v>11</v>
      </c>
      <c r="AM11" s="423" t="s">
        <v>11</v>
      </c>
      <c r="AN11" s="417" t="s">
        <v>11</v>
      </c>
      <c r="AO11" s="417" t="s">
        <v>11</v>
      </c>
      <c r="AP11" s="417" t="s">
        <v>11</v>
      </c>
      <c r="AQ11" s="420" t="s">
        <v>11</v>
      </c>
      <c r="AR11" s="423" t="s">
        <v>11</v>
      </c>
      <c r="AS11" s="417" t="s">
        <v>11</v>
      </c>
      <c r="AT11" s="417" t="s">
        <v>11</v>
      </c>
      <c r="AU11" s="417" t="s">
        <v>11</v>
      </c>
      <c r="AV11" s="420" t="s">
        <v>11</v>
      </c>
      <c r="AW11" s="423" t="s">
        <v>11</v>
      </c>
      <c r="AX11" s="417" t="s">
        <v>11</v>
      </c>
      <c r="AY11" s="417" t="s">
        <v>11</v>
      </c>
      <c r="AZ11" s="417" t="s">
        <v>11</v>
      </c>
      <c r="BA11" s="420" t="s">
        <v>11</v>
      </c>
      <c r="BB11" s="423"/>
      <c r="BC11" s="417"/>
      <c r="BD11" s="417"/>
      <c r="BE11" s="417"/>
      <c r="BF11" s="420"/>
      <c r="BG11" s="423"/>
      <c r="BH11" s="417" t="s">
        <v>11</v>
      </c>
      <c r="BI11" s="417" t="s">
        <v>11</v>
      </c>
      <c r="BJ11" s="417" t="s">
        <v>11</v>
      </c>
      <c r="BK11" s="420" t="s">
        <v>11</v>
      </c>
      <c r="BL11" s="423" t="s">
        <v>11</v>
      </c>
      <c r="BM11" s="420" t="s">
        <v>11</v>
      </c>
      <c r="BN11" s="167">
        <f t="shared" si="4"/>
        <v>0.22211290322580651</v>
      </c>
      <c r="BO11" s="167">
        <f t="shared" si="5"/>
        <v>0.20899999999999999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65"/>
      <c r="B12" s="8" t="s">
        <v>13</v>
      </c>
      <c r="C12" s="396"/>
      <c r="D12" s="415" t="s">
        <v>11</v>
      </c>
      <c r="E12" s="418" t="s">
        <v>11</v>
      </c>
      <c r="F12" s="418" t="s">
        <v>11</v>
      </c>
      <c r="G12" s="418" t="s">
        <v>11</v>
      </c>
      <c r="H12" s="421" t="s">
        <v>11</v>
      </c>
      <c r="I12" s="424"/>
      <c r="J12" s="418"/>
      <c r="K12" s="418"/>
      <c r="L12" s="418"/>
      <c r="M12" s="421"/>
      <c r="N12" s="424"/>
      <c r="O12" s="418" t="s">
        <v>11</v>
      </c>
      <c r="P12" s="418" t="s">
        <v>11</v>
      </c>
      <c r="Q12" s="418" t="s">
        <v>11</v>
      </c>
      <c r="R12" s="421" t="s">
        <v>11</v>
      </c>
      <c r="S12" s="424" t="s">
        <v>11</v>
      </c>
      <c r="T12" s="418" t="s">
        <v>11</v>
      </c>
      <c r="U12" s="418" t="s">
        <v>11</v>
      </c>
      <c r="V12" s="418" t="s">
        <v>11</v>
      </c>
      <c r="W12" s="421" t="s">
        <v>11</v>
      </c>
      <c r="X12" s="424" t="s">
        <v>11</v>
      </c>
      <c r="Y12" s="418" t="s">
        <v>11</v>
      </c>
      <c r="Z12" s="418" t="s">
        <v>11</v>
      </c>
      <c r="AA12" s="418" t="s">
        <v>11</v>
      </c>
      <c r="AB12" s="421" t="s">
        <v>11</v>
      </c>
      <c r="AC12" s="424" t="s">
        <v>11</v>
      </c>
      <c r="AD12" s="418" t="s">
        <v>11</v>
      </c>
      <c r="AE12" s="418" t="s">
        <v>11</v>
      </c>
      <c r="AF12" s="418"/>
      <c r="AG12" s="421"/>
      <c r="AH12" s="424"/>
      <c r="AI12" s="418"/>
      <c r="AJ12" s="418"/>
      <c r="AK12" s="418"/>
      <c r="AL12" s="421" t="s">
        <v>11</v>
      </c>
      <c r="AM12" s="424" t="s">
        <v>11</v>
      </c>
      <c r="AN12" s="418" t="s">
        <v>11</v>
      </c>
      <c r="AO12" s="418" t="s">
        <v>11</v>
      </c>
      <c r="AP12" s="418" t="s">
        <v>11</v>
      </c>
      <c r="AQ12" s="421" t="s">
        <v>11</v>
      </c>
      <c r="AR12" s="424" t="s">
        <v>11</v>
      </c>
      <c r="AS12" s="418" t="s">
        <v>11</v>
      </c>
      <c r="AT12" s="418" t="s">
        <v>11</v>
      </c>
      <c r="AU12" s="418" t="s">
        <v>11</v>
      </c>
      <c r="AV12" s="421" t="s">
        <v>11</v>
      </c>
      <c r="AW12" s="424" t="s">
        <v>11</v>
      </c>
      <c r="AX12" s="418" t="s">
        <v>11</v>
      </c>
      <c r="AY12" s="418" t="s">
        <v>11</v>
      </c>
      <c r="AZ12" s="418" t="s">
        <v>11</v>
      </c>
      <c r="BA12" s="421" t="s">
        <v>11</v>
      </c>
      <c r="BB12" s="424"/>
      <c r="BC12" s="418"/>
      <c r="BD12" s="418"/>
      <c r="BE12" s="418"/>
      <c r="BF12" s="421"/>
      <c r="BG12" s="424"/>
      <c r="BH12" s="418" t="s">
        <v>11</v>
      </c>
      <c r="BI12" s="418" t="s">
        <v>11</v>
      </c>
      <c r="BJ12" s="418" t="s">
        <v>11</v>
      </c>
      <c r="BK12" s="421" t="s">
        <v>11</v>
      </c>
      <c r="BL12" s="424" t="s">
        <v>11</v>
      </c>
      <c r="BM12" s="421" t="s">
        <v>11</v>
      </c>
      <c r="BN12" s="168">
        <f t="shared" si="4"/>
        <v>0.22211290322580651</v>
      </c>
      <c r="BO12" s="168">
        <f t="shared" si="5"/>
        <v>0.20899999999999999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19</v>
      </c>
      <c r="B13" s="6"/>
      <c r="C13" s="395" t="s">
        <v>305</v>
      </c>
      <c r="D13" s="413">
        <f>MIN(Thickness!D13:D15)</f>
        <v>0.218</v>
      </c>
      <c r="E13" s="416">
        <f>MIN(Thickness!E13:E15)</f>
        <v>0.222</v>
      </c>
      <c r="F13" s="416">
        <f>MIN(Thickness!F13:F15)</f>
        <v>0.21199999999999999</v>
      </c>
      <c r="G13" s="416">
        <f>MIN(Thickness!G13:G15)</f>
        <v>0.222</v>
      </c>
      <c r="H13" s="419">
        <f>MIN(Thickness!H13:H15)</f>
        <v>0.219</v>
      </c>
      <c r="I13" s="422">
        <f>MIN(Thickness!I13:I15)</f>
        <v>0.219</v>
      </c>
      <c r="J13" s="416">
        <f>MIN(Thickness!J13:J15)</f>
        <v>0.214</v>
      </c>
      <c r="K13" s="416">
        <f>MIN(Thickness!K13:K15)</f>
        <v>0.21199999999999999</v>
      </c>
      <c r="L13" s="416">
        <f>MIN(Thickness!L13:L15)</f>
        <v>0.21299999999999999</v>
      </c>
      <c r="M13" s="419">
        <f>MIN(Thickness!M13:M15)</f>
        <v>0.215</v>
      </c>
      <c r="N13" s="422">
        <f>MIN(Thickness!N13:N15)</f>
        <v>0.218</v>
      </c>
      <c r="O13" s="416">
        <f>MIN(Thickness!O13:O15)</f>
        <v>0.214</v>
      </c>
      <c r="P13" s="416">
        <f>MIN(Thickness!P13:P15)</f>
        <v>0.222</v>
      </c>
      <c r="Q13" s="416">
        <f>MIN(Thickness!Q13:Q15)</f>
        <v>0.216</v>
      </c>
      <c r="R13" s="419">
        <f>MIN(Thickness!R13:R15)</f>
        <v>0.21099999999999999</v>
      </c>
      <c r="S13" s="422">
        <f>MIN(Thickness!S13:S15)</f>
        <v>0.20899999999999999</v>
      </c>
      <c r="T13" s="416">
        <f>MIN(Thickness!T13:T15)</f>
        <v>0.21299999999999999</v>
      </c>
      <c r="U13" s="416">
        <f>MIN(Thickness!U13:U15)</f>
        <v>0.214</v>
      </c>
      <c r="V13" s="416">
        <f>MIN(Thickness!V13:V15)</f>
        <v>0.214</v>
      </c>
      <c r="W13" s="419">
        <f>MIN(Thickness!W13:W15)</f>
        <v>0.219</v>
      </c>
      <c r="X13" s="422">
        <f>MIN(Thickness!X13:X15)</f>
        <v>0.21</v>
      </c>
      <c r="Y13" s="416">
        <f>MIN(Thickness!Y13:Y15)</f>
        <v>0.22</v>
      </c>
      <c r="Z13" s="416">
        <f>MIN(Thickness!Z13:Z15)</f>
        <v>0.223</v>
      </c>
      <c r="AA13" s="416">
        <f>MIN(Thickness!AA13:AA15)</f>
        <v>0.217</v>
      </c>
      <c r="AB13" s="419">
        <f>MIN(Thickness!AB13:AB15)</f>
        <v>0.218</v>
      </c>
      <c r="AC13" s="422">
        <f>MIN(Thickness!AC13:AC15)</f>
        <v>0.22600000000000001</v>
      </c>
      <c r="AD13" s="416">
        <f>MIN(Thickness!AD13:AD15)</f>
        <v>0.23</v>
      </c>
      <c r="AE13" s="416">
        <f>MIN(Thickness!AE13:AE15)</f>
        <v>0.224</v>
      </c>
      <c r="AF13" s="416">
        <f>MIN(Thickness!AF13:AF15)</f>
        <v>0.224</v>
      </c>
      <c r="AG13" s="419">
        <f>MIN(Thickness!AG13:AG15)</f>
        <v>0.221</v>
      </c>
      <c r="AH13" s="422">
        <f>MIN(Thickness!AH13:AH15)</f>
        <v>0.23</v>
      </c>
      <c r="AI13" s="416">
        <f>MIN(Thickness!AI13:AI15)</f>
        <v>0.23</v>
      </c>
      <c r="AJ13" s="416">
        <f>MIN(Thickness!AJ13:AJ15)</f>
        <v>0.22</v>
      </c>
      <c r="AK13" s="416">
        <f>MIN(Thickness!AK13:AK15)</f>
        <v>0.22700000000000001</v>
      </c>
      <c r="AL13" s="419">
        <f>MIN(Thickness!AL13:AL15)</f>
        <v>0.22700000000000001</v>
      </c>
      <c r="AM13" s="422">
        <f>MIN(Thickness!AM13:AM15)</f>
        <v>0.22900000000000001</v>
      </c>
      <c r="AN13" s="416">
        <f>MIN(Thickness!AN13:AN15)</f>
        <v>0.224</v>
      </c>
      <c r="AO13" s="416">
        <f>MIN(Thickness!AO13:AO15)</f>
        <v>0.24099999999999999</v>
      </c>
      <c r="AP13" s="416">
        <f>MIN(Thickness!AP13:AP15)</f>
        <v>0.224</v>
      </c>
      <c r="AQ13" s="419">
        <f>MIN(Thickness!AQ13:AQ15)</f>
        <v>0.22900000000000001</v>
      </c>
      <c r="AR13" s="422">
        <f>MIN(Thickness!AR13:AR15)</f>
        <v>0.22700000000000001</v>
      </c>
      <c r="AS13" s="416">
        <f>MIN(Thickness!AS13:AS15)</f>
        <v>0.224</v>
      </c>
      <c r="AT13" s="416">
        <f>MIN(Thickness!AT13:AT15)</f>
        <v>0.23100000000000001</v>
      </c>
      <c r="AU13" s="416">
        <f>MIN(Thickness!AU13:AU15)</f>
        <v>0.22800000000000001</v>
      </c>
      <c r="AV13" s="419">
        <f>MIN(Thickness!AV13:AV15)</f>
        <v>0.22700000000000001</v>
      </c>
      <c r="AW13" s="422">
        <f>MIN(Thickness!AW13:AW15)</f>
        <v>0.222</v>
      </c>
      <c r="AX13" s="416">
        <f>MIN(Thickness!AX13:AX15)</f>
        <v>0.224</v>
      </c>
      <c r="AY13" s="416">
        <f>MIN(Thickness!AY13:AY15)</f>
        <v>0.224</v>
      </c>
      <c r="AZ13" s="416">
        <f>MIN(Thickness!AZ13:AZ15)</f>
        <v>0.22700000000000001</v>
      </c>
      <c r="BA13" s="419">
        <f>MIN(Thickness!BA13:BA15)</f>
        <v>0.22600000000000001</v>
      </c>
      <c r="BB13" s="422">
        <f>MIN(Thickness!BB13:BB15)</f>
        <v>0.223</v>
      </c>
      <c r="BC13" s="416">
        <f>MIN(Thickness!BC13:BC15)</f>
        <v>0.222</v>
      </c>
      <c r="BD13" s="416">
        <f>MIN(Thickness!BD13:BD15)</f>
        <v>0.224</v>
      </c>
      <c r="BE13" s="416">
        <f>MIN(Thickness!BE13:BE15)</f>
        <v>0.22700000000000001</v>
      </c>
      <c r="BF13" s="419">
        <f>MIN(Thickness!BF13:BF15)</f>
        <v>0.223</v>
      </c>
      <c r="BG13" s="422">
        <f>MIN(Thickness!BG13:BG15)</f>
        <v>0.221</v>
      </c>
      <c r="BH13" s="416">
        <f>MIN(Thickness!BH13:BH15)</f>
        <v>0.224</v>
      </c>
      <c r="BI13" s="416">
        <f>MIN(Thickness!BI13:BI15)</f>
        <v>0.22500000000000001</v>
      </c>
      <c r="BJ13" s="416">
        <f>MIN(Thickness!BJ13:BJ15)</f>
        <v>0.22600000000000001</v>
      </c>
      <c r="BK13" s="419">
        <f>MIN(Thickness!BK13:BK15)</f>
        <v>0.216</v>
      </c>
      <c r="BL13" s="422">
        <f>MIN(Thickness!BL13:BL15)</f>
        <v>0.22</v>
      </c>
      <c r="BM13" s="419">
        <f>MIN(Thickness!BM13:BM15)</f>
        <v>0.25</v>
      </c>
      <c r="BN13" s="166">
        <f t="shared" ref="BN13:BN15" si="6">IFERROR(AVERAGE(D13:BM15),0)</f>
        <v>0.22211290322580651</v>
      </c>
      <c r="BO13" s="166">
        <f t="shared" ref="BO13:BO15" si="7">MIN(D13:BM15)</f>
        <v>0.20899999999999999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65">
        <v>8.3000000000000004E-2</v>
      </c>
      <c r="B14" s="7" t="s">
        <v>21</v>
      </c>
      <c r="C14" s="396"/>
      <c r="D14" s="414"/>
      <c r="E14" s="417"/>
      <c r="F14" s="417"/>
      <c r="G14" s="417"/>
      <c r="H14" s="420"/>
      <c r="I14" s="423"/>
      <c r="J14" s="417"/>
      <c r="K14" s="417"/>
      <c r="L14" s="417"/>
      <c r="M14" s="420"/>
      <c r="N14" s="423"/>
      <c r="O14" s="417"/>
      <c r="P14" s="417"/>
      <c r="Q14" s="417"/>
      <c r="R14" s="420"/>
      <c r="S14" s="423"/>
      <c r="T14" s="417"/>
      <c r="U14" s="417"/>
      <c r="V14" s="417"/>
      <c r="W14" s="420"/>
      <c r="X14" s="423"/>
      <c r="Y14" s="417"/>
      <c r="Z14" s="417"/>
      <c r="AA14" s="417"/>
      <c r="AB14" s="420"/>
      <c r="AC14" s="423"/>
      <c r="AD14" s="417"/>
      <c r="AE14" s="417"/>
      <c r="AF14" s="417"/>
      <c r="AG14" s="420"/>
      <c r="AH14" s="423"/>
      <c r="AI14" s="417"/>
      <c r="AJ14" s="417"/>
      <c r="AK14" s="417"/>
      <c r="AL14" s="420"/>
      <c r="AM14" s="423"/>
      <c r="AN14" s="417"/>
      <c r="AO14" s="417"/>
      <c r="AP14" s="417"/>
      <c r="AQ14" s="420"/>
      <c r="AR14" s="423"/>
      <c r="AS14" s="417"/>
      <c r="AT14" s="417"/>
      <c r="AU14" s="417"/>
      <c r="AV14" s="420"/>
      <c r="AW14" s="423"/>
      <c r="AX14" s="417"/>
      <c r="AY14" s="417"/>
      <c r="AZ14" s="417"/>
      <c r="BA14" s="420"/>
      <c r="BB14" s="423"/>
      <c r="BC14" s="417"/>
      <c r="BD14" s="417"/>
      <c r="BE14" s="417"/>
      <c r="BF14" s="420"/>
      <c r="BG14" s="423"/>
      <c r="BH14" s="417"/>
      <c r="BI14" s="417"/>
      <c r="BJ14" s="417"/>
      <c r="BK14" s="420"/>
      <c r="BL14" s="423"/>
      <c r="BM14" s="420"/>
      <c r="BN14" s="167">
        <f t="shared" si="6"/>
        <v>0.21440322580645158</v>
      </c>
      <c r="BO14" s="167">
        <f t="shared" si="7"/>
        <v>0.20599999999999999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65"/>
      <c r="B15" s="8"/>
      <c r="C15" s="396"/>
      <c r="D15" s="415"/>
      <c r="E15" s="418"/>
      <c r="F15" s="418"/>
      <c r="G15" s="418"/>
      <c r="H15" s="421"/>
      <c r="I15" s="424"/>
      <c r="J15" s="418"/>
      <c r="K15" s="418"/>
      <c r="L15" s="418"/>
      <c r="M15" s="421"/>
      <c r="N15" s="424"/>
      <c r="O15" s="418"/>
      <c r="P15" s="418"/>
      <c r="Q15" s="418"/>
      <c r="R15" s="421"/>
      <c r="S15" s="424"/>
      <c r="T15" s="418"/>
      <c r="U15" s="418"/>
      <c r="V15" s="418"/>
      <c r="W15" s="421"/>
      <c r="X15" s="424"/>
      <c r="Y15" s="418"/>
      <c r="Z15" s="418"/>
      <c r="AA15" s="418"/>
      <c r="AB15" s="421"/>
      <c r="AC15" s="424"/>
      <c r="AD15" s="418"/>
      <c r="AE15" s="418"/>
      <c r="AF15" s="418"/>
      <c r="AG15" s="421"/>
      <c r="AH15" s="424"/>
      <c r="AI15" s="418"/>
      <c r="AJ15" s="418"/>
      <c r="AK15" s="418"/>
      <c r="AL15" s="421"/>
      <c r="AM15" s="424"/>
      <c r="AN15" s="418"/>
      <c r="AO15" s="418"/>
      <c r="AP15" s="418"/>
      <c r="AQ15" s="421"/>
      <c r="AR15" s="424"/>
      <c r="AS15" s="418"/>
      <c r="AT15" s="418"/>
      <c r="AU15" s="418"/>
      <c r="AV15" s="421"/>
      <c r="AW15" s="424"/>
      <c r="AX15" s="418"/>
      <c r="AY15" s="418"/>
      <c r="AZ15" s="418"/>
      <c r="BA15" s="421"/>
      <c r="BB15" s="424"/>
      <c r="BC15" s="418"/>
      <c r="BD15" s="418"/>
      <c r="BE15" s="418"/>
      <c r="BF15" s="421"/>
      <c r="BG15" s="424"/>
      <c r="BH15" s="418"/>
      <c r="BI15" s="418"/>
      <c r="BJ15" s="418"/>
      <c r="BK15" s="421"/>
      <c r="BL15" s="424"/>
      <c r="BM15" s="421"/>
      <c r="BN15" s="168">
        <f t="shared" si="6"/>
        <v>0.21440322580645158</v>
      </c>
      <c r="BO15" s="168">
        <f t="shared" si="7"/>
        <v>0.20599999999999999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19</v>
      </c>
      <c r="B16" s="6"/>
      <c r="C16" s="395" t="s">
        <v>305</v>
      </c>
      <c r="D16" s="413">
        <f>MIN(Thickness!D16:D18)</f>
        <v>0.21199999999999999</v>
      </c>
      <c r="E16" s="416">
        <f>MIN(Thickness!E16:E18)</f>
        <v>0.21299999999999999</v>
      </c>
      <c r="F16" s="416">
        <f>MIN(Thickness!F16:F18)</f>
        <v>0.216</v>
      </c>
      <c r="G16" s="416">
        <f>MIN(Thickness!G16:G18)</f>
        <v>0.20899999999999999</v>
      </c>
      <c r="H16" s="419">
        <f>MIN(Thickness!H16:H18)</f>
        <v>0.20699999999999999</v>
      </c>
      <c r="I16" s="422">
        <f>MIN(Thickness!I16:I18)</f>
        <v>0.20799999999999999</v>
      </c>
      <c r="J16" s="416">
        <f>MIN(Thickness!J16:J18)</f>
        <v>0.21099999999999999</v>
      </c>
      <c r="K16" s="416">
        <f>MIN(Thickness!K16:K18)</f>
        <v>0.20899999999999999</v>
      </c>
      <c r="L16" s="416">
        <f>MIN(Thickness!L16:L18)</f>
        <v>0.215</v>
      </c>
      <c r="M16" s="419">
        <f>MIN(Thickness!M16:M18)</f>
        <v>0.21199999999999999</v>
      </c>
      <c r="N16" s="422">
        <f>MIN(Thickness!N16:N18)</f>
        <v>0.20599999999999999</v>
      </c>
      <c r="O16" s="416">
        <f>MIN(Thickness!O16:O18)</f>
        <v>0.20799999999999999</v>
      </c>
      <c r="P16" s="416">
        <f>MIN(Thickness!P16:P18)</f>
        <v>0.217</v>
      </c>
      <c r="Q16" s="416">
        <f>MIN(Thickness!Q16:Q18)</f>
        <v>0.218</v>
      </c>
      <c r="R16" s="419">
        <f>MIN(Thickness!R16:R18)</f>
        <v>0.215</v>
      </c>
      <c r="S16" s="422">
        <f>MIN(Thickness!S16:S18)</f>
        <v>0.21199999999999999</v>
      </c>
      <c r="T16" s="416">
        <f>MIN(Thickness!T16:T18)</f>
        <v>0.216</v>
      </c>
      <c r="U16" s="416">
        <f>MIN(Thickness!U16:U18)</f>
        <v>0.218</v>
      </c>
      <c r="V16" s="416">
        <f>MIN(Thickness!V16:V18)</f>
        <v>0.217</v>
      </c>
      <c r="W16" s="419">
        <f>MIN(Thickness!W16:W18)</f>
        <v>0.20799999999999999</v>
      </c>
      <c r="X16" s="422">
        <f>MIN(Thickness!X16:X18)</f>
        <v>0.22</v>
      </c>
      <c r="Y16" s="416">
        <f>MIN(Thickness!Y16:Y18)</f>
        <v>0.21199999999999999</v>
      </c>
      <c r="Z16" s="416">
        <f>MIN(Thickness!Z16:Z18)</f>
        <v>0.21199999999999999</v>
      </c>
      <c r="AA16" s="416">
        <f>MIN(Thickness!AA16:AA18)</f>
        <v>0.217</v>
      </c>
      <c r="AB16" s="419">
        <f>MIN(Thickness!AB16:AB18)</f>
        <v>0.219</v>
      </c>
      <c r="AC16" s="422">
        <f>MIN(Thickness!AC16:AC18)</f>
        <v>0.22</v>
      </c>
      <c r="AD16" s="416">
        <f>MIN(Thickness!AD16:AD18)</f>
        <v>0.222</v>
      </c>
      <c r="AE16" s="416">
        <f>MIN(Thickness!AE16:AE18)</f>
        <v>0.22</v>
      </c>
      <c r="AF16" s="416">
        <f>MIN(Thickness!AF16:AF18)</f>
        <v>0.21099999999999999</v>
      </c>
      <c r="AG16" s="419">
        <f>MIN(Thickness!AG16:AG18)</f>
        <v>0.219</v>
      </c>
      <c r="AH16" s="422">
        <f>MIN(Thickness!AH16:AH18)</f>
        <v>0.218</v>
      </c>
      <c r="AI16" s="416">
        <f>MIN(Thickness!AI16:AI18)</f>
        <v>0.221</v>
      </c>
      <c r="AJ16" s="416">
        <f>MIN(Thickness!AJ16:AJ18)</f>
        <v>0.221</v>
      </c>
      <c r="AK16" s="416">
        <f>MIN(Thickness!AK16:AK18)</f>
        <v>0.215</v>
      </c>
      <c r="AL16" s="419">
        <f>MIN(Thickness!AL16:AL18)</f>
        <v>0.215</v>
      </c>
      <c r="AM16" s="422">
        <f>MIN(Thickness!AM16:AM18)</f>
        <v>0.215</v>
      </c>
      <c r="AN16" s="416">
        <f>MIN(Thickness!AN16:AN18)</f>
        <v>0.216</v>
      </c>
      <c r="AO16" s="416">
        <f>MIN(Thickness!AO16:AO18)</f>
        <v>0.215</v>
      </c>
      <c r="AP16" s="416">
        <f>MIN(Thickness!AP16:AP18)</f>
        <v>0.21299999999999999</v>
      </c>
      <c r="AQ16" s="419">
        <f>MIN(Thickness!AQ16:AQ18)</f>
        <v>0.21299999999999999</v>
      </c>
      <c r="AR16" s="422">
        <f>MIN(Thickness!AR16:AR18)</f>
        <v>0.216</v>
      </c>
      <c r="AS16" s="416">
        <f>MIN(Thickness!AS16:AS18)</f>
        <v>0.217</v>
      </c>
      <c r="AT16" s="416">
        <f>MIN(Thickness!AT16:AT18)</f>
        <v>0.21</v>
      </c>
      <c r="AU16" s="416">
        <f>MIN(Thickness!AU16:AU18)</f>
        <v>0.21199999999999999</v>
      </c>
      <c r="AV16" s="419">
        <f>MIN(Thickness!AV16:AV18)</f>
        <v>0.218</v>
      </c>
      <c r="AW16" s="422">
        <f>MIN(Thickness!AW16:AW18)</f>
        <v>0.215</v>
      </c>
      <c r="AX16" s="416">
        <f>MIN(Thickness!AX16:AX18)</f>
        <v>0.21299999999999999</v>
      </c>
      <c r="AY16" s="416">
        <f>MIN(Thickness!AY16:AY18)</f>
        <v>0.215</v>
      </c>
      <c r="AZ16" s="416">
        <f>MIN(Thickness!AZ16:AZ18)</f>
        <v>0.21</v>
      </c>
      <c r="BA16" s="419">
        <f>MIN(Thickness!BA16:BA18)</f>
        <v>0.217</v>
      </c>
      <c r="BB16" s="422">
        <f>MIN(Thickness!BB16:BB18)</f>
        <v>0.22</v>
      </c>
      <c r="BC16" s="416">
        <f>MIN(Thickness!BC16:BC18)</f>
        <v>0.219</v>
      </c>
      <c r="BD16" s="416">
        <f>MIN(Thickness!BD16:BD18)</f>
        <v>0.216</v>
      </c>
      <c r="BE16" s="416">
        <f>MIN(Thickness!BE16:BE18)</f>
        <v>0.216</v>
      </c>
      <c r="BF16" s="419">
        <f>MIN(Thickness!BF16:BF18)</f>
        <v>0.217</v>
      </c>
      <c r="BG16" s="422">
        <f>MIN(Thickness!BG16:BG18)</f>
        <v>0.20799999999999999</v>
      </c>
      <c r="BH16" s="416">
        <f>MIN(Thickness!BH16:BH18)</f>
        <v>0.21099999999999999</v>
      </c>
      <c r="BI16" s="416">
        <f>MIN(Thickness!BI16:BI18)</f>
        <v>0.20599999999999999</v>
      </c>
      <c r="BJ16" s="416">
        <f>MIN(Thickness!BJ16:BJ18)</f>
        <v>0.20899999999999999</v>
      </c>
      <c r="BK16" s="419">
        <f>MIN(Thickness!BK16:BK18)</f>
        <v>0.21299999999999999</v>
      </c>
      <c r="BL16" s="422">
        <f>MIN(Thickness!BL16:BL18)</f>
        <v>0.216</v>
      </c>
      <c r="BM16" s="419">
        <f>MIN(Thickness!BM16:BM18)</f>
        <v>0.218</v>
      </c>
      <c r="BN16" s="166">
        <f t="shared" ref="BN16:BN18" si="8">IFERROR(AVERAGE(D16:BM18),0)</f>
        <v>0.21440322580645158</v>
      </c>
      <c r="BO16" s="166">
        <f t="shared" ref="BO16:BO18" si="9">MIN(D16:BM18)</f>
        <v>0.20599999999999999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65">
        <v>8.3000000000000004E-2</v>
      </c>
      <c r="B17" s="7" t="s">
        <v>22</v>
      </c>
      <c r="C17" s="396"/>
      <c r="D17" s="414"/>
      <c r="E17" s="417"/>
      <c r="F17" s="417"/>
      <c r="G17" s="417"/>
      <c r="H17" s="420"/>
      <c r="I17" s="423"/>
      <c r="J17" s="417"/>
      <c r="K17" s="417"/>
      <c r="L17" s="417"/>
      <c r="M17" s="420"/>
      <c r="N17" s="423"/>
      <c r="O17" s="417"/>
      <c r="P17" s="417"/>
      <c r="Q17" s="417"/>
      <c r="R17" s="420"/>
      <c r="S17" s="423"/>
      <c r="T17" s="417"/>
      <c r="U17" s="417"/>
      <c r="V17" s="417"/>
      <c r="W17" s="420"/>
      <c r="X17" s="423"/>
      <c r="Y17" s="417"/>
      <c r="Z17" s="417"/>
      <c r="AA17" s="417"/>
      <c r="AB17" s="420"/>
      <c r="AC17" s="423"/>
      <c r="AD17" s="417"/>
      <c r="AE17" s="417"/>
      <c r="AF17" s="417"/>
      <c r="AG17" s="420"/>
      <c r="AH17" s="423"/>
      <c r="AI17" s="417"/>
      <c r="AJ17" s="417"/>
      <c r="AK17" s="417"/>
      <c r="AL17" s="420"/>
      <c r="AM17" s="423"/>
      <c r="AN17" s="417"/>
      <c r="AO17" s="417"/>
      <c r="AP17" s="417"/>
      <c r="AQ17" s="420"/>
      <c r="AR17" s="423"/>
      <c r="AS17" s="417"/>
      <c r="AT17" s="417"/>
      <c r="AU17" s="417"/>
      <c r="AV17" s="420"/>
      <c r="AW17" s="423"/>
      <c r="AX17" s="417"/>
      <c r="AY17" s="417"/>
      <c r="AZ17" s="417"/>
      <c r="BA17" s="420"/>
      <c r="BB17" s="423"/>
      <c r="BC17" s="417"/>
      <c r="BD17" s="417"/>
      <c r="BE17" s="417"/>
      <c r="BF17" s="420"/>
      <c r="BG17" s="423"/>
      <c r="BH17" s="417"/>
      <c r="BI17" s="417"/>
      <c r="BJ17" s="417"/>
      <c r="BK17" s="420"/>
      <c r="BL17" s="423"/>
      <c r="BM17" s="420"/>
      <c r="BN17" s="167">
        <f t="shared" si="8"/>
        <v>0.21082258064516135</v>
      </c>
      <c r="BO17" s="167">
        <f t="shared" si="9"/>
        <v>0.193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65"/>
      <c r="B18" s="8"/>
      <c r="C18" s="396"/>
      <c r="D18" s="415"/>
      <c r="E18" s="418"/>
      <c r="F18" s="418"/>
      <c r="G18" s="418"/>
      <c r="H18" s="421"/>
      <c r="I18" s="424"/>
      <c r="J18" s="418"/>
      <c r="K18" s="418"/>
      <c r="L18" s="418"/>
      <c r="M18" s="421"/>
      <c r="N18" s="424"/>
      <c r="O18" s="418"/>
      <c r="P18" s="418"/>
      <c r="Q18" s="418"/>
      <c r="R18" s="421"/>
      <c r="S18" s="424"/>
      <c r="T18" s="418"/>
      <c r="U18" s="418"/>
      <c r="V18" s="418"/>
      <c r="W18" s="421"/>
      <c r="X18" s="424"/>
      <c r="Y18" s="418"/>
      <c r="Z18" s="418"/>
      <c r="AA18" s="418"/>
      <c r="AB18" s="421"/>
      <c r="AC18" s="424"/>
      <c r="AD18" s="418"/>
      <c r="AE18" s="418"/>
      <c r="AF18" s="418"/>
      <c r="AG18" s="421"/>
      <c r="AH18" s="424"/>
      <c r="AI18" s="418"/>
      <c r="AJ18" s="418"/>
      <c r="AK18" s="418"/>
      <c r="AL18" s="421"/>
      <c r="AM18" s="424"/>
      <c r="AN18" s="418"/>
      <c r="AO18" s="418"/>
      <c r="AP18" s="418"/>
      <c r="AQ18" s="421"/>
      <c r="AR18" s="424"/>
      <c r="AS18" s="418"/>
      <c r="AT18" s="418"/>
      <c r="AU18" s="418"/>
      <c r="AV18" s="421"/>
      <c r="AW18" s="424"/>
      <c r="AX18" s="418"/>
      <c r="AY18" s="418"/>
      <c r="AZ18" s="418"/>
      <c r="BA18" s="421"/>
      <c r="BB18" s="424"/>
      <c r="BC18" s="418"/>
      <c r="BD18" s="418"/>
      <c r="BE18" s="418"/>
      <c r="BF18" s="421"/>
      <c r="BG18" s="424"/>
      <c r="BH18" s="418"/>
      <c r="BI18" s="418"/>
      <c r="BJ18" s="418"/>
      <c r="BK18" s="421"/>
      <c r="BL18" s="424"/>
      <c r="BM18" s="421"/>
      <c r="BN18" s="168">
        <f t="shared" si="8"/>
        <v>0.21082258064516135</v>
      </c>
      <c r="BO18" s="168">
        <f t="shared" si="9"/>
        <v>0.193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19</v>
      </c>
      <c r="B19" s="6"/>
      <c r="C19" s="395" t="s">
        <v>305</v>
      </c>
      <c r="D19" s="413">
        <f>MIN(Thickness!D19:D21)</f>
        <v>0.219</v>
      </c>
      <c r="E19" s="416">
        <f>MIN(Thickness!E19:E21)</f>
        <v>0.21299999999999999</v>
      </c>
      <c r="F19" s="416">
        <f>MIN(Thickness!F19:F21)</f>
        <v>0.20799999999999999</v>
      </c>
      <c r="G19" s="416">
        <f>MIN(Thickness!G19:G21)</f>
        <v>0.214</v>
      </c>
      <c r="H19" s="419">
        <f>MIN(Thickness!H19:H21)</f>
        <v>0.214</v>
      </c>
      <c r="I19" s="422">
        <f>MIN(Thickness!I19:I21)</f>
        <v>0.20699999999999999</v>
      </c>
      <c r="J19" s="416">
        <f>MIN(Thickness!J19:J21)</f>
        <v>0.20499999999999999</v>
      </c>
      <c r="K19" s="416">
        <f>MIN(Thickness!K19:K21)</f>
        <v>0.193</v>
      </c>
      <c r="L19" s="416">
        <f>MIN(Thickness!L19:L21)</f>
        <v>0.20399999999999999</v>
      </c>
      <c r="M19" s="419">
        <f>MIN(Thickness!M19:M21)</f>
        <v>0.20899999999999999</v>
      </c>
      <c r="N19" s="422">
        <f>MIN(Thickness!N19:N21)</f>
        <v>0.21</v>
      </c>
      <c r="O19" s="416">
        <f>MIN(Thickness!O19:O21)</f>
        <v>0.20100000000000001</v>
      </c>
      <c r="P19" s="416">
        <f>MIN(Thickness!P19:P21)</f>
        <v>0.20599999999999999</v>
      </c>
      <c r="Q19" s="416">
        <f>MIN(Thickness!Q19:Q21)</f>
        <v>0.20799999999999999</v>
      </c>
      <c r="R19" s="419">
        <f>MIN(Thickness!R19:R21)</f>
        <v>0.216</v>
      </c>
      <c r="S19" s="422">
        <f>MIN(Thickness!S19:S21)</f>
        <v>0.21199999999999999</v>
      </c>
      <c r="T19" s="416">
        <f>MIN(Thickness!T19:T21)</f>
        <v>0.20499999999999999</v>
      </c>
      <c r="U19" s="416">
        <f>MIN(Thickness!U19:U21)</f>
        <v>0.21299999999999999</v>
      </c>
      <c r="V19" s="416">
        <f>MIN(Thickness!V19:V21)</f>
        <v>0.21</v>
      </c>
      <c r="W19" s="419">
        <f>MIN(Thickness!W19:W21)</f>
        <v>0.21</v>
      </c>
      <c r="X19" s="422">
        <f>MIN(Thickness!X19:X21)</f>
        <v>0.219</v>
      </c>
      <c r="Y19" s="416">
        <f>MIN(Thickness!Y19:Y21)</f>
        <v>0.21199999999999999</v>
      </c>
      <c r="Z19" s="416">
        <f>MIN(Thickness!Z19:Z21)</f>
        <v>0.216</v>
      </c>
      <c r="AA19" s="416">
        <f>MIN(Thickness!AA19:AA21)</f>
        <v>0.22</v>
      </c>
      <c r="AB19" s="419">
        <f>MIN(Thickness!AB19:AB21)</f>
        <v>0.21199999999999999</v>
      </c>
      <c r="AC19" s="422">
        <f>MIN(Thickness!AC19:AC21)</f>
        <v>0.216</v>
      </c>
      <c r="AD19" s="416">
        <f>MIN(Thickness!AD19:AD21)</f>
        <v>0.219</v>
      </c>
      <c r="AE19" s="416">
        <f>MIN(Thickness!AE19:AE21)</f>
        <v>0.216</v>
      </c>
      <c r="AF19" s="416">
        <f>MIN(Thickness!AF19:AF21)</f>
        <v>0.21199999999999999</v>
      </c>
      <c r="AG19" s="419">
        <f>MIN(Thickness!AG19:AG21)</f>
        <v>0.219</v>
      </c>
      <c r="AH19" s="422">
        <f>MIN(Thickness!AH19:AH21)</f>
        <v>0.216</v>
      </c>
      <c r="AI19" s="416">
        <f>MIN(Thickness!AI19:AI21)</f>
        <v>0.22</v>
      </c>
      <c r="AJ19" s="416">
        <f>MIN(Thickness!AJ19:AJ21)</f>
        <v>0.218</v>
      </c>
      <c r="AK19" s="416">
        <f>MIN(Thickness!AK19:AK21)</f>
        <v>0.217</v>
      </c>
      <c r="AL19" s="419">
        <f>MIN(Thickness!AL19:AL21)</f>
        <v>0.219</v>
      </c>
      <c r="AM19" s="422">
        <f>MIN(Thickness!AM19:AM21)</f>
        <v>0.21099999999999999</v>
      </c>
      <c r="AN19" s="416">
        <f>MIN(Thickness!AN19:AN21)</f>
        <v>0.21199999999999999</v>
      </c>
      <c r="AO19" s="416">
        <f>MIN(Thickness!AO19:AO21)</f>
        <v>0.20699999999999999</v>
      </c>
      <c r="AP19" s="416">
        <f>MIN(Thickness!AP19:AP21)</f>
        <v>0.20499999999999999</v>
      </c>
      <c r="AQ19" s="419">
        <f>MIN(Thickness!AQ19:AQ21)</f>
        <v>0.20100000000000001</v>
      </c>
      <c r="AR19" s="422">
        <f>MIN(Thickness!AR19:AR21)</f>
        <v>0.21</v>
      </c>
      <c r="AS19" s="416">
        <f>MIN(Thickness!AS19:AS21)</f>
        <v>0.20699999999999999</v>
      </c>
      <c r="AT19" s="416">
        <f>MIN(Thickness!AT19:AT21)</f>
        <v>0.20100000000000001</v>
      </c>
      <c r="AU19" s="416">
        <f>MIN(Thickness!AU19:AU21)</f>
        <v>0.20399999999999999</v>
      </c>
      <c r="AV19" s="419">
        <f>MIN(Thickness!AV19:AV21)</f>
        <v>0.20799999999999999</v>
      </c>
      <c r="AW19" s="422">
        <f>MIN(Thickness!AW19:AW21)</f>
        <v>0.21299999999999999</v>
      </c>
      <c r="AX19" s="416">
        <f>MIN(Thickness!AX19:AX21)</f>
        <v>0.21199999999999999</v>
      </c>
      <c r="AY19" s="416">
        <f>MIN(Thickness!AY19:AY21)</f>
        <v>0.21199999999999999</v>
      </c>
      <c r="AZ19" s="416">
        <f>MIN(Thickness!AZ19:AZ21)</f>
        <v>0.215</v>
      </c>
      <c r="BA19" s="419">
        <f>MIN(Thickness!BA19:BA21)</f>
        <v>0.21199999999999999</v>
      </c>
      <c r="BB19" s="422">
        <f>MIN(Thickness!BB19:BB21)</f>
        <v>0.21199999999999999</v>
      </c>
      <c r="BC19" s="416">
        <f>MIN(Thickness!BC19:BC21)</f>
        <v>0.215</v>
      </c>
      <c r="BD19" s="416">
        <f>MIN(Thickness!BD19:BD21)</f>
        <v>0.21199999999999999</v>
      </c>
      <c r="BE19" s="416">
        <f>MIN(Thickness!BE19:BE21)</f>
        <v>0.20399999999999999</v>
      </c>
      <c r="BF19" s="419">
        <f>MIN(Thickness!BF19:BF21)</f>
        <v>0.20599999999999999</v>
      </c>
      <c r="BG19" s="422">
        <f>MIN(Thickness!BG19:BG21)</f>
        <v>0.20399999999999999</v>
      </c>
      <c r="BH19" s="416">
        <f>MIN(Thickness!BH19:BH21)</f>
        <v>0.21</v>
      </c>
      <c r="BI19" s="416">
        <f>MIN(Thickness!BI19:BI21)</f>
        <v>0.21199999999999999</v>
      </c>
      <c r="BJ19" s="416">
        <f>MIN(Thickness!BJ19:BJ21)</f>
        <v>0.21</v>
      </c>
      <c r="BK19" s="419">
        <f>MIN(Thickness!BK19:BK21)</f>
        <v>0.21299999999999999</v>
      </c>
      <c r="BL19" s="422">
        <f>MIN(Thickness!BL19:BL21)</f>
        <v>0.20300000000000001</v>
      </c>
      <c r="BM19" s="419">
        <f>MIN(Thickness!BM19:BM21)</f>
        <v>0.21199999999999999</v>
      </c>
      <c r="BN19" s="166">
        <f t="shared" ref="BN19:BN21" si="10">IFERROR(AVERAGE(D19:BM21),0)</f>
        <v>0.21082258064516135</v>
      </c>
      <c r="BO19" s="166">
        <f t="shared" ref="BO19:BO21" si="11">MIN(D19:BM21)</f>
        <v>0.193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65">
        <v>8.3000000000000004E-2</v>
      </c>
      <c r="B20" s="7" t="s">
        <v>23</v>
      </c>
      <c r="C20" s="396"/>
      <c r="D20" s="414"/>
      <c r="E20" s="417"/>
      <c r="F20" s="417"/>
      <c r="G20" s="417"/>
      <c r="H20" s="420"/>
      <c r="I20" s="423"/>
      <c r="J20" s="417"/>
      <c r="K20" s="417"/>
      <c r="L20" s="417"/>
      <c r="M20" s="420"/>
      <c r="N20" s="423"/>
      <c r="O20" s="417"/>
      <c r="P20" s="417"/>
      <c r="Q20" s="417"/>
      <c r="R20" s="420"/>
      <c r="S20" s="423"/>
      <c r="T20" s="417"/>
      <c r="U20" s="417"/>
      <c r="V20" s="417"/>
      <c r="W20" s="420"/>
      <c r="X20" s="423"/>
      <c r="Y20" s="417"/>
      <c r="Z20" s="417"/>
      <c r="AA20" s="417"/>
      <c r="AB20" s="420"/>
      <c r="AC20" s="423"/>
      <c r="AD20" s="417"/>
      <c r="AE20" s="417"/>
      <c r="AF20" s="417"/>
      <c r="AG20" s="420"/>
      <c r="AH20" s="423"/>
      <c r="AI20" s="417"/>
      <c r="AJ20" s="417"/>
      <c r="AK20" s="417"/>
      <c r="AL20" s="420"/>
      <c r="AM20" s="423"/>
      <c r="AN20" s="417"/>
      <c r="AO20" s="417"/>
      <c r="AP20" s="417"/>
      <c r="AQ20" s="420"/>
      <c r="AR20" s="423"/>
      <c r="AS20" s="417"/>
      <c r="AT20" s="417"/>
      <c r="AU20" s="417"/>
      <c r="AV20" s="420"/>
      <c r="AW20" s="423"/>
      <c r="AX20" s="417"/>
      <c r="AY20" s="417"/>
      <c r="AZ20" s="417"/>
      <c r="BA20" s="420"/>
      <c r="BB20" s="423"/>
      <c r="BC20" s="417"/>
      <c r="BD20" s="417"/>
      <c r="BE20" s="417"/>
      <c r="BF20" s="420"/>
      <c r="BG20" s="423"/>
      <c r="BH20" s="417"/>
      <c r="BI20" s="417"/>
      <c r="BJ20" s="417"/>
      <c r="BK20" s="420"/>
      <c r="BL20" s="423"/>
      <c r="BM20" s="420"/>
      <c r="BN20" s="167">
        <f t="shared" si="10"/>
        <v>0.20796774193548387</v>
      </c>
      <c r="BO20" s="167">
        <f t="shared" si="11"/>
        <v>0.188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65"/>
      <c r="B21" s="8"/>
      <c r="C21" s="396"/>
      <c r="D21" s="415"/>
      <c r="E21" s="418"/>
      <c r="F21" s="418"/>
      <c r="G21" s="418"/>
      <c r="H21" s="421"/>
      <c r="I21" s="424"/>
      <c r="J21" s="418"/>
      <c r="K21" s="418"/>
      <c r="L21" s="418"/>
      <c r="M21" s="421"/>
      <c r="N21" s="424"/>
      <c r="O21" s="418"/>
      <c r="P21" s="418"/>
      <c r="Q21" s="418"/>
      <c r="R21" s="421"/>
      <c r="S21" s="424"/>
      <c r="T21" s="418"/>
      <c r="U21" s="418"/>
      <c r="V21" s="418"/>
      <c r="W21" s="421"/>
      <c r="X21" s="424"/>
      <c r="Y21" s="418"/>
      <c r="Z21" s="418"/>
      <c r="AA21" s="418"/>
      <c r="AB21" s="421"/>
      <c r="AC21" s="424"/>
      <c r="AD21" s="418"/>
      <c r="AE21" s="418"/>
      <c r="AF21" s="418"/>
      <c r="AG21" s="421"/>
      <c r="AH21" s="424"/>
      <c r="AI21" s="418"/>
      <c r="AJ21" s="418"/>
      <c r="AK21" s="418"/>
      <c r="AL21" s="421"/>
      <c r="AM21" s="424"/>
      <c r="AN21" s="418"/>
      <c r="AO21" s="418"/>
      <c r="AP21" s="418"/>
      <c r="AQ21" s="421"/>
      <c r="AR21" s="424"/>
      <c r="AS21" s="418"/>
      <c r="AT21" s="418"/>
      <c r="AU21" s="418"/>
      <c r="AV21" s="421"/>
      <c r="AW21" s="424"/>
      <c r="AX21" s="418"/>
      <c r="AY21" s="418"/>
      <c r="AZ21" s="418"/>
      <c r="BA21" s="421"/>
      <c r="BB21" s="424"/>
      <c r="BC21" s="418"/>
      <c r="BD21" s="418"/>
      <c r="BE21" s="418"/>
      <c r="BF21" s="421"/>
      <c r="BG21" s="424"/>
      <c r="BH21" s="418"/>
      <c r="BI21" s="418"/>
      <c r="BJ21" s="418"/>
      <c r="BK21" s="421"/>
      <c r="BL21" s="424"/>
      <c r="BM21" s="421"/>
      <c r="BN21" s="168">
        <f t="shared" si="10"/>
        <v>0.20796774193548387</v>
      </c>
      <c r="BO21" s="168">
        <f t="shared" si="11"/>
        <v>0.188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19</v>
      </c>
      <c r="B22" s="6"/>
      <c r="C22" s="395" t="s">
        <v>305</v>
      </c>
      <c r="D22" s="413">
        <f>MIN(Thickness!D22:D24)</f>
        <v>0.21199999999999999</v>
      </c>
      <c r="E22" s="416">
        <f>MIN(Thickness!E22:E24)</f>
        <v>0.22</v>
      </c>
      <c r="F22" s="416">
        <f>MIN(Thickness!F22:F24)</f>
        <v>0.214</v>
      </c>
      <c r="G22" s="416">
        <f>MIN(Thickness!G22:G24)</f>
        <v>0.214</v>
      </c>
      <c r="H22" s="419">
        <f>MIN(Thickness!H22:H24)</f>
        <v>0.20799999999999999</v>
      </c>
      <c r="I22" s="422">
        <f>MIN(Thickness!I22:I24)</f>
        <v>0.20799999999999999</v>
      </c>
      <c r="J22" s="416">
        <f>MIN(Thickness!J22:J24)</f>
        <v>0.20799999999999999</v>
      </c>
      <c r="K22" s="416">
        <f>MIN(Thickness!K22:K24)</f>
        <v>0.193</v>
      </c>
      <c r="L22" s="416">
        <f>MIN(Thickness!L22:L24)</f>
        <v>0.20799999999999999</v>
      </c>
      <c r="M22" s="419">
        <f>MIN(Thickness!M22:M24)</f>
        <v>0.19600000000000001</v>
      </c>
      <c r="N22" s="422">
        <f>MIN(Thickness!N22:N24)</f>
        <v>0.20100000000000001</v>
      </c>
      <c r="O22" s="416">
        <f>MIN(Thickness!O22:O24)</f>
        <v>0.188</v>
      </c>
      <c r="P22" s="416">
        <f>MIN(Thickness!P22:P24)</f>
        <v>0.193</v>
      </c>
      <c r="Q22" s="416">
        <f>MIN(Thickness!Q22:Q24)</f>
        <v>0.20699999999999999</v>
      </c>
      <c r="R22" s="419">
        <f>MIN(Thickness!R22:R24)</f>
        <v>0.19400000000000001</v>
      </c>
      <c r="S22" s="422">
        <f>MIN(Thickness!S22:S24)</f>
        <v>0.20100000000000001</v>
      </c>
      <c r="T22" s="416">
        <f>MIN(Thickness!T22:T24)</f>
        <v>0.193</v>
      </c>
      <c r="U22" s="416">
        <f>MIN(Thickness!U22:U24)</f>
        <v>0.20899999999999999</v>
      </c>
      <c r="V22" s="416">
        <f>MIN(Thickness!V22:V24)</f>
        <v>0.20899999999999999</v>
      </c>
      <c r="W22" s="419">
        <f>MIN(Thickness!W22:W24)</f>
        <v>0.214</v>
      </c>
      <c r="X22" s="422">
        <f>MIN(Thickness!X22:X24)</f>
        <v>0.214</v>
      </c>
      <c r="Y22" s="416">
        <f>MIN(Thickness!Y22:Y24)</f>
        <v>0.214</v>
      </c>
      <c r="Z22" s="416">
        <f>MIN(Thickness!Z22:Z24)</f>
        <v>0.214</v>
      </c>
      <c r="AA22" s="416">
        <f>MIN(Thickness!AA22:AA24)</f>
        <v>0.214</v>
      </c>
      <c r="AB22" s="419">
        <f>MIN(Thickness!AB22:AB24)</f>
        <v>0.217</v>
      </c>
      <c r="AC22" s="422">
        <f>MIN(Thickness!AC22:AC24)</f>
        <v>0.21299999999999999</v>
      </c>
      <c r="AD22" s="416">
        <f>MIN(Thickness!AD22:AD24)</f>
        <v>0.217</v>
      </c>
      <c r="AE22" s="416">
        <f>MIN(Thickness!AE22:AE24)</f>
        <v>0.21199999999999999</v>
      </c>
      <c r="AF22" s="416">
        <f>MIN(Thickness!AF22:AF24)</f>
        <v>0.216</v>
      </c>
      <c r="AG22" s="419">
        <f>MIN(Thickness!AG22:AG24)</f>
        <v>0.20899999999999999</v>
      </c>
      <c r="AH22" s="422">
        <f>MIN(Thickness!AH22:AH24)</f>
        <v>0.217</v>
      </c>
      <c r="AI22" s="416">
        <f>MIN(Thickness!AI22:AI24)</f>
        <v>0.217</v>
      </c>
      <c r="AJ22" s="416">
        <f>MIN(Thickness!AJ22:AJ24)</f>
        <v>0.21099999999999999</v>
      </c>
      <c r="AK22" s="416">
        <f>MIN(Thickness!AK22:AK24)</f>
        <v>0.214</v>
      </c>
      <c r="AL22" s="419">
        <f>MIN(Thickness!AL22:AL24)</f>
        <v>0.218</v>
      </c>
      <c r="AM22" s="422">
        <f>MIN(Thickness!AM22:AM24)</f>
        <v>0.20699999999999999</v>
      </c>
      <c r="AN22" s="416">
        <f>MIN(Thickness!AN22:AN24)</f>
        <v>0.21099999999999999</v>
      </c>
      <c r="AO22" s="416">
        <f>MIN(Thickness!AO22:AO24)</f>
        <v>0.19900000000000001</v>
      </c>
      <c r="AP22" s="416">
        <f>MIN(Thickness!AP22:AP24)</f>
        <v>0.21099999999999999</v>
      </c>
      <c r="AQ22" s="419">
        <f>MIN(Thickness!AQ22:AQ24)</f>
        <v>0.20200000000000001</v>
      </c>
      <c r="AR22" s="422">
        <f>MIN(Thickness!AR22:AR24)</f>
        <v>0.20599999999999999</v>
      </c>
      <c r="AS22" s="416">
        <f>MIN(Thickness!AS22:AS24)</f>
        <v>0.19800000000000001</v>
      </c>
      <c r="AT22" s="416">
        <f>MIN(Thickness!AT22:AT24)</f>
        <v>0.20200000000000001</v>
      </c>
      <c r="AU22" s="416">
        <f>MIN(Thickness!AU22:AU24)</f>
        <v>0.20599999999999999</v>
      </c>
      <c r="AV22" s="419">
        <f>MIN(Thickness!AV22:AV24)</f>
        <v>0.20300000000000001</v>
      </c>
      <c r="AW22" s="422">
        <f>MIN(Thickness!AW22:AW24)</f>
        <v>0.216</v>
      </c>
      <c r="AX22" s="416">
        <f>MIN(Thickness!AX22:AX24)</f>
        <v>0.20899999999999999</v>
      </c>
      <c r="AY22" s="416">
        <f>MIN(Thickness!AY22:AY24)</f>
        <v>0.20300000000000001</v>
      </c>
      <c r="AZ22" s="416">
        <f>MIN(Thickness!AZ22:AZ24)</f>
        <v>0.20499999999999999</v>
      </c>
      <c r="BA22" s="419">
        <f>MIN(Thickness!BA22:BA24)</f>
        <v>0.19900000000000001</v>
      </c>
      <c r="BB22" s="422">
        <f>MIN(Thickness!BB22:BB24)</f>
        <v>0.20300000000000001</v>
      </c>
      <c r="BC22" s="416">
        <f>MIN(Thickness!BC22:BC24)</f>
        <v>0.20399999999999999</v>
      </c>
      <c r="BD22" s="416">
        <f>MIN(Thickness!BD22:BD24)</f>
        <v>0.21</v>
      </c>
      <c r="BE22" s="416">
        <f>MIN(Thickness!BE22:BE24)</f>
        <v>0.21199999999999999</v>
      </c>
      <c r="BF22" s="419">
        <f>MIN(Thickness!BF22:BF24)</f>
        <v>0.21099999999999999</v>
      </c>
      <c r="BG22" s="422">
        <f>MIN(Thickness!BG22:BG24)</f>
        <v>0.20899999999999999</v>
      </c>
      <c r="BH22" s="416">
        <f>MIN(Thickness!BH22:BH24)</f>
        <v>0.20799999999999999</v>
      </c>
      <c r="BI22" s="416">
        <f>MIN(Thickness!BI22:BI24)</f>
        <v>0.21</v>
      </c>
      <c r="BJ22" s="416">
        <f>MIN(Thickness!BJ22:BJ24)</f>
        <v>0.21099999999999999</v>
      </c>
      <c r="BK22" s="419">
        <f>MIN(Thickness!BK22:BK24)</f>
        <v>0.21099999999999999</v>
      </c>
      <c r="BL22" s="422">
        <f>MIN(Thickness!BL22:BL24)</f>
        <v>0.21299999999999999</v>
      </c>
      <c r="BM22" s="419">
        <f>MIN(Thickness!BM22:BM24)</f>
        <v>0.20799999999999999</v>
      </c>
      <c r="BN22" s="166">
        <f t="shared" ref="BN22:BN24" si="12">IFERROR(AVERAGE(D22:BM24),0)</f>
        <v>0.20796774193548387</v>
      </c>
      <c r="BO22" s="166">
        <f t="shared" ref="BO22:BO24" si="13">MIN(D22:BM24)</f>
        <v>0.188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65">
        <v>8.3000000000000004E-2</v>
      </c>
      <c r="B23" s="7" t="s">
        <v>24</v>
      </c>
      <c r="C23" s="396"/>
      <c r="D23" s="414"/>
      <c r="E23" s="417"/>
      <c r="F23" s="417"/>
      <c r="G23" s="417"/>
      <c r="H23" s="420"/>
      <c r="I23" s="423"/>
      <c r="J23" s="417"/>
      <c r="K23" s="417"/>
      <c r="L23" s="417"/>
      <c r="M23" s="420"/>
      <c r="N23" s="423"/>
      <c r="O23" s="417"/>
      <c r="P23" s="417"/>
      <c r="Q23" s="417"/>
      <c r="R23" s="420"/>
      <c r="S23" s="423"/>
      <c r="T23" s="417"/>
      <c r="U23" s="417"/>
      <c r="V23" s="417"/>
      <c r="W23" s="420"/>
      <c r="X23" s="423"/>
      <c r="Y23" s="417"/>
      <c r="Z23" s="417"/>
      <c r="AA23" s="417"/>
      <c r="AB23" s="420"/>
      <c r="AC23" s="423"/>
      <c r="AD23" s="417"/>
      <c r="AE23" s="417"/>
      <c r="AF23" s="417"/>
      <c r="AG23" s="420"/>
      <c r="AH23" s="423"/>
      <c r="AI23" s="417"/>
      <c r="AJ23" s="417"/>
      <c r="AK23" s="417"/>
      <c r="AL23" s="420"/>
      <c r="AM23" s="423"/>
      <c r="AN23" s="417"/>
      <c r="AO23" s="417"/>
      <c r="AP23" s="417"/>
      <c r="AQ23" s="420"/>
      <c r="AR23" s="423"/>
      <c r="AS23" s="417"/>
      <c r="AT23" s="417"/>
      <c r="AU23" s="417"/>
      <c r="AV23" s="420"/>
      <c r="AW23" s="423"/>
      <c r="AX23" s="417"/>
      <c r="AY23" s="417"/>
      <c r="AZ23" s="417"/>
      <c r="BA23" s="420"/>
      <c r="BB23" s="423"/>
      <c r="BC23" s="417"/>
      <c r="BD23" s="417"/>
      <c r="BE23" s="417"/>
      <c r="BF23" s="420"/>
      <c r="BG23" s="423"/>
      <c r="BH23" s="417"/>
      <c r="BI23" s="417"/>
      <c r="BJ23" s="417"/>
      <c r="BK23" s="420"/>
      <c r="BL23" s="423"/>
      <c r="BM23" s="420"/>
      <c r="BN23" s="167">
        <f t="shared" si="12"/>
        <v>0.22150000000000003</v>
      </c>
      <c r="BO23" s="167">
        <f t="shared" si="13"/>
        <v>0.214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65"/>
      <c r="B24" s="8"/>
      <c r="C24" s="396"/>
      <c r="D24" s="415"/>
      <c r="E24" s="418"/>
      <c r="F24" s="418"/>
      <c r="G24" s="418"/>
      <c r="H24" s="421"/>
      <c r="I24" s="424"/>
      <c r="J24" s="418"/>
      <c r="K24" s="418"/>
      <c r="L24" s="418"/>
      <c r="M24" s="421"/>
      <c r="N24" s="424"/>
      <c r="O24" s="418"/>
      <c r="P24" s="418"/>
      <c r="Q24" s="418"/>
      <c r="R24" s="421"/>
      <c r="S24" s="424"/>
      <c r="T24" s="418"/>
      <c r="U24" s="418"/>
      <c r="V24" s="418"/>
      <c r="W24" s="421"/>
      <c r="X24" s="424"/>
      <c r="Y24" s="418"/>
      <c r="Z24" s="418"/>
      <c r="AA24" s="418"/>
      <c r="AB24" s="421"/>
      <c r="AC24" s="424"/>
      <c r="AD24" s="418"/>
      <c r="AE24" s="418"/>
      <c r="AF24" s="418"/>
      <c r="AG24" s="421"/>
      <c r="AH24" s="424"/>
      <c r="AI24" s="418"/>
      <c r="AJ24" s="418"/>
      <c r="AK24" s="418"/>
      <c r="AL24" s="421"/>
      <c r="AM24" s="424"/>
      <c r="AN24" s="418"/>
      <c r="AO24" s="418"/>
      <c r="AP24" s="418"/>
      <c r="AQ24" s="421"/>
      <c r="AR24" s="424"/>
      <c r="AS24" s="418"/>
      <c r="AT24" s="418"/>
      <c r="AU24" s="418"/>
      <c r="AV24" s="421"/>
      <c r="AW24" s="424"/>
      <c r="AX24" s="418"/>
      <c r="AY24" s="418"/>
      <c r="AZ24" s="418"/>
      <c r="BA24" s="421"/>
      <c r="BB24" s="424"/>
      <c r="BC24" s="418"/>
      <c r="BD24" s="418"/>
      <c r="BE24" s="418"/>
      <c r="BF24" s="421"/>
      <c r="BG24" s="424"/>
      <c r="BH24" s="418"/>
      <c r="BI24" s="418"/>
      <c r="BJ24" s="418"/>
      <c r="BK24" s="421"/>
      <c r="BL24" s="424"/>
      <c r="BM24" s="421"/>
      <c r="BN24" s="168">
        <f t="shared" si="12"/>
        <v>0.22150000000000003</v>
      </c>
      <c r="BO24" s="168">
        <f t="shared" si="13"/>
        <v>0.214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19</v>
      </c>
      <c r="B25" s="6" t="s">
        <v>9</v>
      </c>
      <c r="C25" s="395" t="s">
        <v>305</v>
      </c>
      <c r="D25" s="413" t="s">
        <v>11</v>
      </c>
      <c r="E25" s="416">
        <f>MIN(Thickness!E25:E27)</f>
        <v>0.22600000000000001</v>
      </c>
      <c r="F25" s="416">
        <f>MIN(Thickness!F25:F27)</f>
        <v>0.224</v>
      </c>
      <c r="G25" s="416">
        <f>MIN(Thickness!G25:G27)</f>
        <v>0.223</v>
      </c>
      <c r="H25" s="419">
        <f>MIN(Thickness!H25:H27)</f>
        <v>0.22</v>
      </c>
      <c r="I25" s="422" t="s">
        <v>11</v>
      </c>
      <c r="J25" s="416" t="s">
        <v>11</v>
      </c>
      <c r="K25" s="416" t="s">
        <v>11</v>
      </c>
      <c r="L25" s="416" t="s">
        <v>11</v>
      </c>
      <c r="M25" s="419" t="s">
        <v>11</v>
      </c>
      <c r="N25" s="422" t="s">
        <v>11</v>
      </c>
      <c r="O25" s="416" t="s">
        <v>11</v>
      </c>
      <c r="P25" s="416" t="s">
        <v>11</v>
      </c>
      <c r="Q25" s="416" t="s">
        <v>11</v>
      </c>
      <c r="R25" s="419" t="s">
        <v>11</v>
      </c>
      <c r="S25" s="422" t="s">
        <v>11</v>
      </c>
      <c r="T25" s="416" t="s">
        <v>11</v>
      </c>
      <c r="U25" s="416" t="s">
        <v>11</v>
      </c>
      <c r="V25" s="416" t="s">
        <v>11</v>
      </c>
      <c r="W25" s="419" t="s">
        <v>11</v>
      </c>
      <c r="X25" s="422" t="s">
        <v>11</v>
      </c>
      <c r="Y25" s="416" t="s">
        <v>11</v>
      </c>
      <c r="Z25" s="416" t="s">
        <v>11</v>
      </c>
      <c r="AA25" s="416" t="s">
        <v>11</v>
      </c>
      <c r="AB25" s="419" t="s">
        <v>11</v>
      </c>
      <c r="AC25" s="422" t="s">
        <v>11</v>
      </c>
      <c r="AD25" s="416" t="s">
        <v>11</v>
      </c>
      <c r="AE25" s="416" t="s">
        <v>11</v>
      </c>
      <c r="AF25" s="416" t="s">
        <v>11</v>
      </c>
      <c r="AG25" s="419" t="s">
        <v>11</v>
      </c>
      <c r="AH25" s="422" t="s">
        <v>11</v>
      </c>
      <c r="AI25" s="416" t="s">
        <v>11</v>
      </c>
      <c r="AJ25" s="416" t="s">
        <v>11</v>
      </c>
      <c r="AK25" s="416" t="s">
        <v>11</v>
      </c>
      <c r="AL25" s="419" t="s">
        <v>11</v>
      </c>
      <c r="AM25" s="422" t="s">
        <v>11</v>
      </c>
      <c r="AN25" s="416" t="s">
        <v>11</v>
      </c>
      <c r="AO25" s="416" t="s">
        <v>11</v>
      </c>
      <c r="AP25" s="416" t="s">
        <v>11</v>
      </c>
      <c r="AQ25" s="419" t="s">
        <v>11</v>
      </c>
      <c r="AR25" s="422" t="s">
        <v>11</v>
      </c>
      <c r="AS25" s="416" t="s">
        <v>11</v>
      </c>
      <c r="AT25" s="416" t="s">
        <v>11</v>
      </c>
      <c r="AU25" s="416" t="s">
        <v>11</v>
      </c>
      <c r="AV25" s="419" t="s">
        <v>11</v>
      </c>
      <c r="AW25" s="422" t="s">
        <v>11</v>
      </c>
      <c r="AX25" s="416" t="s">
        <v>11</v>
      </c>
      <c r="AY25" s="416" t="s">
        <v>11</v>
      </c>
      <c r="AZ25" s="416" t="s">
        <v>11</v>
      </c>
      <c r="BA25" s="419" t="s">
        <v>11</v>
      </c>
      <c r="BB25" s="422" t="s">
        <v>11</v>
      </c>
      <c r="BC25" s="416" t="s">
        <v>11</v>
      </c>
      <c r="BD25" s="416" t="s">
        <v>11</v>
      </c>
      <c r="BE25" s="416" t="s">
        <v>11</v>
      </c>
      <c r="BF25" s="419" t="s">
        <v>11</v>
      </c>
      <c r="BG25" s="422" t="s">
        <v>11</v>
      </c>
      <c r="BH25" s="416" t="s">
        <v>11</v>
      </c>
      <c r="BI25" s="416">
        <f>MIN(Thickness!BI25:BI27)</f>
        <v>0.219</v>
      </c>
      <c r="BJ25" s="416">
        <f>MIN(Thickness!BJ25:BJ27)</f>
        <v>0.219</v>
      </c>
      <c r="BK25" s="419">
        <f>MIN(Thickness!BK25:BK27)</f>
        <v>0.22700000000000001</v>
      </c>
      <c r="BL25" s="422">
        <f>MIN(Thickness!BL25:BL27)</f>
        <v>0.214</v>
      </c>
      <c r="BM25" s="419" t="s">
        <v>11</v>
      </c>
      <c r="BN25" s="166">
        <f t="shared" ref="BN25:BN27" si="14">IFERROR(AVERAGE(D25:BM27),0)</f>
        <v>0.22150000000000003</v>
      </c>
      <c r="BO25" s="166">
        <f t="shared" ref="BO25:BO27" si="15">MIN(D25:BM27)</f>
        <v>0.214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65">
        <v>8.3000000000000004E-2</v>
      </c>
      <c r="B26" s="7" t="s">
        <v>12</v>
      </c>
      <c r="C26" s="396"/>
      <c r="D26" s="414" t="s">
        <v>11</v>
      </c>
      <c r="E26" s="417"/>
      <c r="F26" s="417"/>
      <c r="G26" s="417"/>
      <c r="H26" s="420"/>
      <c r="I26" s="423" t="s">
        <v>11</v>
      </c>
      <c r="J26" s="417" t="s">
        <v>11</v>
      </c>
      <c r="K26" s="417" t="s">
        <v>11</v>
      </c>
      <c r="L26" s="417" t="s">
        <v>11</v>
      </c>
      <c r="M26" s="420" t="s">
        <v>11</v>
      </c>
      <c r="N26" s="423" t="s">
        <v>11</v>
      </c>
      <c r="O26" s="417" t="s">
        <v>11</v>
      </c>
      <c r="P26" s="417" t="s">
        <v>11</v>
      </c>
      <c r="Q26" s="417" t="s">
        <v>11</v>
      </c>
      <c r="R26" s="420" t="s">
        <v>11</v>
      </c>
      <c r="S26" s="423" t="s">
        <v>11</v>
      </c>
      <c r="T26" s="417" t="s">
        <v>11</v>
      </c>
      <c r="U26" s="417" t="s">
        <v>11</v>
      </c>
      <c r="V26" s="417" t="s">
        <v>11</v>
      </c>
      <c r="W26" s="420" t="s">
        <v>11</v>
      </c>
      <c r="X26" s="423" t="s">
        <v>11</v>
      </c>
      <c r="Y26" s="417" t="s">
        <v>11</v>
      </c>
      <c r="Z26" s="417" t="s">
        <v>11</v>
      </c>
      <c r="AA26" s="417" t="s">
        <v>11</v>
      </c>
      <c r="AB26" s="420" t="s">
        <v>11</v>
      </c>
      <c r="AC26" s="423" t="s">
        <v>11</v>
      </c>
      <c r="AD26" s="417" t="s">
        <v>11</v>
      </c>
      <c r="AE26" s="417" t="s">
        <v>11</v>
      </c>
      <c r="AF26" s="417" t="s">
        <v>11</v>
      </c>
      <c r="AG26" s="420" t="s">
        <v>11</v>
      </c>
      <c r="AH26" s="423" t="s">
        <v>11</v>
      </c>
      <c r="AI26" s="417" t="s">
        <v>11</v>
      </c>
      <c r="AJ26" s="417" t="s">
        <v>11</v>
      </c>
      <c r="AK26" s="417" t="s">
        <v>11</v>
      </c>
      <c r="AL26" s="420" t="s">
        <v>11</v>
      </c>
      <c r="AM26" s="423" t="s">
        <v>11</v>
      </c>
      <c r="AN26" s="417" t="s">
        <v>11</v>
      </c>
      <c r="AO26" s="417" t="s">
        <v>11</v>
      </c>
      <c r="AP26" s="417" t="s">
        <v>11</v>
      </c>
      <c r="AQ26" s="420" t="s">
        <v>11</v>
      </c>
      <c r="AR26" s="423" t="s">
        <v>11</v>
      </c>
      <c r="AS26" s="417" t="s">
        <v>11</v>
      </c>
      <c r="AT26" s="417" t="s">
        <v>11</v>
      </c>
      <c r="AU26" s="417" t="s">
        <v>11</v>
      </c>
      <c r="AV26" s="420" t="s">
        <v>11</v>
      </c>
      <c r="AW26" s="423" t="s">
        <v>11</v>
      </c>
      <c r="AX26" s="417" t="s">
        <v>11</v>
      </c>
      <c r="AY26" s="417" t="s">
        <v>11</v>
      </c>
      <c r="AZ26" s="417" t="s">
        <v>11</v>
      </c>
      <c r="BA26" s="420" t="s">
        <v>11</v>
      </c>
      <c r="BB26" s="423" t="s">
        <v>11</v>
      </c>
      <c r="BC26" s="417" t="s">
        <v>11</v>
      </c>
      <c r="BD26" s="417" t="s">
        <v>11</v>
      </c>
      <c r="BE26" s="417" t="s">
        <v>11</v>
      </c>
      <c r="BF26" s="420" t="s">
        <v>11</v>
      </c>
      <c r="BG26" s="423" t="s">
        <v>11</v>
      </c>
      <c r="BH26" s="417" t="s">
        <v>11</v>
      </c>
      <c r="BI26" s="417"/>
      <c r="BJ26" s="417"/>
      <c r="BK26" s="420"/>
      <c r="BL26" s="423"/>
      <c r="BM26" s="420" t="s">
        <v>11</v>
      </c>
      <c r="BN26" s="167">
        <f t="shared" si="14"/>
        <v>0.21900000000000003</v>
      </c>
      <c r="BO26" s="167">
        <f t="shared" si="15"/>
        <v>0.217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65"/>
      <c r="B27" s="8" t="s">
        <v>25</v>
      </c>
      <c r="C27" s="396"/>
      <c r="D27" s="415" t="s">
        <v>11</v>
      </c>
      <c r="E27" s="418"/>
      <c r="F27" s="418"/>
      <c r="G27" s="418"/>
      <c r="H27" s="421"/>
      <c r="I27" s="424" t="s">
        <v>11</v>
      </c>
      <c r="J27" s="418" t="s">
        <v>11</v>
      </c>
      <c r="K27" s="418" t="s">
        <v>11</v>
      </c>
      <c r="L27" s="418" t="s">
        <v>11</v>
      </c>
      <c r="M27" s="421" t="s">
        <v>11</v>
      </c>
      <c r="N27" s="424" t="s">
        <v>11</v>
      </c>
      <c r="O27" s="418" t="s">
        <v>11</v>
      </c>
      <c r="P27" s="418" t="s">
        <v>11</v>
      </c>
      <c r="Q27" s="418" t="s">
        <v>11</v>
      </c>
      <c r="R27" s="421" t="s">
        <v>11</v>
      </c>
      <c r="S27" s="424" t="s">
        <v>11</v>
      </c>
      <c r="T27" s="418" t="s">
        <v>11</v>
      </c>
      <c r="U27" s="418" t="s">
        <v>11</v>
      </c>
      <c r="V27" s="418" t="s">
        <v>11</v>
      </c>
      <c r="W27" s="421" t="s">
        <v>11</v>
      </c>
      <c r="X27" s="424" t="s">
        <v>11</v>
      </c>
      <c r="Y27" s="418" t="s">
        <v>11</v>
      </c>
      <c r="Z27" s="418" t="s">
        <v>11</v>
      </c>
      <c r="AA27" s="418" t="s">
        <v>11</v>
      </c>
      <c r="AB27" s="421" t="s">
        <v>11</v>
      </c>
      <c r="AC27" s="424" t="s">
        <v>11</v>
      </c>
      <c r="AD27" s="418" t="s">
        <v>11</v>
      </c>
      <c r="AE27" s="418" t="s">
        <v>11</v>
      </c>
      <c r="AF27" s="418" t="s">
        <v>11</v>
      </c>
      <c r="AG27" s="421" t="s">
        <v>11</v>
      </c>
      <c r="AH27" s="424" t="s">
        <v>11</v>
      </c>
      <c r="AI27" s="418" t="s">
        <v>11</v>
      </c>
      <c r="AJ27" s="418" t="s">
        <v>11</v>
      </c>
      <c r="AK27" s="418" t="s">
        <v>11</v>
      </c>
      <c r="AL27" s="421" t="s">
        <v>11</v>
      </c>
      <c r="AM27" s="424" t="s">
        <v>11</v>
      </c>
      <c r="AN27" s="418" t="s">
        <v>11</v>
      </c>
      <c r="AO27" s="418" t="s">
        <v>11</v>
      </c>
      <c r="AP27" s="418" t="s">
        <v>11</v>
      </c>
      <c r="AQ27" s="421" t="s">
        <v>11</v>
      </c>
      <c r="AR27" s="424" t="s">
        <v>11</v>
      </c>
      <c r="AS27" s="418" t="s">
        <v>11</v>
      </c>
      <c r="AT27" s="418" t="s">
        <v>11</v>
      </c>
      <c r="AU27" s="418" t="s">
        <v>11</v>
      </c>
      <c r="AV27" s="421" t="s">
        <v>11</v>
      </c>
      <c r="AW27" s="424" t="s">
        <v>11</v>
      </c>
      <c r="AX27" s="418" t="s">
        <v>11</v>
      </c>
      <c r="AY27" s="418" t="s">
        <v>11</v>
      </c>
      <c r="AZ27" s="418" t="s">
        <v>11</v>
      </c>
      <c r="BA27" s="421" t="s">
        <v>11</v>
      </c>
      <c r="BB27" s="424" t="s">
        <v>11</v>
      </c>
      <c r="BC27" s="418" t="s">
        <v>11</v>
      </c>
      <c r="BD27" s="418" t="s">
        <v>11</v>
      </c>
      <c r="BE27" s="418" t="s">
        <v>11</v>
      </c>
      <c r="BF27" s="421" t="s">
        <v>11</v>
      </c>
      <c r="BG27" s="424" t="s">
        <v>11</v>
      </c>
      <c r="BH27" s="418" t="s">
        <v>11</v>
      </c>
      <c r="BI27" s="418"/>
      <c r="BJ27" s="418"/>
      <c r="BK27" s="421"/>
      <c r="BL27" s="424"/>
      <c r="BM27" s="421" t="s">
        <v>11</v>
      </c>
      <c r="BN27" s="168">
        <f t="shared" si="14"/>
        <v>0.21900000000000003</v>
      </c>
      <c r="BO27" s="168">
        <f t="shared" si="15"/>
        <v>0.217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19</v>
      </c>
      <c r="B28" s="6" t="s">
        <v>15</v>
      </c>
      <c r="C28" s="395" t="s">
        <v>305</v>
      </c>
      <c r="D28" s="413" t="s">
        <v>11</v>
      </c>
      <c r="E28" s="416">
        <f>MIN(Thickness!E28:E30)</f>
        <v>0.217</v>
      </c>
      <c r="F28" s="416">
        <f>MIN(Thickness!F28:F30)</f>
        <v>0.219</v>
      </c>
      <c r="G28" s="416">
        <f>MIN(Thickness!G28:G30)</f>
        <v>0.221</v>
      </c>
      <c r="H28" s="419">
        <f>MIN(Thickness!H28:H30)</f>
        <v>0.221</v>
      </c>
      <c r="I28" s="422" t="s">
        <v>11</v>
      </c>
      <c r="J28" s="416" t="s">
        <v>11</v>
      </c>
      <c r="K28" s="416" t="s">
        <v>11</v>
      </c>
      <c r="L28" s="416" t="s">
        <v>11</v>
      </c>
      <c r="M28" s="419" t="s">
        <v>11</v>
      </c>
      <c r="N28" s="422" t="s">
        <v>11</v>
      </c>
      <c r="O28" s="416" t="s">
        <v>11</v>
      </c>
      <c r="P28" s="416" t="s">
        <v>11</v>
      </c>
      <c r="Q28" s="416" t="s">
        <v>11</v>
      </c>
      <c r="R28" s="419" t="s">
        <v>11</v>
      </c>
      <c r="S28" s="422" t="s">
        <v>11</v>
      </c>
      <c r="T28" s="416" t="s">
        <v>11</v>
      </c>
      <c r="U28" s="416" t="s">
        <v>11</v>
      </c>
      <c r="V28" s="416" t="s">
        <v>11</v>
      </c>
      <c r="W28" s="419" t="s">
        <v>11</v>
      </c>
      <c r="X28" s="422" t="s">
        <v>11</v>
      </c>
      <c r="Y28" s="416" t="s">
        <v>11</v>
      </c>
      <c r="Z28" s="416" t="s">
        <v>11</v>
      </c>
      <c r="AA28" s="416" t="s">
        <v>11</v>
      </c>
      <c r="AB28" s="419" t="s">
        <v>11</v>
      </c>
      <c r="AC28" s="422" t="s">
        <v>11</v>
      </c>
      <c r="AD28" s="416" t="s">
        <v>11</v>
      </c>
      <c r="AE28" s="416" t="s">
        <v>11</v>
      </c>
      <c r="AF28" s="416" t="s">
        <v>11</v>
      </c>
      <c r="AG28" s="419" t="s">
        <v>11</v>
      </c>
      <c r="AH28" s="422" t="s">
        <v>11</v>
      </c>
      <c r="AI28" s="416" t="s">
        <v>11</v>
      </c>
      <c r="AJ28" s="416" t="s">
        <v>11</v>
      </c>
      <c r="AK28" s="416" t="s">
        <v>11</v>
      </c>
      <c r="AL28" s="419" t="s">
        <v>11</v>
      </c>
      <c r="AM28" s="422" t="s">
        <v>11</v>
      </c>
      <c r="AN28" s="416" t="s">
        <v>11</v>
      </c>
      <c r="AO28" s="416" t="s">
        <v>11</v>
      </c>
      <c r="AP28" s="416" t="s">
        <v>11</v>
      </c>
      <c r="AQ28" s="419" t="s">
        <v>11</v>
      </c>
      <c r="AR28" s="422" t="s">
        <v>11</v>
      </c>
      <c r="AS28" s="416" t="s">
        <v>11</v>
      </c>
      <c r="AT28" s="416" t="s">
        <v>11</v>
      </c>
      <c r="AU28" s="416" t="s">
        <v>11</v>
      </c>
      <c r="AV28" s="419" t="s">
        <v>11</v>
      </c>
      <c r="AW28" s="422" t="s">
        <v>11</v>
      </c>
      <c r="AX28" s="416" t="s">
        <v>11</v>
      </c>
      <c r="AY28" s="416" t="s">
        <v>11</v>
      </c>
      <c r="AZ28" s="416" t="s">
        <v>11</v>
      </c>
      <c r="BA28" s="419" t="s">
        <v>11</v>
      </c>
      <c r="BB28" s="422" t="s">
        <v>11</v>
      </c>
      <c r="BC28" s="416" t="s">
        <v>11</v>
      </c>
      <c r="BD28" s="416" t="s">
        <v>11</v>
      </c>
      <c r="BE28" s="416" t="s">
        <v>11</v>
      </c>
      <c r="BF28" s="419" t="s">
        <v>11</v>
      </c>
      <c r="BG28" s="422" t="s">
        <v>11</v>
      </c>
      <c r="BH28" s="416" t="s">
        <v>11</v>
      </c>
      <c r="BI28" s="416">
        <f>MIN(Thickness!BI28:BI30)</f>
        <v>0.22</v>
      </c>
      <c r="BJ28" s="416">
        <f>MIN(Thickness!BJ28:BJ30)</f>
        <v>0.219</v>
      </c>
      <c r="BK28" s="419">
        <f>MIN(Thickness!BK28:BK30)</f>
        <v>0.218</v>
      </c>
      <c r="BL28" s="422">
        <f>MIN(Thickness!BL28:BL30)</f>
        <v>0.217</v>
      </c>
      <c r="BM28" s="419" t="s">
        <v>11</v>
      </c>
      <c r="BN28" s="166">
        <f t="shared" ref="BN28:BN30" si="16">IFERROR(AVERAGE(D28:BM30),0)</f>
        <v>0.21900000000000003</v>
      </c>
      <c r="BO28" s="166">
        <f t="shared" ref="BO28:BO30" si="17">MIN(D28:BM30)</f>
        <v>0.217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65">
        <v>8.3000000000000004E-2</v>
      </c>
      <c r="B29" s="7" t="s">
        <v>12</v>
      </c>
      <c r="C29" s="396"/>
      <c r="D29" s="414" t="s">
        <v>11</v>
      </c>
      <c r="E29" s="417"/>
      <c r="F29" s="417"/>
      <c r="G29" s="417"/>
      <c r="H29" s="420"/>
      <c r="I29" s="423" t="s">
        <v>11</v>
      </c>
      <c r="J29" s="417" t="s">
        <v>11</v>
      </c>
      <c r="K29" s="417" t="s">
        <v>11</v>
      </c>
      <c r="L29" s="417" t="s">
        <v>11</v>
      </c>
      <c r="M29" s="420" t="s">
        <v>11</v>
      </c>
      <c r="N29" s="423" t="s">
        <v>11</v>
      </c>
      <c r="O29" s="417" t="s">
        <v>11</v>
      </c>
      <c r="P29" s="417" t="s">
        <v>11</v>
      </c>
      <c r="Q29" s="417" t="s">
        <v>11</v>
      </c>
      <c r="R29" s="420" t="s">
        <v>11</v>
      </c>
      <c r="S29" s="423" t="s">
        <v>11</v>
      </c>
      <c r="T29" s="417" t="s">
        <v>11</v>
      </c>
      <c r="U29" s="417" t="s">
        <v>11</v>
      </c>
      <c r="V29" s="417" t="s">
        <v>11</v>
      </c>
      <c r="W29" s="420" t="s">
        <v>11</v>
      </c>
      <c r="X29" s="423" t="s">
        <v>11</v>
      </c>
      <c r="Y29" s="417" t="s">
        <v>11</v>
      </c>
      <c r="Z29" s="417" t="s">
        <v>11</v>
      </c>
      <c r="AA29" s="417" t="s">
        <v>11</v>
      </c>
      <c r="AB29" s="420" t="s">
        <v>11</v>
      </c>
      <c r="AC29" s="423" t="s">
        <v>11</v>
      </c>
      <c r="AD29" s="417" t="s">
        <v>11</v>
      </c>
      <c r="AE29" s="417" t="s">
        <v>11</v>
      </c>
      <c r="AF29" s="417" t="s">
        <v>11</v>
      </c>
      <c r="AG29" s="420" t="s">
        <v>11</v>
      </c>
      <c r="AH29" s="423" t="s">
        <v>11</v>
      </c>
      <c r="AI29" s="417" t="s">
        <v>11</v>
      </c>
      <c r="AJ29" s="417" t="s">
        <v>11</v>
      </c>
      <c r="AK29" s="417" t="s">
        <v>11</v>
      </c>
      <c r="AL29" s="420" t="s">
        <v>11</v>
      </c>
      <c r="AM29" s="423" t="s">
        <v>11</v>
      </c>
      <c r="AN29" s="417" t="s">
        <v>11</v>
      </c>
      <c r="AO29" s="417" t="s">
        <v>11</v>
      </c>
      <c r="AP29" s="417" t="s">
        <v>11</v>
      </c>
      <c r="AQ29" s="420" t="s">
        <v>11</v>
      </c>
      <c r="AR29" s="423" t="s">
        <v>11</v>
      </c>
      <c r="AS29" s="417" t="s">
        <v>11</v>
      </c>
      <c r="AT29" s="417" t="s">
        <v>11</v>
      </c>
      <c r="AU29" s="417" t="s">
        <v>11</v>
      </c>
      <c r="AV29" s="420" t="s">
        <v>11</v>
      </c>
      <c r="AW29" s="423" t="s">
        <v>11</v>
      </c>
      <c r="AX29" s="417" t="s">
        <v>11</v>
      </c>
      <c r="AY29" s="417" t="s">
        <v>11</v>
      </c>
      <c r="AZ29" s="417" t="s">
        <v>11</v>
      </c>
      <c r="BA29" s="420" t="s">
        <v>11</v>
      </c>
      <c r="BB29" s="423" t="s">
        <v>11</v>
      </c>
      <c r="BC29" s="417" t="s">
        <v>11</v>
      </c>
      <c r="BD29" s="417" t="s">
        <v>11</v>
      </c>
      <c r="BE29" s="417" t="s">
        <v>11</v>
      </c>
      <c r="BF29" s="420" t="s">
        <v>11</v>
      </c>
      <c r="BG29" s="423" t="s">
        <v>11</v>
      </c>
      <c r="BH29" s="417" t="s">
        <v>11</v>
      </c>
      <c r="BI29" s="417"/>
      <c r="BJ29" s="417"/>
      <c r="BK29" s="420"/>
      <c r="BL29" s="423"/>
      <c r="BM29" s="420" t="s">
        <v>11</v>
      </c>
      <c r="BN29" s="167">
        <f t="shared" si="16"/>
        <v>0.22037500000000002</v>
      </c>
      <c r="BO29" s="167">
        <f t="shared" si="17"/>
        <v>0.21299999999999999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65"/>
      <c r="B30" s="8" t="s">
        <v>25</v>
      </c>
      <c r="C30" s="396"/>
      <c r="D30" s="415" t="s">
        <v>11</v>
      </c>
      <c r="E30" s="418"/>
      <c r="F30" s="418"/>
      <c r="G30" s="418"/>
      <c r="H30" s="421"/>
      <c r="I30" s="424" t="s">
        <v>11</v>
      </c>
      <c r="J30" s="418" t="s">
        <v>11</v>
      </c>
      <c r="K30" s="418" t="s">
        <v>11</v>
      </c>
      <c r="L30" s="418" t="s">
        <v>11</v>
      </c>
      <c r="M30" s="421" t="s">
        <v>11</v>
      </c>
      <c r="N30" s="424" t="s">
        <v>11</v>
      </c>
      <c r="O30" s="418" t="s">
        <v>11</v>
      </c>
      <c r="P30" s="418" t="s">
        <v>11</v>
      </c>
      <c r="Q30" s="418" t="s">
        <v>11</v>
      </c>
      <c r="R30" s="421" t="s">
        <v>11</v>
      </c>
      <c r="S30" s="424" t="s">
        <v>11</v>
      </c>
      <c r="T30" s="418" t="s">
        <v>11</v>
      </c>
      <c r="U30" s="418" t="s">
        <v>11</v>
      </c>
      <c r="V30" s="418" t="s">
        <v>11</v>
      </c>
      <c r="W30" s="421" t="s">
        <v>11</v>
      </c>
      <c r="X30" s="424" t="s">
        <v>11</v>
      </c>
      <c r="Y30" s="418" t="s">
        <v>11</v>
      </c>
      <c r="Z30" s="418" t="s">
        <v>11</v>
      </c>
      <c r="AA30" s="418" t="s">
        <v>11</v>
      </c>
      <c r="AB30" s="421" t="s">
        <v>11</v>
      </c>
      <c r="AC30" s="424" t="s">
        <v>11</v>
      </c>
      <c r="AD30" s="418" t="s">
        <v>11</v>
      </c>
      <c r="AE30" s="418" t="s">
        <v>11</v>
      </c>
      <c r="AF30" s="418" t="s">
        <v>11</v>
      </c>
      <c r="AG30" s="421" t="s">
        <v>11</v>
      </c>
      <c r="AH30" s="424" t="s">
        <v>11</v>
      </c>
      <c r="AI30" s="418" t="s">
        <v>11</v>
      </c>
      <c r="AJ30" s="418" t="s">
        <v>11</v>
      </c>
      <c r="AK30" s="418" t="s">
        <v>11</v>
      </c>
      <c r="AL30" s="421" t="s">
        <v>11</v>
      </c>
      <c r="AM30" s="424" t="s">
        <v>11</v>
      </c>
      <c r="AN30" s="418" t="s">
        <v>11</v>
      </c>
      <c r="AO30" s="418" t="s">
        <v>11</v>
      </c>
      <c r="AP30" s="418" t="s">
        <v>11</v>
      </c>
      <c r="AQ30" s="421" t="s">
        <v>11</v>
      </c>
      <c r="AR30" s="424" t="s">
        <v>11</v>
      </c>
      <c r="AS30" s="418" t="s">
        <v>11</v>
      </c>
      <c r="AT30" s="418" t="s">
        <v>11</v>
      </c>
      <c r="AU30" s="418" t="s">
        <v>11</v>
      </c>
      <c r="AV30" s="421" t="s">
        <v>11</v>
      </c>
      <c r="AW30" s="424" t="s">
        <v>11</v>
      </c>
      <c r="AX30" s="418" t="s">
        <v>11</v>
      </c>
      <c r="AY30" s="418" t="s">
        <v>11</v>
      </c>
      <c r="AZ30" s="418" t="s">
        <v>11</v>
      </c>
      <c r="BA30" s="421" t="s">
        <v>11</v>
      </c>
      <c r="BB30" s="424" t="s">
        <v>11</v>
      </c>
      <c r="BC30" s="418" t="s">
        <v>11</v>
      </c>
      <c r="BD30" s="418" t="s">
        <v>11</v>
      </c>
      <c r="BE30" s="418" t="s">
        <v>11</v>
      </c>
      <c r="BF30" s="421" t="s">
        <v>11</v>
      </c>
      <c r="BG30" s="424" t="s">
        <v>11</v>
      </c>
      <c r="BH30" s="418" t="s">
        <v>11</v>
      </c>
      <c r="BI30" s="418"/>
      <c r="BJ30" s="418"/>
      <c r="BK30" s="421"/>
      <c r="BL30" s="424"/>
      <c r="BM30" s="421" t="s">
        <v>11</v>
      </c>
      <c r="BN30" s="168">
        <f t="shared" si="16"/>
        <v>0.22037500000000002</v>
      </c>
      <c r="BO30" s="168">
        <f t="shared" si="17"/>
        <v>0.21299999999999999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19</v>
      </c>
      <c r="B31" s="6" t="s">
        <v>26</v>
      </c>
      <c r="C31" s="395" t="s">
        <v>305</v>
      </c>
      <c r="D31" s="413" t="s">
        <v>11</v>
      </c>
      <c r="E31" s="416">
        <f>MIN(Thickness!E31:E33)</f>
        <v>0.221</v>
      </c>
      <c r="F31" s="416">
        <f>MIN(Thickness!F31:F33)</f>
        <v>0.22800000000000001</v>
      </c>
      <c r="G31" s="416">
        <f>MIN(Thickness!G31:G33)</f>
        <v>0.22</v>
      </c>
      <c r="H31" s="419">
        <f>MIN(Thickness!H31:H33)</f>
        <v>0.215</v>
      </c>
      <c r="I31" s="422" t="s">
        <v>11</v>
      </c>
      <c r="J31" s="416" t="s">
        <v>11</v>
      </c>
      <c r="K31" s="416" t="s">
        <v>11</v>
      </c>
      <c r="L31" s="416" t="s">
        <v>11</v>
      </c>
      <c r="M31" s="419" t="s">
        <v>11</v>
      </c>
      <c r="N31" s="422" t="s">
        <v>11</v>
      </c>
      <c r="O31" s="416" t="s">
        <v>11</v>
      </c>
      <c r="P31" s="416" t="s">
        <v>11</v>
      </c>
      <c r="Q31" s="416" t="s">
        <v>11</v>
      </c>
      <c r="R31" s="419" t="s">
        <v>11</v>
      </c>
      <c r="S31" s="422" t="s">
        <v>11</v>
      </c>
      <c r="T31" s="416" t="s">
        <v>11</v>
      </c>
      <c r="U31" s="416" t="s">
        <v>11</v>
      </c>
      <c r="V31" s="416" t="s">
        <v>11</v>
      </c>
      <c r="W31" s="419" t="s">
        <v>11</v>
      </c>
      <c r="X31" s="422" t="s">
        <v>11</v>
      </c>
      <c r="Y31" s="416" t="s">
        <v>11</v>
      </c>
      <c r="Z31" s="416" t="s">
        <v>11</v>
      </c>
      <c r="AA31" s="416" t="s">
        <v>11</v>
      </c>
      <c r="AB31" s="419" t="s">
        <v>11</v>
      </c>
      <c r="AC31" s="422" t="s">
        <v>11</v>
      </c>
      <c r="AD31" s="416" t="s">
        <v>11</v>
      </c>
      <c r="AE31" s="416" t="s">
        <v>11</v>
      </c>
      <c r="AF31" s="416" t="s">
        <v>11</v>
      </c>
      <c r="AG31" s="419" t="s">
        <v>11</v>
      </c>
      <c r="AH31" s="422" t="s">
        <v>11</v>
      </c>
      <c r="AI31" s="416" t="s">
        <v>11</v>
      </c>
      <c r="AJ31" s="416" t="s">
        <v>11</v>
      </c>
      <c r="AK31" s="416" t="s">
        <v>11</v>
      </c>
      <c r="AL31" s="419" t="s">
        <v>11</v>
      </c>
      <c r="AM31" s="422" t="s">
        <v>11</v>
      </c>
      <c r="AN31" s="416" t="s">
        <v>11</v>
      </c>
      <c r="AO31" s="416" t="s">
        <v>11</v>
      </c>
      <c r="AP31" s="416" t="s">
        <v>11</v>
      </c>
      <c r="AQ31" s="419" t="s">
        <v>11</v>
      </c>
      <c r="AR31" s="422" t="s">
        <v>11</v>
      </c>
      <c r="AS31" s="416" t="s">
        <v>11</v>
      </c>
      <c r="AT31" s="416" t="s">
        <v>11</v>
      </c>
      <c r="AU31" s="416" t="s">
        <v>11</v>
      </c>
      <c r="AV31" s="419" t="s">
        <v>11</v>
      </c>
      <c r="AW31" s="422" t="s">
        <v>11</v>
      </c>
      <c r="AX31" s="416" t="s">
        <v>11</v>
      </c>
      <c r="AY31" s="416" t="s">
        <v>11</v>
      </c>
      <c r="AZ31" s="416" t="s">
        <v>11</v>
      </c>
      <c r="BA31" s="419" t="s">
        <v>11</v>
      </c>
      <c r="BB31" s="422" t="s">
        <v>11</v>
      </c>
      <c r="BC31" s="416" t="s">
        <v>11</v>
      </c>
      <c r="BD31" s="416" t="s">
        <v>11</v>
      </c>
      <c r="BE31" s="416" t="s">
        <v>11</v>
      </c>
      <c r="BF31" s="419" t="s">
        <v>11</v>
      </c>
      <c r="BG31" s="422" t="s">
        <v>11</v>
      </c>
      <c r="BH31" s="416" t="s">
        <v>11</v>
      </c>
      <c r="BI31" s="416">
        <f>MIN(Thickness!BI31:BI33)</f>
        <v>0.22</v>
      </c>
      <c r="BJ31" s="416">
        <f>MIN(Thickness!BJ31:BJ33)</f>
        <v>0.22600000000000001</v>
      </c>
      <c r="BK31" s="419">
        <f>MIN(Thickness!BK31:BK33)</f>
        <v>0.22</v>
      </c>
      <c r="BL31" s="422">
        <f>MIN(Thickness!BL31:BL33)</f>
        <v>0.21299999999999999</v>
      </c>
      <c r="BM31" s="419" t="s">
        <v>11</v>
      </c>
      <c r="BN31" s="166">
        <f t="shared" ref="BN31:BN33" si="18">IFERROR(AVERAGE(D31:BM33),0)</f>
        <v>0.22037500000000002</v>
      </c>
      <c r="BO31" s="166">
        <f t="shared" ref="BO31:BO33" si="19">MIN(D31:BM33)</f>
        <v>0.21299999999999999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65">
        <v>8.3000000000000004E-2</v>
      </c>
      <c r="B32" s="7" t="s">
        <v>12</v>
      </c>
      <c r="C32" s="396"/>
      <c r="D32" s="414" t="s">
        <v>11</v>
      </c>
      <c r="E32" s="417"/>
      <c r="F32" s="417"/>
      <c r="G32" s="417"/>
      <c r="H32" s="420"/>
      <c r="I32" s="423" t="s">
        <v>11</v>
      </c>
      <c r="J32" s="417" t="s">
        <v>11</v>
      </c>
      <c r="K32" s="417" t="s">
        <v>11</v>
      </c>
      <c r="L32" s="417" t="s">
        <v>11</v>
      </c>
      <c r="M32" s="420" t="s">
        <v>11</v>
      </c>
      <c r="N32" s="423" t="s">
        <v>11</v>
      </c>
      <c r="O32" s="417" t="s">
        <v>11</v>
      </c>
      <c r="P32" s="417" t="s">
        <v>11</v>
      </c>
      <c r="Q32" s="417" t="s">
        <v>11</v>
      </c>
      <c r="R32" s="420" t="s">
        <v>11</v>
      </c>
      <c r="S32" s="423" t="s">
        <v>11</v>
      </c>
      <c r="T32" s="417" t="s">
        <v>11</v>
      </c>
      <c r="U32" s="417" t="s">
        <v>11</v>
      </c>
      <c r="V32" s="417" t="s">
        <v>11</v>
      </c>
      <c r="W32" s="420" t="s">
        <v>11</v>
      </c>
      <c r="X32" s="423" t="s">
        <v>11</v>
      </c>
      <c r="Y32" s="417" t="s">
        <v>11</v>
      </c>
      <c r="Z32" s="417" t="s">
        <v>11</v>
      </c>
      <c r="AA32" s="417" t="s">
        <v>11</v>
      </c>
      <c r="AB32" s="420" t="s">
        <v>11</v>
      </c>
      <c r="AC32" s="423" t="s">
        <v>11</v>
      </c>
      <c r="AD32" s="417" t="s">
        <v>11</v>
      </c>
      <c r="AE32" s="417" t="s">
        <v>11</v>
      </c>
      <c r="AF32" s="417" t="s">
        <v>11</v>
      </c>
      <c r="AG32" s="420" t="s">
        <v>11</v>
      </c>
      <c r="AH32" s="423" t="s">
        <v>11</v>
      </c>
      <c r="AI32" s="417" t="s">
        <v>11</v>
      </c>
      <c r="AJ32" s="417" t="s">
        <v>11</v>
      </c>
      <c r="AK32" s="417" t="s">
        <v>11</v>
      </c>
      <c r="AL32" s="420" t="s">
        <v>11</v>
      </c>
      <c r="AM32" s="423" t="s">
        <v>11</v>
      </c>
      <c r="AN32" s="417" t="s">
        <v>11</v>
      </c>
      <c r="AO32" s="417" t="s">
        <v>11</v>
      </c>
      <c r="AP32" s="417" t="s">
        <v>11</v>
      </c>
      <c r="AQ32" s="420" t="s">
        <v>11</v>
      </c>
      <c r="AR32" s="423" t="s">
        <v>11</v>
      </c>
      <c r="AS32" s="417" t="s">
        <v>11</v>
      </c>
      <c r="AT32" s="417" t="s">
        <v>11</v>
      </c>
      <c r="AU32" s="417" t="s">
        <v>11</v>
      </c>
      <c r="AV32" s="420" t="s">
        <v>11</v>
      </c>
      <c r="AW32" s="423" t="s">
        <v>11</v>
      </c>
      <c r="AX32" s="417" t="s">
        <v>11</v>
      </c>
      <c r="AY32" s="417" t="s">
        <v>11</v>
      </c>
      <c r="AZ32" s="417" t="s">
        <v>11</v>
      </c>
      <c r="BA32" s="420" t="s">
        <v>11</v>
      </c>
      <c r="BB32" s="423" t="s">
        <v>11</v>
      </c>
      <c r="BC32" s="417" t="s">
        <v>11</v>
      </c>
      <c r="BD32" s="417" t="s">
        <v>11</v>
      </c>
      <c r="BE32" s="417" t="s">
        <v>11</v>
      </c>
      <c r="BF32" s="420" t="s">
        <v>11</v>
      </c>
      <c r="BG32" s="423" t="s">
        <v>11</v>
      </c>
      <c r="BH32" s="417" t="s">
        <v>11</v>
      </c>
      <c r="BI32" s="417"/>
      <c r="BJ32" s="417"/>
      <c r="BK32" s="420"/>
      <c r="BL32" s="423"/>
      <c r="BM32" s="420" t="s">
        <v>11</v>
      </c>
      <c r="BN32" s="167">
        <f t="shared" si="18"/>
        <v>0.20682258064516132</v>
      </c>
      <c r="BO32" s="167">
        <f t="shared" si="19"/>
        <v>0.183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65"/>
      <c r="B33" s="8" t="s">
        <v>25</v>
      </c>
      <c r="C33" s="396"/>
      <c r="D33" s="415" t="s">
        <v>11</v>
      </c>
      <c r="E33" s="418"/>
      <c r="F33" s="418"/>
      <c r="G33" s="418"/>
      <c r="H33" s="421"/>
      <c r="I33" s="424" t="s">
        <v>11</v>
      </c>
      <c r="J33" s="418" t="s">
        <v>11</v>
      </c>
      <c r="K33" s="418" t="s">
        <v>11</v>
      </c>
      <c r="L33" s="418" t="s">
        <v>11</v>
      </c>
      <c r="M33" s="421" t="s">
        <v>11</v>
      </c>
      <c r="N33" s="424" t="s">
        <v>11</v>
      </c>
      <c r="O33" s="418" t="s">
        <v>11</v>
      </c>
      <c r="P33" s="418" t="s">
        <v>11</v>
      </c>
      <c r="Q33" s="418" t="s">
        <v>11</v>
      </c>
      <c r="R33" s="421" t="s">
        <v>11</v>
      </c>
      <c r="S33" s="424" t="s">
        <v>11</v>
      </c>
      <c r="T33" s="418" t="s">
        <v>11</v>
      </c>
      <c r="U33" s="418" t="s">
        <v>11</v>
      </c>
      <c r="V33" s="418" t="s">
        <v>11</v>
      </c>
      <c r="W33" s="421" t="s">
        <v>11</v>
      </c>
      <c r="X33" s="424" t="s">
        <v>11</v>
      </c>
      <c r="Y33" s="418" t="s">
        <v>11</v>
      </c>
      <c r="Z33" s="418" t="s">
        <v>11</v>
      </c>
      <c r="AA33" s="418" t="s">
        <v>11</v>
      </c>
      <c r="AB33" s="421" t="s">
        <v>11</v>
      </c>
      <c r="AC33" s="424" t="s">
        <v>11</v>
      </c>
      <c r="AD33" s="418" t="s">
        <v>11</v>
      </c>
      <c r="AE33" s="418" t="s">
        <v>11</v>
      </c>
      <c r="AF33" s="418" t="s">
        <v>11</v>
      </c>
      <c r="AG33" s="421" t="s">
        <v>11</v>
      </c>
      <c r="AH33" s="424" t="s">
        <v>11</v>
      </c>
      <c r="AI33" s="418" t="s">
        <v>11</v>
      </c>
      <c r="AJ33" s="418" t="s">
        <v>11</v>
      </c>
      <c r="AK33" s="418" t="s">
        <v>11</v>
      </c>
      <c r="AL33" s="421" t="s">
        <v>11</v>
      </c>
      <c r="AM33" s="424" t="s">
        <v>11</v>
      </c>
      <c r="AN33" s="418" t="s">
        <v>11</v>
      </c>
      <c r="AO33" s="418" t="s">
        <v>11</v>
      </c>
      <c r="AP33" s="418" t="s">
        <v>11</v>
      </c>
      <c r="AQ33" s="421" t="s">
        <v>11</v>
      </c>
      <c r="AR33" s="424" t="s">
        <v>11</v>
      </c>
      <c r="AS33" s="418" t="s">
        <v>11</v>
      </c>
      <c r="AT33" s="418" t="s">
        <v>11</v>
      </c>
      <c r="AU33" s="418" t="s">
        <v>11</v>
      </c>
      <c r="AV33" s="421" t="s">
        <v>11</v>
      </c>
      <c r="AW33" s="424" t="s">
        <v>11</v>
      </c>
      <c r="AX33" s="418" t="s">
        <v>11</v>
      </c>
      <c r="AY33" s="418" t="s">
        <v>11</v>
      </c>
      <c r="AZ33" s="418" t="s">
        <v>11</v>
      </c>
      <c r="BA33" s="421" t="s">
        <v>11</v>
      </c>
      <c r="BB33" s="424" t="s">
        <v>11</v>
      </c>
      <c r="BC33" s="418" t="s">
        <v>11</v>
      </c>
      <c r="BD33" s="418" t="s">
        <v>11</v>
      </c>
      <c r="BE33" s="418" t="s">
        <v>11</v>
      </c>
      <c r="BF33" s="421" t="s">
        <v>11</v>
      </c>
      <c r="BG33" s="424" t="s">
        <v>11</v>
      </c>
      <c r="BH33" s="418" t="s">
        <v>11</v>
      </c>
      <c r="BI33" s="418"/>
      <c r="BJ33" s="418"/>
      <c r="BK33" s="421"/>
      <c r="BL33" s="424"/>
      <c r="BM33" s="421" t="s">
        <v>11</v>
      </c>
      <c r="BN33" s="168">
        <f t="shared" si="18"/>
        <v>0.20682258064516132</v>
      </c>
      <c r="BO33" s="168">
        <f t="shared" si="19"/>
        <v>0.183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19</v>
      </c>
      <c r="B34" s="6"/>
      <c r="C34" s="395" t="s">
        <v>305</v>
      </c>
      <c r="D34" s="413">
        <f>MIN(Thickness!D34:D36)</f>
        <v>0.20899999999999999</v>
      </c>
      <c r="E34" s="416">
        <f>MIN(Thickness!E34:E36)</f>
        <v>0.21099999999999999</v>
      </c>
      <c r="F34" s="416">
        <f>MIN(Thickness!F34:F36)</f>
        <v>0.224</v>
      </c>
      <c r="G34" s="416">
        <f>MIN(Thickness!G34:G36)</f>
        <v>0.22</v>
      </c>
      <c r="H34" s="419">
        <f>MIN(Thickness!H34:H36)</f>
        <v>0.21199999999999999</v>
      </c>
      <c r="I34" s="422">
        <f>MIN(Thickness!I34:I36)</f>
        <v>0.20899999999999999</v>
      </c>
      <c r="J34" s="416">
        <f>MIN(Thickness!J34:J36)</f>
        <v>0.20599999999999999</v>
      </c>
      <c r="K34" s="416">
        <f>MIN(Thickness!K34:K36)</f>
        <v>0.20300000000000001</v>
      </c>
      <c r="L34" s="416">
        <f>MIN(Thickness!L34:L36)</f>
        <v>0.191</v>
      </c>
      <c r="M34" s="419">
        <f>MIN(Thickness!M34:M36)</f>
        <v>0.193</v>
      </c>
      <c r="N34" s="422">
        <f>MIN(Thickness!N34:N36)</f>
        <v>0.19800000000000001</v>
      </c>
      <c r="O34" s="416">
        <f>MIN(Thickness!O34:O36)</f>
        <v>0.187</v>
      </c>
      <c r="P34" s="416">
        <f>MIN(Thickness!P34:P36)</f>
        <v>0.192</v>
      </c>
      <c r="Q34" s="416">
        <f>MIN(Thickness!Q34:Q36)</f>
        <v>0.192</v>
      </c>
      <c r="R34" s="419">
        <f>MIN(Thickness!R34:R36)</f>
        <v>0.191</v>
      </c>
      <c r="S34" s="422">
        <f>MIN(Thickness!S34:S36)</f>
        <v>0.19900000000000001</v>
      </c>
      <c r="T34" s="416">
        <f>MIN(Thickness!T34:T36)</f>
        <v>0.183</v>
      </c>
      <c r="U34" s="416">
        <f>MIN(Thickness!U34:U36)</f>
        <v>0.19900000000000001</v>
      </c>
      <c r="V34" s="416">
        <f>MIN(Thickness!V34:V36)</f>
        <v>0.19600000000000001</v>
      </c>
      <c r="W34" s="419">
        <f>MIN(Thickness!W34:W36)</f>
        <v>0.20300000000000001</v>
      </c>
      <c r="X34" s="422">
        <f>MIN(Thickness!X34:X36)</f>
        <v>0.20499999999999999</v>
      </c>
      <c r="Y34" s="416">
        <f>MIN(Thickness!Y34:Y36)</f>
        <v>0.21199999999999999</v>
      </c>
      <c r="Z34" s="416">
        <f>MIN(Thickness!Z34:Z36)</f>
        <v>0.21299999999999999</v>
      </c>
      <c r="AA34" s="416">
        <f>MIN(Thickness!AA34:AA36)</f>
        <v>0.20899999999999999</v>
      </c>
      <c r="AB34" s="419">
        <f>MIN(Thickness!AB34:AB36)</f>
        <v>0.215</v>
      </c>
      <c r="AC34" s="422">
        <f>MIN(Thickness!AC34:AC36)</f>
        <v>0.219</v>
      </c>
      <c r="AD34" s="416">
        <f>MIN(Thickness!AD34:AD36)</f>
        <v>0.216</v>
      </c>
      <c r="AE34" s="416">
        <f>MIN(Thickness!AE34:AE36)</f>
        <v>0.214</v>
      </c>
      <c r="AF34" s="416">
        <f>MIN(Thickness!AF34:AF36)</f>
        <v>0.214</v>
      </c>
      <c r="AG34" s="419">
        <f>MIN(Thickness!AG34:AG36)</f>
        <v>0.21</v>
      </c>
      <c r="AH34" s="422">
        <f>MIN(Thickness!AH34:AH36)</f>
        <v>0.224</v>
      </c>
      <c r="AI34" s="416">
        <f>MIN(Thickness!AI34:AI36)</f>
        <v>0.218</v>
      </c>
      <c r="AJ34" s="416">
        <f>MIN(Thickness!AJ34:AJ36)</f>
        <v>0.214</v>
      </c>
      <c r="AK34" s="416">
        <f>MIN(Thickness!AK34:AK36)</f>
        <v>0.221</v>
      </c>
      <c r="AL34" s="419">
        <f>MIN(Thickness!AL34:AL36)</f>
        <v>0.20899999999999999</v>
      </c>
      <c r="AM34" s="422">
        <f>MIN(Thickness!AM34:AM36)</f>
        <v>0.20599999999999999</v>
      </c>
      <c r="AN34" s="416">
        <f>MIN(Thickness!AN34:AN36)</f>
        <v>0.20300000000000001</v>
      </c>
      <c r="AO34" s="416">
        <f>MIN(Thickness!AO34:AO36)</f>
        <v>0.20499999999999999</v>
      </c>
      <c r="AP34" s="416">
        <f>MIN(Thickness!AP34:AP36)</f>
        <v>0.20899999999999999</v>
      </c>
      <c r="AQ34" s="419">
        <f>MIN(Thickness!AQ34:AQ36)</f>
        <v>0.214</v>
      </c>
      <c r="AR34" s="422">
        <f>MIN(Thickness!AR34:AR36)</f>
        <v>0.20899999999999999</v>
      </c>
      <c r="AS34" s="416">
        <f>MIN(Thickness!AS34:AS36)</f>
        <v>0.20799999999999999</v>
      </c>
      <c r="AT34" s="416">
        <f>MIN(Thickness!AT34:AT36)</f>
        <v>0.19700000000000001</v>
      </c>
      <c r="AU34" s="416">
        <f>MIN(Thickness!AU34:AU36)</f>
        <v>0.19500000000000001</v>
      </c>
      <c r="AV34" s="419">
        <f>MIN(Thickness!AV34:AV36)</f>
        <v>0.193</v>
      </c>
      <c r="AW34" s="422">
        <f>MIN(Thickness!AW34:AW36)</f>
        <v>0.21099999999999999</v>
      </c>
      <c r="AX34" s="416">
        <f>MIN(Thickness!AX34:AX36)</f>
        <v>0.20599999999999999</v>
      </c>
      <c r="AY34" s="416">
        <f>MIN(Thickness!AY34:AY36)</f>
        <v>0.20499999999999999</v>
      </c>
      <c r="AZ34" s="416">
        <f>MIN(Thickness!AZ34:AZ36)</f>
        <v>0.20200000000000001</v>
      </c>
      <c r="BA34" s="419">
        <f>MIN(Thickness!BA34:BA36)</f>
        <v>0.19700000000000001</v>
      </c>
      <c r="BB34" s="422">
        <f>MIN(Thickness!BB34:BB36)</f>
        <v>0.20399999999999999</v>
      </c>
      <c r="BC34" s="416">
        <f>MIN(Thickness!BC34:BC36)</f>
        <v>0.21099999999999999</v>
      </c>
      <c r="BD34" s="416">
        <f>MIN(Thickness!BD34:BD36)</f>
        <v>0.20899999999999999</v>
      </c>
      <c r="BE34" s="416">
        <f>MIN(Thickness!BE34:BE36)</f>
        <v>0.20699999999999999</v>
      </c>
      <c r="BF34" s="419">
        <f>MIN(Thickness!BF34:BF36)</f>
        <v>0.20799999999999999</v>
      </c>
      <c r="BG34" s="422">
        <f>MIN(Thickness!BG34:BG36)</f>
        <v>0.21199999999999999</v>
      </c>
      <c r="BH34" s="416">
        <f>MIN(Thickness!BH34:BH36)</f>
        <v>0.20799999999999999</v>
      </c>
      <c r="BI34" s="416">
        <f>MIN(Thickness!BI34:BI36)</f>
        <v>0.215</v>
      </c>
      <c r="BJ34" s="416">
        <f>MIN(Thickness!BJ34:BJ36)</f>
        <v>0.214</v>
      </c>
      <c r="BK34" s="419">
        <f>MIN(Thickness!BK34:BK36)</f>
        <v>0.214</v>
      </c>
      <c r="BL34" s="422">
        <f>MIN(Thickness!BL34:BL36)</f>
        <v>0.216</v>
      </c>
      <c r="BM34" s="419">
        <f>MIN(Thickness!BM34:BM36)</f>
        <v>0.214</v>
      </c>
      <c r="BN34" s="166">
        <f t="shared" ref="BN34:BN36" si="20">IFERROR(AVERAGE(D34:BM36),0)</f>
        <v>0.20682258064516132</v>
      </c>
      <c r="BO34" s="166">
        <f t="shared" ref="BO34:BO36" si="21">MIN(D34:BM36)</f>
        <v>0.183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65">
        <v>8.3000000000000004E-2</v>
      </c>
      <c r="B35" s="7" t="s">
        <v>27</v>
      </c>
      <c r="C35" s="396"/>
      <c r="D35" s="414"/>
      <c r="E35" s="417"/>
      <c r="F35" s="417"/>
      <c r="G35" s="417"/>
      <c r="H35" s="420"/>
      <c r="I35" s="423"/>
      <c r="J35" s="417"/>
      <c r="K35" s="417"/>
      <c r="L35" s="417"/>
      <c r="M35" s="420"/>
      <c r="N35" s="423"/>
      <c r="O35" s="417"/>
      <c r="P35" s="417"/>
      <c r="Q35" s="417"/>
      <c r="R35" s="420"/>
      <c r="S35" s="423"/>
      <c r="T35" s="417"/>
      <c r="U35" s="417"/>
      <c r="V35" s="417"/>
      <c r="W35" s="420"/>
      <c r="X35" s="423"/>
      <c r="Y35" s="417"/>
      <c r="Z35" s="417"/>
      <c r="AA35" s="417"/>
      <c r="AB35" s="420"/>
      <c r="AC35" s="423"/>
      <c r="AD35" s="417"/>
      <c r="AE35" s="417"/>
      <c r="AF35" s="417"/>
      <c r="AG35" s="420"/>
      <c r="AH35" s="423"/>
      <c r="AI35" s="417"/>
      <c r="AJ35" s="417"/>
      <c r="AK35" s="417"/>
      <c r="AL35" s="420"/>
      <c r="AM35" s="423"/>
      <c r="AN35" s="417"/>
      <c r="AO35" s="417"/>
      <c r="AP35" s="417"/>
      <c r="AQ35" s="420"/>
      <c r="AR35" s="423"/>
      <c r="AS35" s="417"/>
      <c r="AT35" s="417"/>
      <c r="AU35" s="417"/>
      <c r="AV35" s="420"/>
      <c r="AW35" s="423"/>
      <c r="AX35" s="417"/>
      <c r="AY35" s="417"/>
      <c r="AZ35" s="417"/>
      <c r="BA35" s="420"/>
      <c r="BB35" s="423"/>
      <c r="BC35" s="417"/>
      <c r="BD35" s="417"/>
      <c r="BE35" s="417"/>
      <c r="BF35" s="420"/>
      <c r="BG35" s="423"/>
      <c r="BH35" s="417"/>
      <c r="BI35" s="417"/>
      <c r="BJ35" s="417"/>
      <c r="BK35" s="420"/>
      <c r="BL35" s="423"/>
      <c r="BM35" s="420"/>
      <c r="BN35" s="167">
        <f t="shared" si="20"/>
        <v>0.21306779661016953</v>
      </c>
      <c r="BO35" s="167">
        <f t="shared" si="21"/>
        <v>0.189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65"/>
      <c r="B36" s="8"/>
      <c r="C36" s="396"/>
      <c r="D36" s="415"/>
      <c r="E36" s="418"/>
      <c r="F36" s="418"/>
      <c r="G36" s="418"/>
      <c r="H36" s="421"/>
      <c r="I36" s="424"/>
      <c r="J36" s="418"/>
      <c r="K36" s="418"/>
      <c r="L36" s="418"/>
      <c r="M36" s="421"/>
      <c r="N36" s="424"/>
      <c r="O36" s="418"/>
      <c r="P36" s="418"/>
      <c r="Q36" s="418"/>
      <c r="R36" s="421"/>
      <c r="S36" s="424"/>
      <c r="T36" s="418"/>
      <c r="U36" s="418"/>
      <c r="V36" s="418"/>
      <c r="W36" s="421"/>
      <c r="X36" s="424"/>
      <c r="Y36" s="418"/>
      <c r="Z36" s="418"/>
      <c r="AA36" s="418"/>
      <c r="AB36" s="421"/>
      <c r="AC36" s="424"/>
      <c r="AD36" s="418"/>
      <c r="AE36" s="418"/>
      <c r="AF36" s="418"/>
      <c r="AG36" s="421"/>
      <c r="AH36" s="424"/>
      <c r="AI36" s="418"/>
      <c r="AJ36" s="418"/>
      <c r="AK36" s="418"/>
      <c r="AL36" s="421"/>
      <c r="AM36" s="424"/>
      <c r="AN36" s="418"/>
      <c r="AO36" s="418"/>
      <c r="AP36" s="418"/>
      <c r="AQ36" s="421"/>
      <c r="AR36" s="424"/>
      <c r="AS36" s="418"/>
      <c r="AT36" s="418"/>
      <c r="AU36" s="418"/>
      <c r="AV36" s="421"/>
      <c r="AW36" s="424"/>
      <c r="AX36" s="418"/>
      <c r="AY36" s="418"/>
      <c r="AZ36" s="418"/>
      <c r="BA36" s="421"/>
      <c r="BB36" s="424"/>
      <c r="BC36" s="418"/>
      <c r="BD36" s="418"/>
      <c r="BE36" s="418"/>
      <c r="BF36" s="421"/>
      <c r="BG36" s="424"/>
      <c r="BH36" s="418"/>
      <c r="BI36" s="418"/>
      <c r="BJ36" s="418"/>
      <c r="BK36" s="421"/>
      <c r="BL36" s="424"/>
      <c r="BM36" s="421"/>
      <c r="BN36" s="168">
        <f t="shared" si="20"/>
        <v>0.21306779661016953</v>
      </c>
      <c r="BO36" s="168">
        <f t="shared" si="21"/>
        <v>0.189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19</v>
      </c>
      <c r="B37" s="6"/>
      <c r="C37" s="395" t="s">
        <v>305</v>
      </c>
      <c r="D37" s="413">
        <f>MIN(Thickness!D37:D39)</f>
        <v>0.22</v>
      </c>
      <c r="E37" s="416">
        <f>MIN(Thickness!E37:E39)</f>
        <v>0.216</v>
      </c>
      <c r="F37" s="416">
        <f>MIN(Thickness!F37:F39)</f>
        <v>0.23400000000000001</v>
      </c>
      <c r="G37" s="416">
        <f>MIN(Thickness!G37:G39)</f>
        <v>0.22800000000000001</v>
      </c>
      <c r="H37" s="419">
        <f>MIN(Thickness!H37:H39)</f>
        <v>0.221</v>
      </c>
      <c r="I37" s="422">
        <f>MIN(Thickness!I37:I39)</f>
        <v>0.215</v>
      </c>
      <c r="J37" s="416">
        <f>MIN(Thickness!J37:J39)</f>
        <v>0.20300000000000001</v>
      </c>
      <c r="K37" s="416">
        <f>MIN(Thickness!K37:K39)</f>
        <v>0.20399999999999999</v>
      </c>
      <c r="L37" s="416">
        <f>MIN(Thickness!L37:L39)</f>
        <v>0.20799999999999999</v>
      </c>
      <c r="M37" s="419">
        <f>MIN(Thickness!M37:M39)</f>
        <v>0.20399999999999999</v>
      </c>
      <c r="N37" s="422">
        <f>MIN(Thickness!N37:N39)</f>
        <v>0.21</v>
      </c>
      <c r="O37" s="416">
        <f>MIN(Thickness!O37:O39)</f>
        <v>0.20200000000000001</v>
      </c>
      <c r="P37" s="416" t="s">
        <v>20</v>
      </c>
      <c r="Q37" s="416">
        <f>MIN(Thickness!Q37:Q39)</f>
        <v>0.189</v>
      </c>
      <c r="R37" s="419">
        <f>MIN(Thickness!R37:R39)</f>
        <v>0.20300000000000001</v>
      </c>
      <c r="S37" s="422">
        <f>MIN(Thickness!S37:S39)</f>
        <v>0.20499999999999999</v>
      </c>
      <c r="T37" s="416">
        <f>MIN(Thickness!T37:T39)</f>
        <v>0.20599999999999999</v>
      </c>
      <c r="U37" s="416">
        <f>MIN(Thickness!U37:U39)</f>
        <v>0.219</v>
      </c>
      <c r="V37" s="416">
        <f>MIN(Thickness!V37:V39)</f>
        <v>0.222</v>
      </c>
      <c r="W37" s="419">
        <f>MIN(Thickness!W37:W39)</f>
        <v>0.20699999999999999</v>
      </c>
      <c r="X37" s="422">
        <f>MIN(Thickness!X37:X39)</f>
        <v>0.214</v>
      </c>
      <c r="Y37" s="416">
        <f>MIN(Thickness!Y37:Y39)</f>
        <v>0.216</v>
      </c>
      <c r="Z37" s="416">
        <f>MIN(Thickness!Z37:Z39)</f>
        <v>0.218</v>
      </c>
      <c r="AA37" s="416">
        <f>MIN(Thickness!AA37:AA39)</f>
        <v>0.221</v>
      </c>
      <c r="AB37" s="419">
        <f>MIN(Thickness!AB37:AB39)</f>
        <v>0.218</v>
      </c>
      <c r="AC37" s="422">
        <f>MIN(Thickness!AC37:AC39)</f>
        <v>0.22</v>
      </c>
      <c r="AD37" s="416">
        <f>MIN(Thickness!AD37:AD39)</f>
        <v>0.218</v>
      </c>
      <c r="AE37" s="416">
        <f>MIN(Thickness!AE37:AE39)</f>
        <v>0.223</v>
      </c>
      <c r="AF37" s="416">
        <f>MIN(Thickness!AF37:AF39)</f>
        <v>0.218</v>
      </c>
      <c r="AG37" s="419" t="s">
        <v>20</v>
      </c>
      <c r="AH37" s="422">
        <f>MIN(Thickness!AH37:AH39)</f>
        <v>0.23200000000000001</v>
      </c>
      <c r="AI37" s="416">
        <f>MIN(Thickness!AI37:AI39)</f>
        <v>0.23799999999999999</v>
      </c>
      <c r="AJ37" s="416">
        <f>MIN(Thickness!AJ37:AJ39)</f>
        <v>0.221</v>
      </c>
      <c r="AK37" s="416">
        <f>MIN(Thickness!AK37:AK39)</f>
        <v>0.216</v>
      </c>
      <c r="AL37" s="419">
        <f>MIN(Thickness!AL37:AL39)</f>
        <v>0.215</v>
      </c>
      <c r="AM37" s="422">
        <f>MIN(Thickness!AM37:AM39)</f>
        <v>0.20599999999999999</v>
      </c>
      <c r="AN37" s="416">
        <f>MIN(Thickness!AN37:AN39)</f>
        <v>0.19900000000000001</v>
      </c>
      <c r="AO37" s="416">
        <f>MIN(Thickness!AO37:AO39)</f>
        <v>0.20300000000000001</v>
      </c>
      <c r="AP37" s="416">
        <f>MIN(Thickness!AP37:AP39)</f>
        <v>0.20799999999999999</v>
      </c>
      <c r="AQ37" s="419">
        <f>MIN(Thickness!AQ37:AQ39)</f>
        <v>0.20100000000000001</v>
      </c>
      <c r="AR37" s="422">
        <f>MIN(Thickness!AR37:AR39)</f>
        <v>0.20699999999999999</v>
      </c>
      <c r="AS37" s="416">
        <f>MIN(Thickness!AS37:AS39)</f>
        <v>0.2</v>
      </c>
      <c r="AT37" s="416">
        <f>MIN(Thickness!AT37:AT39)</f>
        <v>0.214</v>
      </c>
      <c r="AU37" s="416">
        <f>MIN(Thickness!AU37:AU39)</f>
        <v>0.20599999999999999</v>
      </c>
      <c r="AV37" s="419">
        <f>MIN(Thickness!AV37:AV39)</f>
        <v>0.2</v>
      </c>
      <c r="AW37" s="422">
        <f>MIN(Thickness!AW37:AW39)</f>
        <v>0.20200000000000001</v>
      </c>
      <c r="AX37" s="416">
        <f>MIN(Thickness!AX37:AX39)</f>
        <v>0.20699999999999999</v>
      </c>
      <c r="AY37" s="416">
        <f>MIN(Thickness!AY37:AY39)</f>
        <v>0.217</v>
      </c>
      <c r="AZ37" s="416">
        <f>MIN(Thickness!AZ37:AZ39)</f>
        <v>0.21199999999999999</v>
      </c>
      <c r="BA37" s="419">
        <f>MIN(Thickness!BA37:BA39)</f>
        <v>0.219</v>
      </c>
      <c r="BB37" s="422">
        <f>MIN(Thickness!BB37:BB39)</f>
        <v>0.215</v>
      </c>
      <c r="BC37" s="416">
        <f>MIN(Thickness!BC37:BC39)</f>
        <v>0.20899999999999999</v>
      </c>
      <c r="BD37" s="416">
        <f>MIN(Thickness!BD37:BD39)</f>
        <v>0.21</v>
      </c>
      <c r="BE37" s="416" t="s">
        <v>20</v>
      </c>
      <c r="BF37" s="419">
        <f>MIN(Thickness!BF37:BF39)</f>
        <v>0.215</v>
      </c>
      <c r="BG37" s="422">
        <f>MIN(Thickness!BG37:BG39)</f>
        <v>0.217</v>
      </c>
      <c r="BH37" s="416">
        <f>MIN(Thickness!BH37:BH39)</f>
        <v>0.20899999999999999</v>
      </c>
      <c r="BI37" s="416">
        <f>MIN(Thickness!BI37:BI39)</f>
        <v>0.221</v>
      </c>
      <c r="BJ37" s="416">
        <f>MIN(Thickness!BJ37:BJ39)</f>
        <v>0.217</v>
      </c>
      <c r="BK37" s="419">
        <f>MIN(Thickness!BK37:BK39)</f>
        <v>0.22</v>
      </c>
      <c r="BL37" s="422">
        <f>MIN(Thickness!BL37:BL39)</f>
        <v>0.21299999999999999</v>
      </c>
      <c r="BM37" s="419">
        <f>MIN(Thickness!BM37:BM39)</f>
        <v>0.22</v>
      </c>
      <c r="BN37" s="166">
        <f t="shared" ref="BN37:BN39" si="22">IFERROR(AVERAGE(D37:BM39),0)</f>
        <v>0.21306779661016953</v>
      </c>
      <c r="BO37" s="166">
        <f t="shared" ref="BO37:BO39" si="23">MIN(D37:BM39)</f>
        <v>0.189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65">
        <v>8.3000000000000004E-2</v>
      </c>
      <c r="B38" s="7" t="s">
        <v>28</v>
      </c>
      <c r="C38" s="396"/>
      <c r="D38" s="414"/>
      <c r="E38" s="417"/>
      <c r="F38" s="417"/>
      <c r="G38" s="417"/>
      <c r="H38" s="420"/>
      <c r="I38" s="423"/>
      <c r="J38" s="417"/>
      <c r="K38" s="417"/>
      <c r="L38" s="417"/>
      <c r="M38" s="420"/>
      <c r="N38" s="423"/>
      <c r="O38" s="417"/>
      <c r="P38" s="417" t="s">
        <v>20</v>
      </c>
      <c r="Q38" s="417"/>
      <c r="R38" s="420"/>
      <c r="S38" s="423"/>
      <c r="T38" s="417"/>
      <c r="U38" s="417"/>
      <c r="V38" s="417"/>
      <c r="W38" s="420"/>
      <c r="X38" s="423"/>
      <c r="Y38" s="417"/>
      <c r="Z38" s="417"/>
      <c r="AA38" s="417"/>
      <c r="AB38" s="420"/>
      <c r="AC38" s="423"/>
      <c r="AD38" s="417"/>
      <c r="AE38" s="417"/>
      <c r="AF38" s="417"/>
      <c r="AG38" s="420" t="s">
        <v>20</v>
      </c>
      <c r="AH38" s="423"/>
      <c r="AI38" s="417"/>
      <c r="AJ38" s="417"/>
      <c r="AK38" s="417"/>
      <c r="AL38" s="420"/>
      <c r="AM38" s="423"/>
      <c r="AN38" s="417"/>
      <c r="AO38" s="417"/>
      <c r="AP38" s="417"/>
      <c r="AQ38" s="420"/>
      <c r="AR38" s="423"/>
      <c r="AS38" s="417"/>
      <c r="AT38" s="417"/>
      <c r="AU38" s="417"/>
      <c r="AV38" s="420"/>
      <c r="AW38" s="423"/>
      <c r="AX38" s="417"/>
      <c r="AY38" s="417"/>
      <c r="AZ38" s="417"/>
      <c r="BA38" s="420"/>
      <c r="BB38" s="423"/>
      <c r="BC38" s="417"/>
      <c r="BD38" s="417"/>
      <c r="BE38" s="417" t="s">
        <v>20</v>
      </c>
      <c r="BF38" s="420"/>
      <c r="BG38" s="423"/>
      <c r="BH38" s="417"/>
      <c r="BI38" s="417"/>
      <c r="BJ38" s="417"/>
      <c r="BK38" s="420"/>
      <c r="BL38" s="423"/>
      <c r="BM38" s="420"/>
      <c r="BN38" s="167">
        <f t="shared" si="22"/>
        <v>0.22283333333333333</v>
      </c>
      <c r="BO38" s="167">
        <f t="shared" si="23"/>
        <v>0.218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65"/>
      <c r="B39" s="8"/>
      <c r="C39" s="396"/>
      <c r="D39" s="415"/>
      <c r="E39" s="418"/>
      <c r="F39" s="418"/>
      <c r="G39" s="418"/>
      <c r="H39" s="421"/>
      <c r="I39" s="424"/>
      <c r="J39" s="418"/>
      <c r="K39" s="418"/>
      <c r="L39" s="418"/>
      <c r="M39" s="421"/>
      <c r="N39" s="424"/>
      <c r="O39" s="418"/>
      <c r="P39" s="418" t="s">
        <v>20</v>
      </c>
      <c r="Q39" s="418"/>
      <c r="R39" s="421"/>
      <c r="S39" s="424"/>
      <c r="T39" s="418"/>
      <c r="U39" s="418"/>
      <c r="V39" s="418"/>
      <c r="W39" s="421"/>
      <c r="X39" s="424"/>
      <c r="Y39" s="418"/>
      <c r="Z39" s="418"/>
      <c r="AA39" s="418"/>
      <c r="AB39" s="421"/>
      <c r="AC39" s="424"/>
      <c r="AD39" s="418"/>
      <c r="AE39" s="418"/>
      <c r="AF39" s="418"/>
      <c r="AG39" s="421" t="s">
        <v>20</v>
      </c>
      <c r="AH39" s="424"/>
      <c r="AI39" s="418"/>
      <c r="AJ39" s="418"/>
      <c r="AK39" s="418"/>
      <c r="AL39" s="421"/>
      <c r="AM39" s="424"/>
      <c r="AN39" s="418"/>
      <c r="AO39" s="418"/>
      <c r="AP39" s="418"/>
      <c r="AQ39" s="421"/>
      <c r="AR39" s="424"/>
      <c r="AS39" s="418"/>
      <c r="AT39" s="418"/>
      <c r="AU39" s="418"/>
      <c r="AV39" s="421"/>
      <c r="AW39" s="424"/>
      <c r="AX39" s="418"/>
      <c r="AY39" s="418"/>
      <c r="AZ39" s="418"/>
      <c r="BA39" s="421"/>
      <c r="BB39" s="424"/>
      <c r="BC39" s="418"/>
      <c r="BD39" s="418"/>
      <c r="BE39" s="418" t="s">
        <v>20</v>
      </c>
      <c r="BF39" s="421"/>
      <c r="BG39" s="424"/>
      <c r="BH39" s="418"/>
      <c r="BI39" s="418"/>
      <c r="BJ39" s="418"/>
      <c r="BK39" s="421"/>
      <c r="BL39" s="424"/>
      <c r="BM39" s="421"/>
      <c r="BN39" s="168">
        <f t="shared" si="22"/>
        <v>0.22283333333333333</v>
      </c>
      <c r="BO39" s="168">
        <f t="shared" si="23"/>
        <v>0.218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19</v>
      </c>
      <c r="B40" s="6" t="s">
        <v>9</v>
      </c>
      <c r="C40" s="395" t="s">
        <v>305</v>
      </c>
      <c r="D40" s="413" t="s">
        <v>11</v>
      </c>
      <c r="E40" s="416" t="s">
        <v>11</v>
      </c>
      <c r="F40" s="416" t="s">
        <v>11</v>
      </c>
      <c r="G40" s="416" t="s">
        <v>11</v>
      </c>
      <c r="H40" s="419" t="s">
        <v>11</v>
      </c>
      <c r="I40" s="422" t="s">
        <v>11</v>
      </c>
      <c r="J40" s="416" t="s">
        <v>11</v>
      </c>
      <c r="K40" s="416" t="s">
        <v>11</v>
      </c>
      <c r="L40" s="416" t="s">
        <v>11</v>
      </c>
      <c r="M40" s="419" t="s">
        <v>11</v>
      </c>
      <c r="N40" s="422" t="s">
        <v>11</v>
      </c>
      <c r="O40" s="416" t="s">
        <v>11</v>
      </c>
      <c r="P40" s="416" t="s">
        <v>11</v>
      </c>
      <c r="Q40" s="416" t="s">
        <v>11</v>
      </c>
      <c r="R40" s="419" t="s">
        <v>11</v>
      </c>
      <c r="S40" s="422" t="s">
        <v>11</v>
      </c>
      <c r="T40" s="416" t="s">
        <v>11</v>
      </c>
      <c r="U40" s="416" t="s">
        <v>11</v>
      </c>
      <c r="V40" s="416" t="s">
        <v>11</v>
      </c>
      <c r="W40" s="419" t="s">
        <v>11</v>
      </c>
      <c r="X40" s="422" t="s">
        <v>11</v>
      </c>
      <c r="Y40" s="416" t="s">
        <v>11</v>
      </c>
      <c r="Z40" s="416" t="s">
        <v>11</v>
      </c>
      <c r="AA40" s="416" t="s">
        <v>11</v>
      </c>
      <c r="AB40" s="419" t="s">
        <v>11</v>
      </c>
      <c r="AC40" s="422" t="s">
        <v>11</v>
      </c>
      <c r="AD40" s="416" t="s">
        <v>11</v>
      </c>
      <c r="AE40" s="416" t="s">
        <v>11</v>
      </c>
      <c r="AF40" s="416">
        <f>MIN(Thickness!AF40:AF42)</f>
        <v>0.22700000000000001</v>
      </c>
      <c r="AG40" s="419">
        <f>MIN(Thickness!AG40:AG42)</f>
        <v>0.224</v>
      </c>
      <c r="AH40" s="422">
        <f>MIN(Thickness!AH40:AH42)</f>
        <v>0.22700000000000001</v>
      </c>
      <c r="AI40" s="416">
        <f>MIN(Thickness!AI40:AI42)</f>
        <v>0.222</v>
      </c>
      <c r="AJ40" s="416">
        <f>MIN(Thickness!AJ40:AJ42)</f>
        <v>0.219</v>
      </c>
      <c r="AK40" s="416">
        <f>MIN(Thickness!AK40:AK42)</f>
        <v>0.218</v>
      </c>
      <c r="AL40" s="419" t="s">
        <v>11</v>
      </c>
      <c r="AM40" s="422" t="s">
        <v>11</v>
      </c>
      <c r="AN40" s="416" t="s">
        <v>11</v>
      </c>
      <c r="AO40" s="416" t="s">
        <v>11</v>
      </c>
      <c r="AP40" s="416" t="s">
        <v>11</v>
      </c>
      <c r="AQ40" s="419" t="s">
        <v>11</v>
      </c>
      <c r="AR40" s="422" t="s">
        <v>11</v>
      </c>
      <c r="AS40" s="416" t="s">
        <v>11</v>
      </c>
      <c r="AT40" s="416" t="s">
        <v>11</v>
      </c>
      <c r="AU40" s="416" t="s">
        <v>11</v>
      </c>
      <c r="AV40" s="419" t="s">
        <v>11</v>
      </c>
      <c r="AW40" s="422" t="s">
        <v>11</v>
      </c>
      <c r="AX40" s="416" t="s">
        <v>11</v>
      </c>
      <c r="AY40" s="416" t="s">
        <v>11</v>
      </c>
      <c r="AZ40" s="416" t="s">
        <v>11</v>
      </c>
      <c r="BA40" s="419" t="s">
        <v>11</v>
      </c>
      <c r="BB40" s="422" t="s">
        <v>11</v>
      </c>
      <c r="BC40" s="416" t="s">
        <v>11</v>
      </c>
      <c r="BD40" s="416" t="s">
        <v>11</v>
      </c>
      <c r="BE40" s="416" t="s">
        <v>11</v>
      </c>
      <c r="BF40" s="419" t="s">
        <v>11</v>
      </c>
      <c r="BG40" s="422" t="s">
        <v>11</v>
      </c>
      <c r="BH40" s="416" t="s">
        <v>11</v>
      </c>
      <c r="BI40" s="416" t="s">
        <v>11</v>
      </c>
      <c r="BJ40" s="416" t="s">
        <v>11</v>
      </c>
      <c r="BK40" s="419" t="s">
        <v>11</v>
      </c>
      <c r="BL40" s="422" t="s">
        <v>11</v>
      </c>
      <c r="BM40" s="419" t="s">
        <v>11</v>
      </c>
      <c r="BN40" s="166">
        <f t="shared" ref="BN40:BN42" si="24">IFERROR(AVERAGE(D40:BM42),0)</f>
        <v>0.22283333333333333</v>
      </c>
      <c r="BO40" s="166">
        <f t="shared" ref="BO40:BO42" si="25">MIN(D40:BM42)</f>
        <v>0.218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65">
        <v>8.3000000000000004E-2</v>
      </c>
      <c r="B41" s="7" t="s">
        <v>12</v>
      </c>
      <c r="C41" s="396"/>
      <c r="D41" s="414" t="s">
        <v>11</v>
      </c>
      <c r="E41" s="417" t="s">
        <v>11</v>
      </c>
      <c r="F41" s="417" t="s">
        <v>11</v>
      </c>
      <c r="G41" s="417" t="s">
        <v>11</v>
      </c>
      <c r="H41" s="420" t="s">
        <v>11</v>
      </c>
      <c r="I41" s="423" t="s">
        <v>11</v>
      </c>
      <c r="J41" s="417" t="s">
        <v>11</v>
      </c>
      <c r="K41" s="417" t="s">
        <v>11</v>
      </c>
      <c r="L41" s="417" t="s">
        <v>11</v>
      </c>
      <c r="M41" s="420" t="s">
        <v>11</v>
      </c>
      <c r="N41" s="423" t="s">
        <v>11</v>
      </c>
      <c r="O41" s="417" t="s">
        <v>11</v>
      </c>
      <c r="P41" s="417" t="s">
        <v>11</v>
      </c>
      <c r="Q41" s="417" t="s">
        <v>11</v>
      </c>
      <c r="R41" s="420" t="s">
        <v>11</v>
      </c>
      <c r="S41" s="423" t="s">
        <v>11</v>
      </c>
      <c r="T41" s="417" t="s">
        <v>11</v>
      </c>
      <c r="U41" s="417" t="s">
        <v>11</v>
      </c>
      <c r="V41" s="417" t="s">
        <v>11</v>
      </c>
      <c r="W41" s="420" t="s">
        <v>11</v>
      </c>
      <c r="X41" s="423" t="s">
        <v>11</v>
      </c>
      <c r="Y41" s="417" t="s">
        <v>11</v>
      </c>
      <c r="Z41" s="417" t="s">
        <v>11</v>
      </c>
      <c r="AA41" s="417" t="s">
        <v>11</v>
      </c>
      <c r="AB41" s="420" t="s">
        <v>11</v>
      </c>
      <c r="AC41" s="423" t="s">
        <v>11</v>
      </c>
      <c r="AD41" s="417" t="s">
        <v>11</v>
      </c>
      <c r="AE41" s="417" t="s">
        <v>11</v>
      </c>
      <c r="AF41" s="417"/>
      <c r="AG41" s="420"/>
      <c r="AH41" s="423"/>
      <c r="AI41" s="417"/>
      <c r="AJ41" s="417"/>
      <c r="AK41" s="417"/>
      <c r="AL41" s="420" t="s">
        <v>11</v>
      </c>
      <c r="AM41" s="423" t="s">
        <v>11</v>
      </c>
      <c r="AN41" s="417" t="s">
        <v>11</v>
      </c>
      <c r="AO41" s="417" t="s">
        <v>11</v>
      </c>
      <c r="AP41" s="417" t="s">
        <v>11</v>
      </c>
      <c r="AQ41" s="420" t="s">
        <v>11</v>
      </c>
      <c r="AR41" s="423" t="s">
        <v>11</v>
      </c>
      <c r="AS41" s="417" t="s">
        <v>11</v>
      </c>
      <c r="AT41" s="417" t="s">
        <v>11</v>
      </c>
      <c r="AU41" s="417" t="s">
        <v>11</v>
      </c>
      <c r="AV41" s="420" t="s">
        <v>11</v>
      </c>
      <c r="AW41" s="423" t="s">
        <v>11</v>
      </c>
      <c r="AX41" s="417" t="s">
        <v>11</v>
      </c>
      <c r="AY41" s="417" t="s">
        <v>11</v>
      </c>
      <c r="AZ41" s="417" t="s">
        <v>11</v>
      </c>
      <c r="BA41" s="420" t="s">
        <v>11</v>
      </c>
      <c r="BB41" s="423" t="s">
        <v>11</v>
      </c>
      <c r="BC41" s="417" t="s">
        <v>11</v>
      </c>
      <c r="BD41" s="417" t="s">
        <v>11</v>
      </c>
      <c r="BE41" s="417" t="s">
        <v>11</v>
      </c>
      <c r="BF41" s="420" t="s">
        <v>11</v>
      </c>
      <c r="BG41" s="423" t="s">
        <v>11</v>
      </c>
      <c r="BH41" s="417" t="s">
        <v>11</v>
      </c>
      <c r="BI41" s="417" t="s">
        <v>11</v>
      </c>
      <c r="BJ41" s="417" t="s">
        <v>11</v>
      </c>
      <c r="BK41" s="420" t="s">
        <v>11</v>
      </c>
      <c r="BL41" s="423" t="s">
        <v>11</v>
      </c>
      <c r="BM41" s="420" t="s">
        <v>11</v>
      </c>
      <c r="BN41" s="167">
        <f t="shared" si="24"/>
        <v>0.221</v>
      </c>
      <c r="BO41" s="167">
        <f t="shared" si="25"/>
        <v>0.21199999999999999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65"/>
      <c r="B42" s="8" t="s">
        <v>29</v>
      </c>
      <c r="C42" s="396"/>
      <c r="D42" s="415" t="s">
        <v>11</v>
      </c>
      <c r="E42" s="418" t="s">
        <v>11</v>
      </c>
      <c r="F42" s="418" t="s">
        <v>11</v>
      </c>
      <c r="G42" s="418" t="s">
        <v>11</v>
      </c>
      <c r="H42" s="421" t="s">
        <v>11</v>
      </c>
      <c r="I42" s="424" t="s">
        <v>11</v>
      </c>
      <c r="J42" s="418" t="s">
        <v>11</v>
      </c>
      <c r="K42" s="418" t="s">
        <v>11</v>
      </c>
      <c r="L42" s="418" t="s">
        <v>11</v>
      </c>
      <c r="M42" s="421" t="s">
        <v>11</v>
      </c>
      <c r="N42" s="424" t="s">
        <v>11</v>
      </c>
      <c r="O42" s="418" t="s">
        <v>11</v>
      </c>
      <c r="P42" s="418" t="s">
        <v>11</v>
      </c>
      <c r="Q42" s="418" t="s">
        <v>11</v>
      </c>
      <c r="R42" s="421" t="s">
        <v>11</v>
      </c>
      <c r="S42" s="424" t="s">
        <v>11</v>
      </c>
      <c r="T42" s="418" t="s">
        <v>11</v>
      </c>
      <c r="U42" s="418" t="s">
        <v>11</v>
      </c>
      <c r="V42" s="418" t="s">
        <v>11</v>
      </c>
      <c r="W42" s="421" t="s">
        <v>11</v>
      </c>
      <c r="X42" s="424" t="s">
        <v>11</v>
      </c>
      <c r="Y42" s="418" t="s">
        <v>11</v>
      </c>
      <c r="Z42" s="418" t="s">
        <v>11</v>
      </c>
      <c r="AA42" s="418" t="s">
        <v>11</v>
      </c>
      <c r="AB42" s="421" t="s">
        <v>11</v>
      </c>
      <c r="AC42" s="424" t="s">
        <v>11</v>
      </c>
      <c r="AD42" s="418" t="s">
        <v>11</v>
      </c>
      <c r="AE42" s="418" t="s">
        <v>11</v>
      </c>
      <c r="AF42" s="418"/>
      <c r="AG42" s="421"/>
      <c r="AH42" s="424"/>
      <c r="AI42" s="418"/>
      <c r="AJ42" s="418"/>
      <c r="AK42" s="418"/>
      <c r="AL42" s="421" t="s">
        <v>11</v>
      </c>
      <c r="AM42" s="424" t="s">
        <v>11</v>
      </c>
      <c r="AN42" s="418" t="s">
        <v>11</v>
      </c>
      <c r="AO42" s="418" t="s">
        <v>11</v>
      </c>
      <c r="AP42" s="418" t="s">
        <v>11</v>
      </c>
      <c r="AQ42" s="421" t="s">
        <v>11</v>
      </c>
      <c r="AR42" s="424" t="s">
        <v>11</v>
      </c>
      <c r="AS42" s="418" t="s">
        <v>11</v>
      </c>
      <c r="AT42" s="418" t="s">
        <v>11</v>
      </c>
      <c r="AU42" s="418" t="s">
        <v>11</v>
      </c>
      <c r="AV42" s="421" t="s">
        <v>11</v>
      </c>
      <c r="AW42" s="424" t="s">
        <v>11</v>
      </c>
      <c r="AX42" s="418" t="s">
        <v>11</v>
      </c>
      <c r="AY42" s="418" t="s">
        <v>11</v>
      </c>
      <c r="AZ42" s="418" t="s">
        <v>11</v>
      </c>
      <c r="BA42" s="421" t="s">
        <v>11</v>
      </c>
      <c r="BB42" s="424" t="s">
        <v>11</v>
      </c>
      <c r="BC42" s="418" t="s">
        <v>11</v>
      </c>
      <c r="BD42" s="418" t="s">
        <v>11</v>
      </c>
      <c r="BE42" s="418" t="s">
        <v>11</v>
      </c>
      <c r="BF42" s="421" t="s">
        <v>11</v>
      </c>
      <c r="BG42" s="424" t="s">
        <v>11</v>
      </c>
      <c r="BH42" s="418" t="s">
        <v>11</v>
      </c>
      <c r="BI42" s="418" t="s">
        <v>11</v>
      </c>
      <c r="BJ42" s="418" t="s">
        <v>11</v>
      </c>
      <c r="BK42" s="421" t="s">
        <v>11</v>
      </c>
      <c r="BL42" s="424" t="s">
        <v>11</v>
      </c>
      <c r="BM42" s="421" t="s">
        <v>11</v>
      </c>
      <c r="BN42" s="168">
        <f t="shared" si="24"/>
        <v>0.221</v>
      </c>
      <c r="BO42" s="168">
        <f t="shared" si="25"/>
        <v>0.21199999999999999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19</v>
      </c>
      <c r="B43" s="6" t="s">
        <v>15</v>
      </c>
      <c r="C43" s="395" t="s">
        <v>305</v>
      </c>
      <c r="D43" s="413" t="s">
        <v>11</v>
      </c>
      <c r="E43" s="416" t="s">
        <v>11</v>
      </c>
      <c r="F43" s="416" t="s">
        <v>11</v>
      </c>
      <c r="G43" s="416" t="s">
        <v>11</v>
      </c>
      <c r="H43" s="419" t="s">
        <v>11</v>
      </c>
      <c r="I43" s="422" t="s">
        <v>11</v>
      </c>
      <c r="J43" s="416" t="s">
        <v>11</v>
      </c>
      <c r="K43" s="416" t="s">
        <v>11</v>
      </c>
      <c r="L43" s="416" t="s">
        <v>11</v>
      </c>
      <c r="M43" s="419" t="s">
        <v>11</v>
      </c>
      <c r="N43" s="422" t="s">
        <v>11</v>
      </c>
      <c r="O43" s="416" t="s">
        <v>11</v>
      </c>
      <c r="P43" s="416" t="s">
        <v>11</v>
      </c>
      <c r="Q43" s="416" t="s">
        <v>11</v>
      </c>
      <c r="R43" s="419" t="s">
        <v>11</v>
      </c>
      <c r="S43" s="422" t="s">
        <v>11</v>
      </c>
      <c r="T43" s="416" t="s">
        <v>11</v>
      </c>
      <c r="U43" s="416" t="s">
        <v>11</v>
      </c>
      <c r="V43" s="416" t="s">
        <v>11</v>
      </c>
      <c r="W43" s="419" t="s">
        <v>11</v>
      </c>
      <c r="X43" s="422" t="s">
        <v>11</v>
      </c>
      <c r="Y43" s="416" t="s">
        <v>11</v>
      </c>
      <c r="Z43" s="416" t="s">
        <v>11</v>
      </c>
      <c r="AA43" s="416" t="s">
        <v>11</v>
      </c>
      <c r="AB43" s="419" t="s">
        <v>11</v>
      </c>
      <c r="AC43" s="422" t="s">
        <v>11</v>
      </c>
      <c r="AD43" s="416" t="s">
        <v>11</v>
      </c>
      <c r="AE43" s="416" t="s">
        <v>11</v>
      </c>
      <c r="AF43" s="416">
        <f>MIN(Thickness!AF43:AF45)</f>
        <v>0.222</v>
      </c>
      <c r="AG43" s="419">
        <f>MIN(Thickness!AG43:AG45)</f>
        <v>0.223</v>
      </c>
      <c r="AH43" s="422">
        <f>MIN(Thickness!AH43:AH45)</f>
        <v>0.224</v>
      </c>
      <c r="AI43" s="416">
        <f>MIN(Thickness!AI43:AI45)</f>
        <v>0.22600000000000001</v>
      </c>
      <c r="AJ43" s="416">
        <f>MIN(Thickness!AJ43:AJ45)</f>
        <v>0.219</v>
      </c>
      <c r="AK43" s="416">
        <f>MIN(Thickness!AK43:AK45)</f>
        <v>0.21199999999999999</v>
      </c>
      <c r="AL43" s="419" t="s">
        <v>11</v>
      </c>
      <c r="AM43" s="422" t="s">
        <v>11</v>
      </c>
      <c r="AN43" s="416" t="s">
        <v>11</v>
      </c>
      <c r="AO43" s="416" t="s">
        <v>11</v>
      </c>
      <c r="AP43" s="416" t="s">
        <v>11</v>
      </c>
      <c r="AQ43" s="419" t="s">
        <v>11</v>
      </c>
      <c r="AR43" s="422" t="s">
        <v>11</v>
      </c>
      <c r="AS43" s="416" t="s">
        <v>11</v>
      </c>
      <c r="AT43" s="416" t="s">
        <v>11</v>
      </c>
      <c r="AU43" s="416" t="s">
        <v>11</v>
      </c>
      <c r="AV43" s="419" t="s">
        <v>11</v>
      </c>
      <c r="AW43" s="422" t="s">
        <v>11</v>
      </c>
      <c r="AX43" s="416" t="s">
        <v>11</v>
      </c>
      <c r="AY43" s="416" t="s">
        <v>11</v>
      </c>
      <c r="AZ43" s="416" t="s">
        <v>11</v>
      </c>
      <c r="BA43" s="419" t="s">
        <v>11</v>
      </c>
      <c r="BB43" s="422" t="s">
        <v>11</v>
      </c>
      <c r="BC43" s="416" t="s">
        <v>11</v>
      </c>
      <c r="BD43" s="416" t="s">
        <v>11</v>
      </c>
      <c r="BE43" s="416" t="s">
        <v>11</v>
      </c>
      <c r="BF43" s="419" t="s">
        <v>11</v>
      </c>
      <c r="BG43" s="422" t="s">
        <v>11</v>
      </c>
      <c r="BH43" s="416" t="s">
        <v>11</v>
      </c>
      <c r="BI43" s="416" t="s">
        <v>11</v>
      </c>
      <c r="BJ43" s="416" t="s">
        <v>11</v>
      </c>
      <c r="BK43" s="419" t="s">
        <v>11</v>
      </c>
      <c r="BL43" s="422" t="s">
        <v>11</v>
      </c>
      <c r="BM43" s="419" t="s">
        <v>11</v>
      </c>
      <c r="BN43" s="166">
        <f t="shared" ref="BN43:BN45" si="26">IFERROR(AVERAGE(D43:BM45),0)</f>
        <v>0.221</v>
      </c>
      <c r="BO43" s="166">
        <f t="shared" ref="BO43:BO45" si="27">MIN(D43:BM45)</f>
        <v>0.21199999999999999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65">
        <v>8.3000000000000004E-2</v>
      </c>
      <c r="B44" s="7" t="s">
        <v>12</v>
      </c>
      <c r="C44" s="396"/>
      <c r="D44" s="414" t="s">
        <v>11</v>
      </c>
      <c r="E44" s="417" t="s">
        <v>11</v>
      </c>
      <c r="F44" s="417" t="s">
        <v>11</v>
      </c>
      <c r="G44" s="417" t="s">
        <v>11</v>
      </c>
      <c r="H44" s="420" t="s">
        <v>11</v>
      </c>
      <c r="I44" s="423" t="s">
        <v>11</v>
      </c>
      <c r="J44" s="417" t="s">
        <v>11</v>
      </c>
      <c r="K44" s="417" t="s">
        <v>11</v>
      </c>
      <c r="L44" s="417" t="s">
        <v>11</v>
      </c>
      <c r="M44" s="420" t="s">
        <v>11</v>
      </c>
      <c r="N44" s="423" t="s">
        <v>11</v>
      </c>
      <c r="O44" s="417" t="s">
        <v>11</v>
      </c>
      <c r="P44" s="417" t="s">
        <v>11</v>
      </c>
      <c r="Q44" s="417" t="s">
        <v>11</v>
      </c>
      <c r="R44" s="420" t="s">
        <v>11</v>
      </c>
      <c r="S44" s="423" t="s">
        <v>11</v>
      </c>
      <c r="T44" s="417" t="s">
        <v>11</v>
      </c>
      <c r="U44" s="417" t="s">
        <v>11</v>
      </c>
      <c r="V44" s="417" t="s">
        <v>11</v>
      </c>
      <c r="W44" s="420" t="s">
        <v>11</v>
      </c>
      <c r="X44" s="423" t="s">
        <v>11</v>
      </c>
      <c r="Y44" s="417" t="s">
        <v>11</v>
      </c>
      <c r="Z44" s="417" t="s">
        <v>11</v>
      </c>
      <c r="AA44" s="417" t="s">
        <v>11</v>
      </c>
      <c r="AB44" s="420" t="s">
        <v>11</v>
      </c>
      <c r="AC44" s="423" t="s">
        <v>11</v>
      </c>
      <c r="AD44" s="417" t="s">
        <v>11</v>
      </c>
      <c r="AE44" s="417" t="s">
        <v>11</v>
      </c>
      <c r="AF44" s="417"/>
      <c r="AG44" s="420"/>
      <c r="AH44" s="423"/>
      <c r="AI44" s="417"/>
      <c r="AJ44" s="417"/>
      <c r="AK44" s="417"/>
      <c r="AL44" s="420" t="s">
        <v>11</v>
      </c>
      <c r="AM44" s="423" t="s">
        <v>11</v>
      </c>
      <c r="AN44" s="417" t="s">
        <v>11</v>
      </c>
      <c r="AO44" s="417" t="s">
        <v>11</v>
      </c>
      <c r="AP44" s="417" t="s">
        <v>11</v>
      </c>
      <c r="AQ44" s="420" t="s">
        <v>11</v>
      </c>
      <c r="AR44" s="423" t="s">
        <v>11</v>
      </c>
      <c r="AS44" s="417" t="s">
        <v>11</v>
      </c>
      <c r="AT44" s="417" t="s">
        <v>11</v>
      </c>
      <c r="AU44" s="417" t="s">
        <v>11</v>
      </c>
      <c r="AV44" s="420" t="s">
        <v>11</v>
      </c>
      <c r="AW44" s="423" t="s">
        <v>11</v>
      </c>
      <c r="AX44" s="417" t="s">
        <v>11</v>
      </c>
      <c r="AY44" s="417" t="s">
        <v>11</v>
      </c>
      <c r="AZ44" s="417" t="s">
        <v>11</v>
      </c>
      <c r="BA44" s="420" t="s">
        <v>11</v>
      </c>
      <c r="BB44" s="423" t="s">
        <v>11</v>
      </c>
      <c r="BC44" s="417" t="s">
        <v>11</v>
      </c>
      <c r="BD44" s="417" t="s">
        <v>11</v>
      </c>
      <c r="BE44" s="417" t="s">
        <v>11</v>
      </c>
      <c r="BF44" s="420" t="s">
        <v>11</v>
      </c>
      <c r="BG44" s="423" t="s">
        <v>11</v>
      </c>
      <c r="BH44" s="417" t="s">
        <v>11</v>
      </c>
      <c r="BI44" s="417" t="s">
        <v>11</v>
      </c>
      <c r="BJ44" s="417" t="s">
        <v>11</v>
      </c>
      <c r="BK44" s="420" t="s">
        <v>11</v>
      </c>
      <c r="BL44" s="423" t="s">
        <v>11</v>
      </c>
      <c r="BM44" s="420" t="s">
        <v>11</v>
      </c>
      <c r="BN44" s="167">
        <f t="shared" si="26"/>
        <v>0.22416666666666671</v>
      </c>
      <c r="BO44" s="167">
        <f t="shared" si="27"/>
        <v>0.218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65"/>
      <c r="B45" s="8" t="s">
        <v>30</v>
      </c>
      <c r="C45" s="396"/>
      <c r="D45" s="415" t="s">
        <v>11</v>
      </c>
      <c r="E45" s="418" t="s">
        <v>11</v>
      </c>
      <c r="F45" s="418" t="s">
        <v>11</v>
      </c>
      <c r="G45" s="418" t="s">
        <v>11</v>
      </c>
      <c r="H45" s="421" t="s">
        <v>11</v>
      </c>
      <c r="I45" s="424" t="s">
        <v>11</v>
      </c>
      <c r="J45" s="418" t="s">
        <v>11</v>
      </c>
      <c r="K45" s="418" t="s">
        <v>11</v>
      </c>
      <c r="L45" s="418" t="s">
        <v>11</v>
      </c>
      <c r="M45" s="421" t="s">
        <v>11</v>
      </c>
      <c r="N45" s="424" t="s">
        <v>11</v>
      </c>
      <c r="O45" s="418" t="s">
        <v>11</v>
      </c>
      <c r="P45" s="418" t="s">
        <v>11</v>
      </c>
      <c r="Q45" s="418" t="s">
        <v>11</v>
      </c>
      <c r="R45" s="421" t="s">
        <v>11</v>
      </c>
      <c r="S45" s="424" t="s">
        <v>11</v>
      </c>
      <c r="T45" s="418" t="s">
        <v>11</v>
      </c>
      <c r="U45" s="418" t="s">
        <v>11</v>
      </c>
      <c r="V45" s="418" t="s">
        <v>11</v>
      </c>
      <c r="W45" s="421" t="s">
        <v>11</v>
      </c>
      <c r="X45" s="424" t="s">
        <v>11</v>
      </c>
      <c r="Y45" s="418" t="s">
        <v>11</v>
      </c>
      <c r="Z45" s="418" t="s">
        <v>11</v>
      </c>
      <c r="AA45" s="418" t="s">
        <v>11</v>
      </c>
      <c r="AB45" s="421" t="s">
        <v>11</v>
      </c>
      <c r="AC45" s="424" t="s">
        <v>11</v>
      </c>
      <c r="AD45" s="418" t="s">
        <v>11</v>
      </c>
      <c r="AE45" s="418" t="s">
        <v>11</v>
      </c>
      <c r="AF45" s="418"/>
      <c r="AG45" s="421"/>
      <c r="AH45" s="424"/>
      <c r="AI45" s="418"/>
      <c r="AJ45" s="418"/>
      <c r="AK45" s="418"/>
      <c r="AL45" s="421" t="s">
        <v>11</v>
      </c>
      <c r="AM45" s="424" t="s">
        <v>11</v>
      </c>
      <c r="AN45" s="418" t="s">
        <v>11</v>
      </c>
      <c r="AO45" s="418" t="s">
        <v>11</v>
      </c>
      <c r="AP45" s="418" t="s">
        <v>11</v>
      </c>
      <c r="AQ45" s="421" t="s">
        <v>11</v>
      </c>
      <c r="AR45" s="424" t="s">
        <v>11</v>
      </c>
      <c r="AS45" s="418" t="s">
        <v>11</v>
      </c>
      <c r="AT45" s="418" t="s">
        <v>11</v>
      </c>
      <c r="AU45" s="418" t="s">
        <v>11</v>
      </c>
      <c r="AV45" s="421" t="s">
        <v>11</v>
      </c>
      <c r="AW45" s="424" t="s">
        <v>11</v>
      </c>
      <c r="AX45" s="418" t="s">
        <v>11</v>
      </c>
      <c r="AY45" s="418" t="s">
        <v>11</v>
      </c>
      <c r="AZ45" s="418" t="s">
        <v>11</v>
      </c>
      <c r="BA45" s="421" t="s">
        <v>11</v>
      </c>
      <c r="BB45" s="424" t="s">
        <v>11</v>
      </c>
      <c r="BC45" s="418" t="s">
        <v>11</v>
      </c>
      <c r="BD45" s="418" t="s">
        <v>11</v>
      </c>
      <c r="BE45" s="418" t="s">
        <v>11</v>
      </c>
      <c r="BF45" s="421" t="s">
        <v>11</v>
      </c>
      <c r="BG45" s="424" t="s">
        <v>11</v>
      </c>
      <c r="BH45" s="418" t="s">
        <v>11</v>
      </c>
      <c r="BI45" s="418" t="s">
        <v>11</v>
      </c>
      <c r="BJ45" s="418" t="s">
        <v>11</v>
      </c>
      <c r="BK45" s="421" t="s">
        <v>11</v>
      </c>
      <c r="BL45" s="424" t="s">
        <v>11</v>
      </c>
      <c r="BM45" s="421" t="s">
        <v>11</v>
      </c>
      <c r="BN45" s="168">
        <f t="shared" si="26"/>
        <v>0.22416666666666671</v>
      </c>
      <c r="BO45" s="168">
        <f t="shared" si="27"/>
        <v>0.218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19</v>
      </c>
      <c r="B46" s="6" t="s">
        <v>17</v>
      </c>
      <c r="C46" s="395" t="s">
        <v>305</v>
      </c>
      <c r="D46" s="413" t="s">
        <v>11</v>
      </c>
      <c r="E46" s="416" t="s">
        <v>11</v>
      </c>
      <c r="F46" s="416" t="s">
        <v>11</v>
      </c>
      <c r="G46" s="416" t="s">
        <v>11</v>
      </c>
      <c r="H46" s="419" t="s">
        <v>11</v>
      </c>
      <c r="I46" s="422" t="s">
        <v>11</v>
      </c>
      <c r="J46" s="416" t="s">
        <v>11</v>
      </c>
      <c r="K46" s="416" t="s">
        <v>11</v>
      </c>
      <c r="L46" s="416" t="s">
        <v>11</v>
      </c>
      <c r="M46" s="419" t="s">
        <v>11</v>
      </c>
      <c r="N46" s="422" t="s">
        <v>11</v>
      </c>
      <c r="O46" s="416" t="s">
        <v>11</v>
      </c>
      <c r="P46" s="416" t="s">
        <v>11</v>
      </c>
      <c r="Q46" s="416" t="s">
        <v>11</v>
      </c>
      <c r="R46" s="419" t="s">
        <v>11</v>
      </c>
      <c r="S46" s="422" t="s">
        <v>11</v>
      </c>
      <c r="T46" s="416" t="s">
        <v>11</v>
      </c>
      <c r="U46" s="416" t="s">
        <v>11</v>
      </c>
      <c r="V46" s="416" t="s">
        <v>11</v>
      </c>
      <c r="W46" s="419" t="s">
        <v>11</v>
      </c>
      <c r="X46" s="422" t="s">
        <v>11</v>
      </c>
      <c r="Y46" s="416" t="s">
        <v>11</v>
      </c>
      <c r="Z46" s="416" t="s">
        <v>11</v>
      </c>
      <c r="AA46" s="416" t="s">
        <v>11</v>
      </c>
      <c r="AB46" s="419" t="s">
        <v>11</v>
      </c>
      <c r="AC46" s="422" t="s">
        <v>11</v>
      </c>
      <c r="AD46" s="416" t="s">
        <v>11</v>
      </c>
      <c r="AE46" s="416" t="s">
        <v>11</v>
      </c>
      <c r="AF46" s="416">
        <f>MIN(Thickness!AF46:AF48)</f>
        <v>0.22500000000000001</v>
      </c>
      <c r="AG46" s="419">
        <f>MIN(Thickness!AG46:AG48)</f>
        <v>0.22</v>
      </c>
      <c r="AH46" s="422">
        <f>MIN(Thickness!AH46:AH48)</f>
        <v>0.22800000000000001</v>
      </c>
      <c r="AI46" s="416">
        <f>MIN(Thickness!AI46:AI48)</f>
        <v>0.22900000000000001</v>
      </c>
      <c r="AJ46" s="416">
        <f>MIN(Thickness!AJ46:AJ48)</f>
        <v>0.218</v>
      </c>
      <c r="AK46" s="416">
        <f>MIN(Thickness!AK46:AK48)</f>
        <v>0.22500000000000001</v>
      </c>
      <c r="AL46" s="419" t="s">
        <v>11</v>
      </c>
      <c r="AM46" s="422" t="s">
        <v>11</v>
      </c>
      <c r="AN46" s="416" t="s">
        <v>11</v>
      </c>
      <c r="AO46" s="416" t="s">
        <v>11</v>
      </c>
      <c r="AP46" s="416" t="s">
        <v>11</v>
      </c>
      <c r="AQ46" s="419" t="s">
        <v>11</v>
      </c>
      <c r="AR46" s="422" t="s">
        <v>11</v>
      </c>
      <c r="AS46" s="416" t="s">
        <v>11</v>
      </c>
      <c r="AT46" s="416" t="s">
        <v>11</v>
      </c>
      <c r="AU46" s="416" t="s">
        <v>11</v>
      </c>
      <c r="AV46" s="419" t="s">
        <v>11</v>
      </c>
      <c r="AW46" s="422" t="s">
        <v>11</v>
      </c>
      <c r="AX46" s="416" t="s">
        <v>11</v>
      </c>
      <c r="AY46" s="416" t="s">
        <v>11</v>
      </c>
      <c r="AZ46" s="416" t="s">
        <v>11</v>
      </c>
      <c r="BA46" s="419" t="s">
        <v>11</v>
      </c>
      <c r="BB46" s="422" t="s">
        <v>11</v>
      </c>
      <c r="BC46" s="416" t="s">
        <v>11</v>
      </c>
      <c r="BD46" s="416" t="s">
        <v>11</v>
      </c>
      <c r="BE46" s="416" t="s">
        <v>11</v>
      </c>
      <c r="BF46" s="419" t="s">
        <v>11</v>
      </c>
      <c r="BG46" s="422" t="s">
        <v>11</v>
      </c>
      <c r="BH46" s="416" t="s">
        <v>11</v>
      </c>
      <c r="BI46" s="416" t="s">
        <v>11</v>
      </c>
      <c r="BJ46" s="416" t="s">
        <v>11</v>
      </c>
      <c r="BK46" s="419" t="s">
        <v>11</v>
      </c>
      <c r="BL46" s="422" t="s">
        <v>11</v>
      </c>
      <c r="BM46" s="419" t="s">
        <v>11</v>
      </c>
      <c r="BN46" s="166">
        <f t="shared" ref="BN46:BN48" si="28">IFERROR(AVERAGE(D46:BM48),0)</f>
        <v>0.22416666666666671</v>
      </c>
      <c r="BO46" s="166">
        <f t="shared" ref="BO46:BO48" si="29">MIN(D46:BM48)</f>
        <v>0.218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65">
        <v>8.3000000000000004E-2</v>
      </c>
      <c r="B47" s="7" t="s">
        <v>12</v>
      </c>
      <c r="C47" s="396"/>
      <c r="D47" s="414" t="s">
        <v>11</v>
      </c>
      <c r="E47" s="417" t="s">
        <v>11</v>
      </c>
      <c r="F47" s="417" t="s">
        <v>11</v>
      </c>
      <c r="G47" s="417" t="s">
        <v>11</v>
      </c>
      <c r="H47" s="420" t="s">
        <v>11</v>
      </c>
      <c r="I47" s="423" t="s">
        <v>11</v>
      </c>
      <c r="J47" s="417" t="s">
        <v>11</v>
      </c>
      <c r="K47" s="417" t="s">
        <v>11</v>
      </c>
      <c r="L47" s="417" t="s">
        <v>11</v>
      </c>
      <c r="M47" s="420" t="s">
        <v>11</v>
      </c>
      <c r="N47" s="423" t="s">
        <v>11</v>
      </c>
      <c r="O47" s="417" t="s">
        <v>11</v>
      </c>
      <c r="P47" s="417" t="s">
        <v>11</v>
      </c>
      <c r="Q47" s="417" t="s">
        <v>11</v>
      </c>
      <c r="R47" s="420" t="s">
        <v>11</v>
      </c>
      <c r="S47" s="423" t="s">
        <v>11</v>
      </c>
      <c r="T47" s="417" t="s">
        <v>11</v>
      </c>
      <c r="U47" s="417" t="s">
        <v>11</v>
      </c>
      <c r="V47" s="417" t="s">
        <v>11</v>
      </c>
      <c r="W47" s="420" t="s">
        <v>11</v>
      </c>
      <c r="X47" s="423" t="s">
        <v>11</v>
      </c>
      <c r="Y47" s="417" t="s">
        <v>11</v>
      </c>
      <c r="Z47" s="417" t="s">
        <v>11</v>
      </c>
      <c r="AA47" s="417" t="s">
        <v>11</v>
      </c>
      <c r="AB47" s="420" t="s">
        <v>11</v>
      </c>
      <c r="AC47" s="423" t="s">
        <v>11</v>
      </c>
      <c r="AD47" s="417" t="s">
        <v>11</v>
      </c>
      <c r="AE47" s="417" t="s">
        <v>11</v>
      </c>
      <c r="AF47" s="417"/>
      <c r="AG47" s="420"/>
      <c r="AH47" s="423"/>
      <c r="AI47" s="417"/>
      <c r="AJ47" s="417"/>
      <c r="AK47" s="417"/>
      <c r="AL47" s="420" t="s">
        <v>11</v>
      </c>
      <c r="AM47" s="423" t="s">
        <v>11</v>
      </c>
      <c r="AN47" s="417" t="s">
        <v>11</v>
      </c>
      <c r="AO47" s="417" t="s">
        <v>11</v>
      </c>
      <c r="AP47" s="417" t="s">
        <v>11</v>
      </c>
      <c r="AQ47" s="420" t="s">
        <v>11</v>
      </c>
      <c r="AR47" s="423" t="s">
        <v>11</v>
      </c>
      <c r="AS47" s="417" t="s">
        <v>11</v>
      </c>
      <c r="AT47" s="417" t="s">
        <v>11</v>
      </c>
      <c r="AU47" s="417" t="s">
        <v>11</v>
      </c>
      <c r="AV47" s="420" t="s">
        <v>11</v>
      </c>
      <c r="AW47" s="423" t="s">
        <v>11</v>
      </c>
      <c r="AX47" s="417" t="s">
        <v>11</v>
      </c>
      <c r="AY47" s="417" t="s">
        <v>11</v>
      </c>
      <c r="AZ47" s="417" t="s">
        <v>11</v>
      </c>
      <c r="BA47" s="420" t="s">
        <v>11</v>
      </c>
      <c r="BB47" s="423" t="s">
        <v>11</v>
      </c>
      <c r="BC47" s="417" t="s">
        <v>11</v>
      </c>
      <c r="BD47" s="417" t="s">
        <v>11</v>
      </c>
      <c r="BE47" s="417" t="s">
        <v>11</v>
      </c>
      <c r="BF47" s="420" t="s">
        <v>11</v>
      </c>
      <c r="BG47" s="423" t="s">
        <v>11</v>
      </c>
      <c r="BH47" s="417" t="s">
        <v>11</v>
      </c>
      <c r="BI47" s="417" t="s">
        <v>11</v>
      </c>
      <c r="BJ47" s="417" t="s">
        <v>11</v>
      </c>
      <c r="BK47" s="420" t="s">
        <v>11</v>
      </c>
      <c r="BL47" s="423" t="s">
        <v>11</v>
      </c>
      <c r="BM47" s="420" t="s">
        <v>11</v>
      </c>
      <c r="BN47" s="167">
        <f t="shared" si="28"/>
        <v>0.22066666666666668</v>
      </c>
      <c r="BO47" s="167">
        <f t="shared" si="29"/>
        <v>0.21099999999999999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65"/>
      <c r="B48" s="8" t="s">
        <v>30</v>
      </c>
      <c r="C48" s="396"/>
      <c r="D48" s="415" t="s">
        <v>11</v>
      </c>
      <c r="E48" s="418" t="s">
        <v>11</v>
      </c>
      <c r="F48" s="418" t="s">
        <v>11</v>
      </c>
      <c r="G48" s="418" t="s">
        <v>11</v>
      </c>
      <c r="H48" s="421" t="s">
        <v>11</v>
      </c>
      <c r="I48" s="424" t="s">
        <v>11</v>
      </c>
      <c r="J48" s="418" t="s">
        <v>11</v>
      </c>
      <c r="K48" s="418" t="s">
        <v>11</v>
      </c>
      <c r="L48" s="418" t="s">
        <v>11</v>
      </c>
      <c r="M48" s="421" t="s">
        <v>11</v>
      </c>
      <c r="N48" s="424" t="s">
        <v>11</v>
      </c>
      <c r="O48" s="418" t="s">
        <v>11</v>
      </c>
      <c r="P48" s="418" t="s">
        <v>11</v>
      </c>
      <c r="Q48" s="418" t="s">
        <v>11</v>
      </c>
      <c r="R48" s="421" t="s">
        <v>11</v>
      </c>
      <c r="S48" s="424" t="s">
        <v>11</v>
      </c>
      <c r="T48" s="418" t="s">
        <v>11</v>
      </c>
      <c r="U48" s="418" t="s">
        <v>11</v>
      </c>
      <c r="V48" s="418" t="s">
        <v>11</v>
      </c>
      <c r="W48" s="421" t="s">
        <v>11</v>
      </c>
      <c r="X48" s="424" t="s">
        <v>11</v>
      </c>
      <c r="Y48" s="418" t="s">
        <v>11</v>
      </c>
      <c r="Z48" s="418" t="s">
        <v>11</v>
      </c>
      <c r="AA48" s="418" t="s">
        <v>11</v>
      </c>
      <c r="AB48" s="421" t="s">
        <v>11</v>
      </c>
      <c r="AC48" s="424" t="s">
        <v>11</v>
      </c>
      <c r="AD48" s="418" t="s">
        <v>11</v>
      </c>
      <c r="AE48" s="418" t="s">
        <v>11</v>
      </c>
      <c r="AF48" s="418"/>
      <c r="AG48" s="421"/>
      <c r="AH48" s="424"/>
      <c r="AI48" s="418"/>
      <c r="AJ48" s="418"/>
      <c r="AK48" s="418"/>
      <c r="AL48" s="421" t="s">
        <v>11</v>
      </c>
      <c r="AM48" s="424" t="s">
        <v>11</v>
      </c>
      <c r="AN48" s="418" t="s">
        <v>11</v>
      </c>
      <c r="AO48" s="418" t="s">
        <v>11</v>
      </c>
      <c r="AP48" s="418" t="s">
        <v>11</v>
      </c>
      <c r="AQ48" s="421" t="s">
        <v>11</v>
      </c>
      <c r="AR48" s="424" t="s">
        <v>11</v>
      </c>
      <c r="AS48" s="418" t="s">
        <v>11</v>
      </c>
      <c r="AT48" s="418" t="s">
        <v>11</v>
      </c>
      <c r="AU48" s="418" t="s">
        <v>11</v>
      </c>
      <c r="AV48" s="421" t="s">
        <v>11</v>
      </c>
      <c r="AW48" s="424" t="s">
        <v>11</v>
      </c>
      <c r="AX48" s="418" t="s">
        <v>11</v>
      </c>
      <c r="AY48" s="418" t="s">
        <v>11</v>
      </c>
      <c r="AZ48" s="418" t="s">
        <v>11</v>
      </c>
      <c r="BA48" s="421" t="s">
        <v>11</v>
      </c>
      <c r="BB48" s="424" t="s">
        <v>11</v>
      </c>
      <c r="BC48" s="418" t="s">
        <v>11</v>
      </c>
      <c r="BD48" s="418" t="s">
        <v>11</v>
      </c>
      <c r="BE48" s="418" t="s">
        <v>11</v>
      </c>
      <c r="BF48" s="421" t="s">
        <v>11</v>
      </c>
      <c r="BG48" s="424" t="s">
        <v>11</v>
      </c>
      <c r="BH48" s="418" t="s">
        <v>11</v>
      </c>
      <c r="BI48" s="418" t="s">
        <v>11</v>
      </c>
      <c r="BJ48" s="418" t="s">
        <v>11</v>
      </c>
      <c r="BK48" s="421" t="s">
        <v>11</v>
      </c>
      <c r="BL48" s="424" t="s">
        <v>11</v>
      </c>
      <c r="BM48" s="421" t="s">
        <v>11</v>
      </c>
      <c r="BN48" s="168">
        <f t="shared" si="28"/>
        <v>0.22066666666666668</v>
      </c>
      <c r="BO48" s="168">
        <f t="shared" si="29"/>
        <v>0.21099999999999999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19</v>
      </c>
      <c r="B49" s="6" t="s">
        <v>31</v>
      </c>
      <c r="C49" s="395" t="s">
        <v>305</v>
      </c>
      <c r="D49" s="413" t="s">
        <v>11</v>
      </c>
      <c r="E49" s="416" t="s">
        <v>11</v>
      </c>
      <c r="F49" s="416" t="s">
        <v>11</v>
      </c>
      <c r="G49" s="416" t="s">
        <v>11</v>
      </c>
      <c r="H49" s="419" t="s">
        <v>11</v>
      </c>
      <c r="I49" s="422" t="s">
        <v>11</v>
      </c>
      <c r="J49" s="416" t="s">
        <v>11</v>
      </c>
      <c r="K49" s="416" t="s">
        <v>11</v>
      </c>
      <c r="L49" s="416" t="s">
        <v>11</v>
      </c>
      <c r="M49" s="419" t="s">
        <v>11</v>
      </c>
      <c r="N49" s="422" t="s">
        <v>11</v>
      </c>
      <c r="O49" s="416" t="s">
        <v>11</v>
      </c>
      <c r="P49" s="416" t="s">
        <v>11</v>
      </c>
      <c r="Q49" s="416" t="s">
        <v>11</v>
      </c>
      <c r="R49" s="419" t="s">
        <v>11</v>
      </c>
      <c r="S49" s="422" t="s">
        <v>11</v>
      </c>
      <c r="T49" s="416" t="s">
        <v>11</v>
      </c>
      <c r="U49" s="416" t="s">
        <v>11</v>
      </c>
      <c r="V49" s="416" t="s">
        <v>11</v>
      </c>
      <c r="W49" s="419" t="s">
        <v>11</v>
      </c>
      <c r="X49" s="422" t="s">
        <v>11</v>
      </c>
      <c r="Y49" s="416" t="s">
        <v>11</v>
      </c>
      <c r="Z49" s="416" t="s">
        <v>11</v>
      </c>
      <c r="AA49" s="416" t="s">
        <v>11</v>
      </c>
      <c r="AB49" s="419" t="s">
        <v>11</v>
      </c>
      <c r="AC49" s="422" t="s">
        <v>11</v>
      </c>
      <c r="AD49" s="416" t="s">
        <v>11</v>
      </c>
      <c r="AE49" s="416" t="s">
        <v>11</v>
      </c>
      <c r="AF49" s="416">
        <f>MIN(Thickness!AF49:AF51)</f>
        <v>0.22</v>
      </c>
      <c r="AG49" s="419">
        <f>MIN(Thickness!AG49:AG51)</f>
        <v>0.21099999999999999</v>
      </c>
      <c r="AH49" s="422">
        <f>MIN(Thickness!AH49:AH51)</f>
        <v>0.23100000000000001</v>
      </c>
      <c r="AI49" s="416">
        <f>MIN(Thickness!AI49:AI51)</f>
        <v>0.23499999999999999</v>
      </c>
      <c r="AJ49" s="416">
        <f>MIN(Thickness!AJ49:AJ51)</f>
        <v>0.21299999999999999</v>
      </c>
      <c r="AK49" s="416">
        <f>MIN(Thickness!AK49:AK51)</f>
        <v>0.214</v>
      </c>
      <c r="AL49" s="419" t="s">
        <v>11</v>
      </c>
      <c r="AM49" s="422" t="s">
        <v>11</v>
      </c>
      <c r="AN49" s="416" t="s">
        <v>11</v>
      </c>
      <c r="AO49" s="416" t="s">
        <v>11</v>
      </c>
      <c r="AP49" s="416" t="s">
        <v>11</v>
      </c>
      <c r="AQ49" s="419" t="s">
        <v>11</v>
      </c>
      <c r="AR49" s="422" t="s">
        <v>11</v>
      </c>
      <c r="AS49" s="416" t="s">
        <v>11</v>
      </c>
      <c r="AT49" s="416" t="s">
        <v>11</v>
      </c>
      <c r="AU49" s="416" t="s">
        <v>11</v>
      </c>
      <c r="AV49" s="419" t="s">
        <v>11</v>
      </c>
      <c r="AW49" s="422" t="s">
        <v>11</v>
      </c>
      <c r="AX49" s="416" t="s">
        <v>11</v>
      </c>
      <c r="AY49" s="416" t="s">
        <v>11</v>
      </c>
      <c r="AZ49" s="416" t="s">
        <v>11</v>
      </c>
      <c r="BA49" s="419" t="s">
        <v>11</v>
      </c>
      <c r="BB49" s="422" t="s">
        <v>11</v>
      </c>
      <c r="BC49" s="416" t="s">
        <v>11</v>
      </c>
      <c r="BD49" s="416" t="s">
        <v>11</v>
      </c>
      <c r="BE49" s="416" t="s">
        <v>11</v>
      </c>
      <c r="BF49" s="419" t="s">
        <v>11</v>
      </c>
      <c r="BG49" s="422" t="s">
        <v>11</v>
      </c>
      <c r="BH49" s="416" t="s">
        <v>11</v>
      </c>
      <c r="BI49" s="416" t="s">
        <v>11</v>
      </c>
      <c r="BJ49" s="416" t="s">
        <v>11</v>
      </c>
      <c r="BK49" s="419" t="s">
        <v>11</v>
      </c>
      <c r="BL49" s="422" t="s">
        <v>11</v>
      </c>
      <c r="BM49" s="419" t="s">
        <v>11</v>
      </c>
      <c r="BN49" s="166">
        <f t="shared" ref="BN49:BN51" si="30">IFERROR(AVERAGE(D49:BM51),0)</f>
        <v>0.22066666666666668</v>
      </c>
      <c r="BO49" s="166">
        <f t="shared" ref="BO49:BO51" si="31">MIN(D49:BM51)</f>
        <v>0.21099999999999999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65">
        <v>8.3000000000000004E-2</v>
      </c>
      <c r="B50" s="7" t="s">
        <v>18</v>
      </c>
      <c r="C50" s="396"/>
      <c r="D50" s="414" t="s">
        <v>11</v>
      </c>
      <c r="E50" s="417" t="s">
        <v>11</v>
      </c>
      <c r="F50" s="417" t="s">
        <v>11</v>
      </c>
      <c r="G50" s="417" t="s">
        <v>11</v>
      </c>
      <c r="H50" s="420" t="s">
        <v>11</v>
      </c>
      <c r="I50" s="423" t="s">
        <v>11</v>
      </c>
      <c r="J50" s="417" t="s">
        <v>11</v>
      </c>
      <c r="K50" s="417" t="s">
        <v>11</v>
      </c>
      <c r="L50" s="417" t="s">
        <v>11</v>
      </c>
      <c r="M50" s="420" t="s">
        <v>11</v>
      </c>
      <c r="N50" s="423" t="s">
        <v>11</v>
      </c>
      <c r="O50" s="417" t="s">
        <v>11</v>
      </c>
      <c r="P50" s="417" t="s">
        <v>11</v>
      </c>
      <c r="Q50" s="417" t="s">
        <v>11</v>
      </c>
      <c r="R50" s="420" t="s">
        <v>11</v>
      </c>
      <c r="S50" s="423" t="s">
        <v>11</v>
      </c>
      <c r="T50" s="417" t="s">
        <v>11</v>
      </c>
      <c r="U50" s="417" t="s">
        <v>11</v>
      </c>
      <c r="V50" s="417" t="s">
        <v>11</v>
      </c>
      <c r="W50" s="420" t="s">
        <v>11</v>
      </c>
      <c r="X50" s="423" t="s">
        <v>11</v>
      </c>
      <c r="Y50" s="417" t="s">
        <v>11</v>
      </c>
      <c r="Z50" s="417" t="s">
        <v>11</v>
      </c>
      <c r="AA50" s="417" t="s">
        <v>11</v>
      </c>
      <c r="AB50" s="420" t="s">
        <v>11</v>
      </c>
      <c r="AC50" s="423" t="s">
        <v>11</v>
      </c>
      <c r="AD50" s="417" t="s">
        <v>11</v>
      </c>
      <c r="AE50" s="417" t="s">
        <v>11</v>
      </c>
      <c r="AF50" s="417"/>
      <c r="AG50" s="420"/>
      <c r="AH50" s="423"/>
      <c r="AI50" s="417"/>
      <c r="AJ50" s="417"/>
      <c r="AK50" s="417"/>
      <c r="AL50" s="420" t="s">
        <v>11</v>
      </c>
      <c r="AM50" s="423" t="s">
        <v>11</v>
      </c>
      <c r="AN50" s="417" t="s">
        <v>11</v>
      </c>
      <c r="AO50" s="417" t="s">
        <v>11</v>
      </c>
      <c r="AP50" s="417" t="s">
        <v>11</v>
      </c>
      <c r="AQ50" s="420" t="s">
        <v>11</v>
      </c>
      <c r="AR50" s="423" t="s">
        <v>11</v>
      </c>
      <c r="AS50" s="417" t="s">
        <v>11</v>
      </c>
      <c r="AT50" s="417" t="s">
        <v>11</v>
      </c>
      <c r="AU50" s="417" t="s">
        <v>11</v>
      </c>
      <c r="AV50" s="420" t="s">
        <v>11</v>
      </c>
      <c r="AW50" s="423" t="s">
        <v>11</v>
      </c>
      <c r="AX50" s="417" t="s">
        <v>11</v>
      </c>
      <c r="AY50" s="417" t="s">
        <v>11</v>
      </c>
      <c r="AZ50" s="417" t="s">
        <v>11</v>
      </c>
      <c r="BA50" s="420" t="s">
        <v>11</v>
      </c>
      <c r="BB50" s="423" t="s">
        <v>11</v>
      </c>
      <c r="BC50" s="417" t="s">
        <v>11</v>
      </c>
      <c r="BD50" s="417" t="s">
        <v>11</v>
      </c>
      <c r="BE50" s="417" t="s">
        <v>11</v>
      </c>
      <c r="BF50" s="420" t="s">
        <v>11</v>
      </c>
      <c r="BG50" s="423" t="s">
        <v>11</v>
      </c>
      <c r="BH50" s="417" t="s">
        <v>11</v>
      </c>
      <c r="BI50" s="417" t="s">
        <v>11</v>
      </c>
      <c r="BJ50" s="417" t="s">
        <v>11</v>
      </c>
      <c r="BK50" s="420" t="s">
        <v>11</v>
      </c>
      <c r="BL50" s="423" t="s">
        <v>11</v>
      </c>
      <c r="BM50" s="420" t="s">
        <v>11</v>
      </c>
      <c r="BN50" s="167">
        <f t="shared" si="30"/>
        <v>0.21850000000000003</v>
      </c>
      <c r="BO50" s="167">
        <f t="shared" si="31"/>
        <v>0.21099999999999999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65"/>
      <c r="B51" s="8" t="s">
        <v>30</v>
      </c>
      <c r="C51" s="396"/>
      <c r="D51" s="415" t="s">
        <v>11</v>
      </c>
      <c r="E51" s="418" t="s">
        <v>11</v>
      </c>
      <c r="F51" s="418" t="s">
        <v>11</v>
      </c>
      <c r="G51" s="418" t="s">
        <v>11</v>
      </c>
      <c r="H51" s="421" t="s">
        <v>11</v>
      </c>
      <c r="I51" s="424" t="s">
        <v>11</v>
      </c>
      <c r="J51" s="418" t="s">
        <v>11</v>
      </c>
      <c r="K51" s="418" t="s">
        <v>11</v>
      </c>
      <c r="L51" s="418" t="s">
        <v>11</v>
      </c>
      <c r="M51" s="421" t="s">
        <v>11</v>
      </c>
      <c r="N51" s="424" t="s">
        <v>11</v>
      </c>
      <c r="O51" s="418" t="s">
        <v>11</v>
      </c>
      <c r="P51" s="418" t="s">
        <v>11</v>
      </c>
      <c r="Q51" s="418" t="s">
        <v>11</v>
      </c>
      <c r="R51" s="421" t="s">
        <v>11</v>
      </c>
      <c r="S51" s="424" t="s">
        <v>11</v>
      </c>
      <c r="T51" s="418" t="s">
        <v>11</v>
      </c>
      <c r="U51" s="418" t="s">
        <v>11</v>
      </c>
      <c r="V51" s="418" t="s">
        <v>11</v>
      </c>
      <c r="W51" s="421" t="s">
        <v>11</v>
      </c>
      <c r="X51" s="424" t="s">
        <v>11</v>
      </c>
      <c r="Y51" s="418" t="s">
        <v>11</v>
      </c>
      <c r="Z51" s="418" t="s">
        <v>11</v>
      </c>
      <c r="AA51" s="418" t="s">
        <v>11</v>
      </c>
      <c r="AB51" s="421" t="s">
        <v>11</v>
      </c>
      <c r="AC51" s="424" t="s">
        <v>11</v>
      </c>
      <c r="AD51" s="418" t="s">
        <v>11</v>
      </c>
      <c r="AE51" s="418" t="s">
        <v>11</v>
      </c>
      <c r="AF51" s="418"/>
      <c r="AG51" s="421"/>
      <c r="AH51" s="424"/>
      <c r="AI51" s="418"/>
      <c r="AJ51" s="418"/>
      <c r="AK51" s="418"/>
      <c r="AL51" s="421" t="s">
        <v>11</v>
      </c>
      <c r="AM51" s="424" t="s">
        <v>11</v>
      </c>
      <c r="AN51" s="418" t="s">
        <v>11</v>
      </c>
      <c r="AO51" s="418" t="s">
        <v>11</v>
      </c>
      <c r="AP51" s="418" t="s">
        <v>11</v>
      </c>
      <c r="AQ51" s="421" t="s">
        <v>11</v>
      </c>
      <c r="AR51" s="424" t="s">
        <v>11</v>
      </c>
      <c r="AS51" s="418" t="s">
        <v>11</v>
      </c>
      <c r="AT51" s="418" t="s">
        <v>11</v>
      </c>
      <c r="AU51" s="418" t="s">
        <v>11</v>
      </c>
      <c r="AV51" s="421" t="s">
        <v>11</v>
      </c>
      <c r="AW51" s="424" t="s">
        <v>11</v>
      </c>
      <c r="AX51" s="418" t="s">
        <v>11</v>
      </c>
      <c r="AY51" s="418" t="s">
        <v>11</v>
      </c>
      <c r="AZ51" s="418" t="s">
        <v>11</v>
      </c>
      <c r="BA51" s="421" t="s">
        <v>11</v>
      </c>
      <c r="BB51" s="424" t="s">
        <v>11</v>
      </c>
      <c r="BC51" s="418" t="s">
        <v>11</v>
      </c>
      <c r="BD51" s="418" t="s">
        <v>11</v>
      </c>
      <c r="BE51" s="418" t="s">
        <v>11</v>
      </c>
      <c r="BF51" s="421" t="s">
        <v>11</v>
      </c>
      <c r="BG51" s="424" t="s">
        <v>11</v>
      </c>
      <c r="BH51" s="418" t="s">
        <v>11</v>
      </c>
      <c r="BI51" s="418" t="s">
        <v>11</v>
      </c>
      <c r="BJ51" s="418" t="s">
        <v>11</v>
      </c>
      <c r="BK51" s="421" t="s">
        <v>11</v>
      </c>
      <c r="BL51" s="424" t="s">
        <v>11</v>
      </c>
      <c r="BM51" s="421" t="s">
        <v>11</v>
      </c>
      <c r="BN51" s="168">
        <f t="shared" si="30"/>
        <v>0.21850000000000003</v>
      </c>
      <c r="BO51" s="168">
        <f t="shared" si="31"/>
        <v>0.21099999999999999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19</v>
      </c>
      <c r="B52" s="6" t="s">
        <v>32</v>
      </c>
      <c r="C52" s="395" t="s">
        <v>305</v>
      </c>
      <c r="D52" s="413" t="s">
        <v>11</v>
      </c>
      <c r="E52" s="416" t="s">
        <v>11</v>
      </c>
      <c r="F52" s="416" t="s">
        <v>11</v>
      </c>
      <c r="G52" s="416" t="s">
        <v>11</v>
      </c>
      <c r="H52" s="419" t="s">
        <v>11</v>
      </c>
      <c r="I52" s="422" t="s">
        <v>11</v>
      </c>
      <c r="J52" s="416" t="s">
        <v>11</v>
      </c>
      <c r="K52" s="416" t="s">
        <v>11</v>
      </c>
      <c r="L52" s="416" t="s">
        <v>11</v>
      </c>
      <c r="M52" s="419" t="s">
        <v>11</v>
      </c>
      <c r="N52" s="422" t="s">
        <v>11</v>
      </c>
      <c r="O52" s="416" t="s">
        <v>11</v>
      </c>
      <c r="P52" s="416" t="s">
        <v>11</v>
      </c>
      <c r="Q52" s="416" t="s">
        <v>11</v>
      </c>
      <c r="R52" s="419" t="s">
        <v>11</v>
      </c>
      <c r="S52" s="422" t="s">
        <v>11</v>
      </c>
      <c r="T52" s="416" t="s">
        <v>11</v>
      </c>
      <c r="U52" s="416" t="s">
        <v>11</v>
      </c>
      <c r="V52" s="416" t="s">
        <v>11</v>
      </c>
      <c r="W52" s="419" t="s">
        <v>11</v>
      </c>
      <c r="X52" s="422" t="s">
        <v>11</v>
      </c>
      <c r="Y52" s="416" t="s">
        <v>11</v>
      </c>
      <c r="Z52" s="416" t="s">
        <v>11</v>
      </c>
      <c r="AA52" s="416" t="s">
        <v>11</v>
      </c>
      <c r="AB52" s="419" t="s">
        <v>11</v>
      </c>
      <c r="AC52" s="422" t="s">
        <v>11</v>
      </c>
      <c r="AD52" s="416" t="s">
        <v>11</v>
      </c>
      <c r="AE52" s="416" t="s">
        <v>11</v>
      </c>
      <c r="AF52" s="416">
        <f>MIN(Thickness!AF52:AF54)</f>
        <v>0.219</v>
      </c>
      <c r="AG52" s="419">
        <f>MIN(Thickness!AG52:AG54)</f>
        <v>0.216</v>
      </c>
      <c r="AH52" s="422">
        <f>MIN(Thickness!AH52:AH54)</f>
        <v>0.222</v>
      </c>
      <c r="AI52" s="416">
        <f>MIN(Thickness!AI52:AI54)</f>
        <v>0.23100000000000001</v>
      </c>
      <c r="AJ52" s="416">
        <f>MIN(Thickness!AJ52:AJ54)</f>
        <v>0.21199999999999999</v>
      </c>
      <c r="AK52" s="416">
        <f>MIN(Thickness!AK52:AK54)</f>
        <v>0.21099999999999999</v>
      </c>
      <c r="AL52" s="419" t="s">
        <v>11</v>
      </c>
      <c r="AM52" s="422" t="s">
        <v>11</v>
      </c>
      <c r="AN52" s="416" t="s">
        <v>11</v>
      </c>
      <c r="AO52" s="416" t="s">
        <v>11</v>
      </c>
      <c r="AP52" s="416" t="s">
        <v>11</v>
      </c>
      <c r="AQ52" s="419" t="s">
        <v>11</v>
      </c>
      <c r="AR52" s="422" t="s">
        <v>11</v>
      </c>
      <c r="AS52" s="416" t="s">
        <v>11</v>
      </c>
      <c r="AT52" s="416" t="s">
        <v>11</v>
      </c>
      <c r="AU52" s="416" t="s">
        <v>11</v>
      </c>
      <c r="AV52" s="419" t="s">
        <v>11</v>
      </c>
      <c r="AW52" s="422" t="s">
        <v>11</v>
      </c>
      <c r="AX52" s="416" t="s">
        <v>11</v>
      </c>
      <c r="AY52" s="416" t="s">
        <v>11</v>
      </c>
      <c r="AZ52" s="416" t="s">
        <v>11</v>
      </c>
      <c r="BA52" s="419" t="s">
        <v>11</v>
      </c>
      <c r="BB52" s="422" t="s">
        <v>11</v>
      </c>
      <c r="BC52" s="416" t="s">
        <v>11</v>
      </c>
      <c r="BD52" s="416" t="s">
        <v>11</v>
      </c>
      <c r="BE52" s="416" t="s">
        <v>11</v>
      </c>
      <c r="BF52" s="419" t="s">
        <v>11</v>
      </c>
      <c r="BG52" s="422" t="s">
        <v>11</v>
      </c>
      <c r="BH52" s="416" t="s">
        <v>11</v>
      </c>
      <c r="BI52" s="416" t="s">
        <v>11</v>
      </c>
      <c r="BJ52" s="416" t="s">
        <v>11</v>
      </c>
      <c r="BK52" s="419" t="s">
        <v>11</v>
      </c>
      <c r="BL52" s="422" t="s">
        <v>11</v>
      </c>
      <c r="BM52" s="419" t="s">
        <v>11</v>
      </c>
      <c r="BN52" s="166">
        <f t="shared" ref="BN52:BN54" si="32">IFERROR(AVERAGE(D52:BM54),0)</f>
        <v>0.21850000000000003</v>
      </c>
      <c r="BO52" s="166">
        <f t="shared" ref="BO52:BO54" si="33">MIN(D52:BM54)</f>
        <v>0.21099999999999999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65">
        <v>8.3000000000000004E-2</v>
      </c>
      <c r="B53" s="7" t="s">
        <v>12</v>
      </c>
      <c r="C53" s="396"/>
      <c r="D53" s="414" t="s">
        <v>11</v>
      </c>
      <c r="E53" s="417" t="s">
        <v>11</v>
      </c>
      <c r="F53" s="417" t="s">
        <v>11</v>
      </c>
      <c r="G53" s="417" t="s">
        <v>11</v>
      </c>
      <c r="H53" s="420" t="s">
        <v>11</v>
      </c>
      <c r="I53" s="423" t="s">
        <v>11</v>
      </c>
      <c r="J53" s="417" t="s">
        <v>11</v>
      </c>
      <c r="K53" s="417" t="s">
        <v>11</v>
      </c>
      <c r="L53" s="417" t="s">
        <v>11</v>
      </c>
      <c r="M53" s="420" t="s">
        <v>11</v>
      </c>
      <c r="N53" s="423" t="s">
        <v>11</v>
      </c>
      <c r="O53" s="417" t="s">
        <v>11</v>
      </c>
      <c r="P53" s="417" t="s">
        <v>11</v>
      </c>
      <c r="Q53" s="417" t="s">
        <v>11</v>
      </c>
      <c r="R53" s="420" t="s">
        <v>11</v>
      </c>
      <c r="S53" s="423" t="s">
        <v>11</v>
      </c>
      <c r="T53" s="417" t="s">
        <v>11</v>
      </c>
      <c r="U53" s="417" t="s">
        <v>11</v>
      </c>
      <c r="V53" s="417" t="s">
        <v>11</v>
      </c>
      <c r="W53" s="420" t="s">
        <v>11</v>
      </c>
      <c r="X53" s="423" t="s">
        <v>11</v>
      </c>
      <c r="Y53" s="417" t="s">
        <v>11</v>
      </c>
      <c r="Z53" s="417" t="s">
        <v>11</v>
      </c>
      <c r="AA53" s="417" t="s">
        <v>11</v>
      </c>
      <c r="AB53" s="420" t="s">
        <v>11</v>
      </c>
      <c r="AC53" s="423" t="s">
        <v>11</v>
      </c>
      <c r="AD53" s="417" t="s">
        <v>11</v>
      </c>
      <c r="AE53" s="417" t="s">
        <v>11</v>
      </c>
      <c r="AF53" s="417"/>
      <c r="AG53" s="420"/>
      <c r="AH53" s="423"/>
      <c r="AI53" s="417"/>
      <c r="AJ53" s="417"/>
      <c r="AK53" s="417"/>
      <c r="AL53" s="420" t="s">
        <v>11</v>
      </c>
      <c r="AM53" s="423" t="s">
        <v>11</v>
      </c>
      <c r="AN53" s="417" t="s">
        <v>11</v>
      </c>
      <c r="AO53" s="417" t="s">
        <v>11</v>
      </c>
      <c r="AP53" s="417" t="s">
        <v>11</v>
      </c>
      <c r="AQ53" s="420" t="s">
        <v>11</v>
      </c>
      <c r="AR53" s="423" t="s">
        <v>11</v>
      </c>
      <c r="AS53" s="417" t="s">
        <v>11</v>
      </c>
      <c r="AT53" s="417" t="s">
        <v>11</v>
      </c>
      <c r="AU53" s="417" t="s">
        <v>11</v>
      </c>
      <c r="AV53" s="420" t="s">
        <v>11</v>
      </c>
      <c r="AW53" s="423" t="s">
        <v>11</v>
      </c>
      <c r="AX53" s="417" t="s">
        <v>11</v>
      </c>
      <c r="AY53" s="417" t="s">
        <v>11</v>
      </c>
      <c r="AZ53" s="417" t="s">
        <v>11</v>
      </c>
      <c r="BA53" s="420" t="s">
        <v>11</v>
      </c>
      <c r="BB53" s="423" t="s">
        <v>11</v>
      </c>
      <c r="BC53" s="417" t="s">
        <v>11</v>
      </c>
      <c r="BD53" s="417" t="s">
        <v>11</v>
      </c>
      <c r="BE53" s="417" t="s">
        <v>11</v>
      </c>
      <c r="BF53" s="420" t="s">
        <v>11</v>
      </c>
      <c r="BG53" s="423" t="s">
        <v>11</v>
      </c>
      <c r="BH53" s="417" t="s">
        <v>11</v>
      </c>
      <c r="BI53" s="417" t="s">
        <v>11</v>
      </c>
      <c r="BJ53" s="417" t="s">
        <v>11</v>
      </c>
      <c r="BK53" s="420" t="s">
        <v>11</v>
      </c>
      <c r="BL53" s="423" t="s">
        <v>11</v>
      </c>
      <c r="BM53" s="420" t="s">
        <v>11</v>
      </c>
      <c r="BN53" s="167">
        <f t="shared" si="32"/>
        <v>0.2075666666666667</v>
      </c>
      <c r="BO53" s="167">
        <f t="shared" si="33"/>
        <v>0.187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65"/>
      <c r="B54" s="8" t="s">
        <v>30</v>
      </c>
      <c r="C54" s="396"/>
      <c r="D54" s="415" t="s">
        <v>11</v>
      </c>
      <c r="E54" s="418" t="s">
        <v>11</v>
      </c>
      <c r="F54" s="418" t="s">
        <v>11</v>
      </c>
      <c r="G54" s="418" t="s">
        <v>11</v>
      </c>
      <c r="H54" s="421" t="s">
        <v>11</v>
      </c>
      <c r="I54" s="424" t="s">
        <v>11</v>
      </c>
      <c r="J54" s="418" t="s">
        <v>11</v>
      </c>
      <c r="K54" s="418" t="s">
        <v>11</v>
      </c>
      <c r="L54" s="418" t="s">
        <v>11</v>
      </c>
      <c r="M54" s="421" t="s">
        <v>11</v>
      </c>
      <c r="N54" s="424" t="s">
        <v>11</v>
      </c>
      <c r="O54" s="418" t="s">
        <v>11</v>
      </c>
      <c r="P54" s="418" t="s">
        <v>11</v>
      </c>
      <c r="Q54" s="418" t="s">
        <v>11</v>
      </c>
      <c r="R54" s="421" t="s">
        <v>11</v>
      </c>
      <c r="S54" s="424" t="s">
        <v>11</v>
      </c>
      <c r="T54" s="418" t="s">
        <v>11</v>
      </c>
      <c r="U54" s="418" t="s">
        <v>11</v>
      </c>
      <c r="V54" s="418" t="s">
        <v>11</v>
      </c>
      <c r="W54" s="421" t="s">
        <v>11</v>
      </c>
      <c r="X54" s="424" t="s">
        <v>11</v>
      </c>
      <c r="Y54" s="418" t="s">
        <v>11</v>
      </c>
      <c r="Z54" s="418" t="s">
        <v>11</v>
      </c>
      <c r="AA54" s="418" t="s">
        <v>11</v>
      </c>
      <c r="AB54" s="421" t="s">
        <v>11</v>
      </c>
      <c r="AC54" s="424" t="s">
        <v>11</v>
      </c>
      <c r="AD54" s="418" t="s">
        <v>11</v>
      </c>
      <c r="AE54" s="418" t="s">
        <v>11</v>
      </c>
      <c r="AF54" s="418"/>
      <c r="AG54" s="421"/>
      <c r="AH54" s="424"/>
      <c r="AI54" s="418"/>
      <c r="AJ54" s="418"/>
      <c r="AK54" s="418"/>
      <c r="AL54" s="421" t="s">
        <v>11</v>
      </c>
      <c r="AM54" s="424" t="s">
        <v>11</v>
      </c>
      <c r="AN54" s="418" t="s">
        <v>11</v>
      </c>
      <c r="AO54" s="418" t="s">
        <v>11</v>
      </c>
      <c r="AP54" s="418" t="s">
        <v>11</v>
      </c>
      <c r="AQ54" s="421" t="s">
        <v>11</v>
      </c>
      <c r="AR54" s="424" t="s">
        <v>11</v>
      </c>
      <c r="AS54" s="418" t="s">
        <v>11</v>
      </c>
      <c r="AT54" s="418" t="s">
        <v>11</v>
      </c>
      <c r="AU54" s="418" t="s">
        <v>11</v>
      </c>
      <c r="AV54" s="421" t="s">
        <v>11</v>
      </c>
      <c r="AW54" s="424" t="s">
        <v>11</v>
      </c>
      <c r="AX54" s="418" t="s">
        <v>11</v>
      </c>
      <c r="AY54" s="418" t="s">
        <v>11</v>
      </c>
      <c r="AZ54" s="418" t="s">
        <v>11</v>
      </c>
      <c r="BA54" s="421" t="s">
        <v>11</v>
      </c>
      <c r="BB54" s="424" t="s">
        <v>11</v>
      </c>
      <c r="BC54" s="418" t="s">
        <v>11</v>
      </c>
      <c r="BD54" s="418" t="s">
        <v>11</v>
      </c>
      <c r="BE54" s="418" t="s">
        <v>11</v>
      </c>
      <c r="BF54" s="421" t="s">
        <v>11</v>
      </c>
      <c r="BG54" s="424" t="s">
        <v>11</v>
      </c>
      <c r="BH54" s="418" t="s">
        <v>11</v>
      </c>
      <c r="BI54" s="418" t="s">
        <v>11</v>
      </c>
      <c r="BJ54" s="418" t="s">
        <v>11</v>
      </c>
      <c r="BK54" s="421" t="s">
        <v>11</v>
      </c>
      <c r="BL54" s="424" t="s">
        <v>11</v>
      </c>
      <c r="BM54" s="421" t="s">
        <v>11</v>
      </c>
      <c r="BN54" s="168">
        <f t="shared" si="32"/>
        <v>0.2075666666666667</v>
      </c>
      <c r="BO54" s="168">
        <f t="shared" si="33"/>
        <v>0.187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19</v>
      </c>
      <c r="B55" s="6"/>
      <c r="C55" s="395" t="s">
        <v>305</v>
      </c>
      <c r="D55" s="413">
        <f>MIN(Thickness!D55:D57)</f>
        <v>0.23</v>
      </c>
      <c r="E55" s="416">
        <f>MIN(Thickness!E55:E57)</f>
        <v>0.222</v>
      </c>
      <c r="F55" s="416">
        <f>MIN(Thickness!F55:F57)</f>
        <v>0.21099999999999999</v>
      </c>
      <c r="G55" s="416">
        <f>MIN(Thickness!G55:G57)</f>
        <v>0.214</v>
      </c>
      <c r="H55" s="419">
        <f>MIN(Thickness!H55:H57)</f>
        <v>0.21299999999999999</v>
      </c>
      <c r="I55" s="422">
        <f>MIN(Thickness!I55:I57)</f>
        <v>0.218</v>
      </c>
      <c r="J55" s="416">
        <f>MIN(Thickness!J55:J57)</f>
        <v>0.20899999999999999</v>
      </c>
      <c r="K55" s="416">
        <f>MIN(Thickness!K55:K57)</f>
        <v>0.21199999999999999</v>
      </c>
      <c r="L55" s="416">
        <f>MIN(Thickness!L55:L57)</f>
        <v>0.20899999999999999</v>
      </c>
      <c r="M55" s="419">
        <f>MIN(Thickness!M55:M57)</f>
        <v>0.2</v>
      </c>
      <c r="N55" s="422">
        <f>MIN(Thickness!N55:N57)</f>
        <v>0.21099999999999999</v>
      </c>
      <c r="O55" s="416">
        <f>MIN(Thickness!O55:O57)</f>
        <v>0.21299999999999999</v>
      </c>
      <c r="P55" s="416" t="s">
        <v>20</v>
      </c>
      <c r="Q55" s="416">
        <f>MIN(Thickness!Q55:Q57)</f>
        <v>0.20799999999999999</v>
      </c>
      <c r="R55" s="419">
        <f>MIN(Thickness!R55:R57)</f>
        <v>0.20799999999999999</v>
      </c>
      <c r="S55" s="422">
        <f>MIN(Thickness!S55:S57)</f>
        <v>0.19700000000000001</v>
      </c>
      <c r="T55" s="416">
        <f>MIN(Thickness!T55:T57)</f>
        <v>0.20200000000000001</v>
      </c>
      <c r="U55" s="416">
        <f>MIN(Thickness!U55:U57)</f>
        <v>0.20399999999999999</v>
      </c>
      <c r="V55" s="416">
        <f>MIN(Thickness!V55:V57)</f>
        <v>0.19700000000000001</v>
      </c>
      <c r="W55" s="419">
        <f>MIN(Thickness!W55:W57)</f>
        <v>0.19500000000000001</v>
      </c>
      <c r="X55" s="422">
        <f>MIN(Thickness!X55:X57)</f>
        <v>0.20399999999999999</v>
      </c>
      <c r="Y55" s="416">
        <f>MIN(Thickness!Y55:Y57)</f>
        <v>0.20599999999999999</v>
      </c>
      <c r="Z55" s="416">
        <f>MIN(Thickness!Z55:Z57)</f>
        <v>0.20499999999999999</v>
      </c>
      <c r="AA55" s="416">
        <f>MIN(Thickness!AA55:AA57)</f>
        <v>0.20799999999999999</v>
      </c>
      <c r="AB55" s="419">
        <f>MIN(Thickness!AB55:AB57)</f>
        <v>0.20899999999999999</v>
      </c>
      <c r="AC55" s="422">
        <f>MIN(Thickness!AC55:AC57)</f>
        <v>0.21299999999999999</v>
      </c>
      <c r="AD55" s="416">
        <f>MIN(Thickness!AD55:AD57)</f>
        <v>0.20200000000000001</v>
      </c>
      <c r="AE55" s="416">
        <f>MIN(Thickness!AE55:AE57)</f>
        <v>0.21299999999999999</v>
      </c>
      <c r="AF55" s="416">
        <f>MIN(Thickness!AF55:AF57)</f>
        <v>0.20899999999999999</v>
      </c>
      <c r="AG55" s="419">
        <f>MIN(Thickness!AG55:AG57)</f>
        <v>0.20399999999999999</v>
      </c>
      <c r="AH55" s="422">
        <f>MIN(Thickness!AH55:AH57)</f>
        <v>0.222</v>
      </c>
      <c r="AI55" s="416">
        <f>MIN(Thickness!AI55:AI57)</f>
        <v>0.21299999999999999</v>
      </c>
      <c r="AJ55" s="416">
        <f>MIN(Thickness!AJ55:AJ57)</f>
        <v>0.215</v>
      </c>
      <c r="AK55" s="416">
        <f>MIN(Thickness!AK55:AK57)</f>
        <v>0.19700000000000001</v>
      </c>
      <c r="AL55" s="419">
        <f>MIN(Thickness!AL55:AL57)</f>
        <v>0.2</v>
      </c>
      <c r="AM55" s="422">
        <f>MIN(Thickness!AM55:AM57)</f>
        <v>0.187</v>
      </c>
      <c r="AN55" s="416">
        <f>MIN(Thickness!AN55:AN57)</f>
        <v>0.20200000000000001</v>
      </c>
      <c r="AO55" s="416">
        <f>MIN(Thickness!AO55:AO57)</f>
        <v>0.191</v>
      </c>
      <c r="AP55" s="416">
        <f>MIN(Thickness!AP55:AP57)</f>
        <v>0.19500000000000001</v>
      </c>
      <c r="AQ55" s="419">
        <f>MIN(Thickness!AQ55:AQ57)</f>
        <v>0.19900000000000001</v>
      </c>
      <c r="AR55" s="422">
        <f>MIN(Thickness!AR55:AR57)</f>
        <v>0.19500000000000001</v>
      </c>
      <c r="AS55" s="416">
        <f>MIN(Thickness!AS55:AS57)</f>
        <v>0.20599999999999999</v>
      </c>
      <c r="AT55" s="416">
        <f>MIN(Thickness!AT55:AT57)</f>
        <v>0.20699999999999999</v>
      </c>
      <c r="AU55" s="416">
        <f>MIN(Thickness!AU55:AU57)</f>
        <v>0.20699999999999999</v>
      </c>
      <c r="AV55" s="419">
        <f>MIN(Thickness!AV55:AV57)</f>
        <v>0.20200000000000001</v>
      </c>
      <c r="AW55" s="422">
        <f>MIN(Thickness!AW55:AW57)</f>
        <v>0.20499999999999999</v>
      </c>
      <c r="AX55" s="416">
        <f>MIN(Thickness!AX55:AX57)</f>
        <v>0.19600000000000001</v>
      </c>
      <c r="AY55" s="416">
        <f>MIN(Thickness!AY55:AY57)</f>
        <v>0.20499999999999999</v>
      </c>
      <c r="AZ55" s="416">
        <f>MIN(Thickness!AZ55:AZ57)</f>
        <v>0.21199999999999999</v>
      </c>
      <c r="BA55" s="419">
        <f>MIN(Thickness!BA55:BA57)</f>
        <v>0.20699999999999999</v>
      </c>
      <c r="BB55" s="422">
        <f>MIN(Thickness!BB55:BB57)</f>
        <v>0.20599999999999999</v>
      </c>
      <c r="BC55" s="416">
        <f>MIN(Thickness!BC55:BC57)</f>
        <v>0.20499999999999999</v>
      </c>
      <c r="BD55" s="416">
        <f>MIN(Thickness!BD55:BD57)</f>
        <v>0.20200000000000001</v>
      </c>
      <c r="BE55" s="416" t="s">
        <v>20</v>
      </c>
      <c r="BF55" s="419">
        <f>MIN(Thickness!BF55:BF57)</f>
        <v>0.20699999999999999</v>
      </c>
      <c r="BG55" s="422">
        <f>MIN(Thickness!BG55:BG57)</f>
        <v>0.20899999999999999</v>
      </c>
      <c r="BH55" s="416">
        <f>MIN(Thickness!BH55:BH57)</f>
        <v>0.20599999999999999</v>
      </c>
      <c r="BI55" s="416">
        <f>MIN(Thickness!BI55:BI57)</f>
        <v>0.215</v>
      </c>
      <c r="BJ55" s="416">
        <f>MIN(Thickness!BJ55:BJ57)</f>
        <v>0.21299999999999999</v>
      </c>
      <c r="BK55" s="419">
        <f>MIN(Thickness!BK55:BK57)</f>
        <v>0.224</v>
      </c>
      <c r="BL55" s="422">
        <f>MIN(Thickness!BL55:BL57)</f>
        <v>0.219</v>
      </c>
      <c r="BM55" s="419">
        <f>MIN(Thickness!BM55:BM57)</f>
        <v>0.23899999999999999</v>
      </c>
      <c r="BN55" s="166">
        <f t="shared" ref="BN55:BN57" si="34">IFERROR(AVERAGE(D55:BM57),0)</f>
        <v>0.2075666666666667</v>
      </c>
      <c r="BO55" s="166">
        <f t="shared" ref="BO55:BO57" si="35">MIN(D55:BM57)</f>
        <v>0.187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65">
        <v>8.3000000000000004E-2</v>
      </c>
      <c r="B56" s="7" t="s">
        <v>33</v>
      </c>
      <c r="C56" s="396"/>
      <c r="D56" s="414"/>
      <c r="E56" s="417"/>
      <c r="F56" s="417"/>
      <c r="G56" s="417"/>
      <c r="H56" s="420"/>
      <c r="I56" s="423"/>
      <c r="J56" s="417"/>
      <c r="K56" s="417"/>
      <c r="L56" s="417"/>
      <c r="M56" s="420"/>
      <c r="N56" s="423"/>
      <c r="O56" s="417"/>
      <c r="P56" s="417" t="s">
        <v>20</v>
      </c>
      <c r="Q56" s="417"/>
      <c r="R56" s="420"/>
      <c r="S56" s="423"/>
      <c r="T56" s="417"/>
      <c r="U56" s="417"/>
      <c r="V56" s="417"/>
      <c r="W56" s="420"/>
      <c r="X56" s="423"/>
      <c r="Y56" s="417"/>
      <c r="Z56" s="417"/>
      <c r="AA56" s="417"/>
      <c r="AB56" s="420"/>
      <c r="AC56" s="423"/>
      <c r="AD56" s="417"/>
      <c r="AE56" s="417"/>
      <c r="AF56" s="417"/>
      <c r="AG56" s="420"/>
      <c r="AH56" s="423"/>
      <c r="AI56" s="417"/>
      <c r="AJ56" s="417"/>
      <c r="AK56" s="417"/>
      <c r="AL56" s="420"/>
      <c r="AM56" s="423"/>
      <c r="AN56" s="417"/>
      <c r="AO56" s="417"/>
      <c r="AP56" s="417"/>
      <c r="AQ56" s="420"/>
      <c r="AR56" s="423"/>
      <c r="AS56" s="417"/>
      <c r="AT56" s="417"/>
      <c r="AU56" s="417"/>
      <c r="AV56" s="420"/>
      <c r="AW56" s="423"/>
      <c r="AX56" s="417"/>
      <c r="AY56" s="417"/>
      <c r="AZ56" s="417"/>
      <c r="BA56" s="420"/>
      <c r="BB56" s="423"/>
      <c r="BC56" s="417"/>
      <c r="BD56" s="417"/>
      <c r="BE56" s="417" t="s">
        <v>20</v>
      </c>
      <c r="BF56" s="420"/>
      <c r="BG56" s="423"/>
      <c r="BH56" s="417"/>
      <c r="BI56" s="417"/>
      <c r="BJ56" s="417"/>
      <c r="BK56" s="420"/>
      <c r="BL56" s="423"/>
      <c r="BM56" s="420"/>
      <c r="BN56" s="167">
        <f t="shared" si="34"/>
        <v>0.19934999999999997</v>
      </c>
      <c r="BO56" s="167">
        <f t="shared" si="35"/>
        <v>0.18099999999999999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65"/>
      <c r="B57" s="8"/>
      <c r="C57" s="396"/>
      <c r="D57" s="415"/>
      <c r="E57" s="418"/>
      <c r="F57" s="418"/>
      <c r="G57" s="418"/>
      <c r="H57" s="421"/>
      <c r="I57" s="424"/>
      <c r="J57" s="418"/>
      <c r="K57" s="418"/>
      <c r="L57" s="418"/>
      <c r="M57" s="421"/>
      <c r="N57" s="424"/>
      <c r="O57" s="418"/>
      <c r="P57" s="418" t="s">
        <v>20</v>
      </c>
      <c r="Q57" s="418"/>
      <c r="R57" s="421"/>
      <c r="S57" s="424"/>
      <c r="T57" s="418"/>
      <c r="U57" s="418"/>
      <c r="V57" s="418"/>
      <c r="W57" s="421"/>
      <c r="X57" s="424"/>
      <c r="Y57" s="418"/>
      <c r="Z57" s="418"/>
      <c r="AA57" s="418"/>
      <c r="AB57" s="421"/>
      <c r="AC57" s="424"/>
      <c r="AD57" s="418"/>
      <c r="AE57" s="418"/>
      <c r="AF57" s="418"/>
      <c r="AG57" s="421"/>
      <c r="AH57" s="424"/>
      <c r="AI57" s="418"/>
      <c r="AJ57" s="418"/>
      <c r="AK57" s="418"/>
      <c r="AL57" s="421"/>
      <c r="AM57" s="424"/>
      <c r="AN57" s="418"/>
      <c r="AO57" s="418"/>
      <c r="AP57" s="418"/>
      <c r="AQ57" s="421"/>
      <c r="AR57" s="424"/>
      <c r="AS57" s="418"/>
      <c r="AT57" s="418"/>
      <c r="AU57" s="418"/>
      <c r="AV57" s="421"/>
      <c r="AW57" s="424"/>
      <c r="AX57" s="418"/>
      <c r="AY57" s="418"/>
      <c r="AZ57" s="418"/>
      <c r="BA57" s="421"/>
      <c r="BB57" s="424"/>
      <c r="BC57" s="418"/>
      <c r="BD57" s="418"/>
      <c r="BE57" s="418" t="s">
        <v>20</v>
      </c>
      <c r="BF57" s="421"/>
      <c r="BG57" s="424"/>
      <c r="BH57" s="418"/>
      <c r="BI57" s="418"/>
      <c r="BJ57" s="418"/>
      <c r="BK57" s="421"/>
      <c r="BL57" s="424"/>
      <c r="BM57" s="421"/>
      <c r="BN57" s="168">
        <f t="shared" si="34"/>
        <v>0.19934999999999997</v>
      </c>
      <c r="BO57" s="168">
        <f t="shared" si="35"/>
        <v>0.18099999999999999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19</v>
      </c>
      <c r="B58" s="6"/>
      <c r="C58" s="395" t="s">
        <v>305</v>
      </c>
      <c r="D58" s="413">
        <f>MIN(Thickness!D58:D60)</f>
        <v>0.20799999999999999</v>
      </c>
      <c r="E58" s="416">
        <f>MIN(Thickness!E58:E60)</f>
        <v>0.192</v>
      </c>
      <c r="F58" s="416">
        <f>MIN(Thickness!F58:F60)</f>
        <v>0.21</v>
      </c>
      <c r="G58" s="416">
        <f>MIN(Thickness!G58:G60)</f>
        <v>0.217</v>
      </c>
      <c r="H58" s="419">
        <f>MIN(Thickness!H58:H60)</f>
        <v>0.20699999999999999</v>
      </c>
      <c r="I58" s="422">
        <f>MIN(Thickness!I58:I60)</f>
        <v>0.21299999999999999</v>
      </c>
      <c r="J58" s="416">
        <f>MIN(Thickness!J58:J60)</f>
        <v>0.214</v>
      </c>
      <c r="K58" s="416">
        <f>MIN(Thickness!K58:K60)</f>
        <v>0.20899999999999999</v>
      </c>
      <c r="L58" s="416">
        <f>MIN(Thickness!L58:L60)</f>
        <v>0.214</v>
      </c>
      <c r="M58" s="419">
        <f>MIN(Thickness!M58:M60)</f>
        <v>0.20399999999999999</v>
      </c>
      <c r="N58" s="422">
        <f>MIN(Thickness!N58:N60)</f>
        <v>0.20200000000000001</v>
      </c>
      <c r="O58" s="416">
        <f>MIN(Thickness!O58:O60)</f>
        <v>0.19900000000000001</v>
      </c>
      <c r="P58" s="416" t="s">
        <v>20</v>
      </c>
      <c r="Q58" s="416">
        <f>MIN(Thickness!Q58:Q60)</f>
        <v>0.20399999999999999</v>
      </c>
      <c r="R58" s="419">
        <f>MIN(Thickness!R58:R60)</f>
        <v>0.19900000000000001</v>
      </c>
      <c r="S58" s="422">
        <f>MIN(Thickness!S58:S60)</f>
        <v>0.19700000000000001</v>
      </c>
      <c r="T58" s="416">
        <f>MIN(Thickness!T58:T60)</f>
        <v>0.19400000000000001</v>
      </c>
      <c r="U58" s="416">
        <f>MIN(Thickness!U58:U60)</f>
        <v>0.20499999999999999</v>
      </c>
      <c r="V58" s="416">
        <f>MIN(Thickness!V58:V60)</f>
        <v>0.18099999999999999</v>
      </c>
      <c r="W58" s="419">
        <f>MIN(Thickness!W58:W60)</f>
        <v>0.182</v>
      </c>
      <c r="X58" s="422">
        <f>MIN(Thickness!X58:X60)</f>
        <v>0.19600000000000001</v>
      </c>
      <c r="Y58" s="416">
        <f>MIN(Thickness!Y58:Y60)</f>
        <v>0.193</v>
      </c>
      <c r="Z58" s="416">
        <f>MIN(Thickness!Z58:Z60)</f>
        <v>0.193</v>
      </c>
      <c r="AA58" s="416">
        <f>MIN(Thickness!AA58:AA60)</f>
        <v>0.189</v>
      </c>
      <c r="AB58" s="419">
        <f>MIN(Thickness!AB58:AB60)</f>
        <v>0.193</v>
      </c>
      <c r="AC58" s="422">
        <f>MIN(Thickness!AC58:AC60)</f>
        <v>0.191</v>
      </c>
      <c r="AD58" s="416">
        <f>MIN(Thickness!AD58:AD60)</f>
        <v>0.20100000000000001</v>
      </c>
      <c r="AE58" s="416">
        <f>MIN(Thickness!AE58:AE60)</f>
        <v>0.193</v>
      </c>
      <c r="AF58" s="416">
        <f>MIN(Thickness!AF58:AF60)</f>
        <v>0.187</v>
      </c>
      <c r="AG58" s="419">
        <f>MIN(Thickness!AG58:AG60)</f>
        <v>0.184</v>
      </c>
      <c r="AH58" s="422">
        <f>MIN(Thickness!AH58:AH60)</f>
        <v>0.19500000000000001</v>
      </c>
      <c r="AI58" s="416">
        <f>MIN(Thickness!AI58:AI60)</f>
        <v>0.19600000000000001</v>
      </c>
      <c r="AJ58" s="416">
        <f>MIN(Thickness!AJ58:AJ60)</f>
        <v>0.192</v>
      </c>
      <c r="AK58" s="416">
        <f>MIN(Thickness!AK58:AK60)</f>
        <v>0.193</v>
      </c>
      <c r="AL58" s="419">
        <f>MIN(Thickness!AL58:AL60)</f>
        <v>0.187</v>
      </c>
      <c r="AM58" s="422">
        <f>MIN(Thickness!AM58:AM60)</f>
        <v>0.19600000000000001</v>
      </c>
      <c r="AN58" s="416">
        <f>MIN(Thickness!AN58:AN60)</f>
        <v>0.20599999999999999</v>
      </c>
      <c r="AO58" s="416">
        <f>MIN(Thickness!AO58:AO60)</f>
        <v>0.20399999999999999</v>
      </c>
      <c r="AP58" s="416" t="s">
        <v>20</v>
      </c>
      <c r="AQ58" s="419">
        <f>MIN(Thickness!AQ58:AQ60)</f>
        <v>0.193</v>
      </c>
      <c r="AR58" s="422">
        <f>MIN(Thickness!AR58:AR60)</f>
        <v>0.19800000000000001</v>
      </c>
      <c r="AS58" s="416">
        <f>MIN(Thickness!AS58:AS60)</f>
        <v>0.19400000000000001</v>
      </c>
      <c r="AT58" s="416">
        <f>MIN(Thickness!AT58:AT60)</f>
        <v>0.192</v>
      </c>
      <c r="AU58" s="416">
        <f>MIN(Thickness!AU58:AU60)</f>
        <v>0.18099999999999999</v>
      </c>
      <c r="AV58" s="419">
        <f>MIN(Thickness!AV58:AV60)</f>
        <v>0.18099999999999999</v>
      </c>
      <c r="AW58" s="422">
        <f>MIN(Thickness!AW58:AW60)</f>
        <v>0.188</v>
      </c>
      <c r="AX58" s="416">
        <f>MIN(Thickness!AX58:AX60)</f>
        <v>0.19700000000000001</v>
      </c>
      <c r="AY58" s="416">
        <f>MIN(Thickness!AY58:AY60)</f>
        <v>0.19800000000000001</v>
      </c>
      <c r="AZ58" s="416">
        <f>MIN(Thickness!AZ58:AZ60)</f>
        <v>0.19900000000000001</v>
      </c>
      <c r="BA58" s="419">
        <f>MIN(Thickness!BA58:BA60)</f>
        <v>0.19800000000000001</v>
      </c>
      <c r="BB58" s="422">
        <f>MIN(Thickness!BB58:BB60)</f>
        <v>0.20399999999999999</v>
      </c>
      <c r="BC58" s="416">
        <f>MIN(Thickness!BC58:BC60)</f>
        <v>0.2</v>
      </c>
      <c r="BD58" s="416">
        <f>MIN(Thickness!BD58:BD60)</f>
        <v>0.20100000000000001</v>
      </c>
      <c r="BE58" s="416">
        <f>MIN(Thickness!BE58:BE60)</f>
        <v>0.21099999999999999</v>
      </c>
      <c r="BF58" s="419">
        <f>MIN(Thickness!BF58:BF60)</f>
        <v>0.21</v>
      </c>
      <c r="BG58" s="422">
        <f>MIN(Thickness!BG58:BG60)</f>
        <v>0.214</v>
      </c>
      <c r="BH58" s="416">
        <f>MIN(Thickness!BH58:BH60)</f>
        <v>0.20699999999999999</v>
      </c>
      <c r="BI58" s="416">
        <f>MIN(Thickness!BI58:BI60)</f>
        <v>0.21299999999999999</v>
      </c>
      <c r="BJ58" s="416">
        <f>MIN(Thickness!BJ58:BJ60)</f>
        <v>0.21099999999999999</v>
      </c>
      <c r="BK58" s="419">
        <f>MIN(Thickness!BK58:BK60)</f>
        <v>0.218</v>
      </c>
      <c r="BL58" s="422">
        <f>MIN(Thickness!BL58:BL60)</f>
        <v>0.20799999999999999</v>
      </c>
      <c r="BM58" s="419">
        <f>MIN(Thickness!BM58:BM60)</f>
        <v>0.20499999999999999</v>
      </c>
      <c r="BN58" s="166">
        <f t="shared" ref="BN58:BN60" si="36">IFERROR(AVERAGE(D58:BM60),0)</f>
        <v>0.19934999999999997</v>
      </c>
      <c r="BO58" s="166">
        <f t="shared" ref="BO58:BO60" si="37">MIN(D58:BM60)</f>
        <v>0.18099999999999999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65">
        <v>8.3000000000000004E-2</v>
      </c>
      <c r="B59" s="7" t="s">
        <v>34</v>
      </c>
      <c r="C59" s="396"/>
      <c r="D59" s="414"/>
      <c r="E59" s="417"/>
      <c r="F59" s="417"/>
      <c r="G59" s="417"/>
      <c r="H59" s="420"/>
      <c r="I59" s="423"/>
      <c r="J59" s="417"/>
      <c r="K59" s="417"/>
      <c r="L59" s="417"/>
      <c r="M59" s="420"/>
      <c r="N59" s="423"/>
      <c r="O59" s="417"/>
      <c r="P59" s="417" t="s">
        <v>20</v>
      </c>
      <c r="Q59" s="417"/>
      <c r="R59" s="420"/>
      <c r="S59" s="423"/>
      <c r="T59" s="417"/>
      <c r="U59" s="417"/>
      <c r="V59" s="417"/>
      <c r="W59" s="420"/>
      <c r="X59" s="423"/>
      <c r="Y59" s="417"/>
      <c r="Z59" s="417"/>
      <c r="AA59" s="417"/>
      <c r="AB59" s="420"/>
      <c r="AC59" s="423"/>
      <c r="AD59" s="417"/>
      <c r="AE59" s="417"/>
      <c r="AF59" s="417"/>
      <c r="AG59" s="420"/>
      <c r="AH59" s="423"/>
      <c r="AI59" s="417"/>
      <c r="AJ59" s="417"/>
      <c r="AK59" s="417"/>
      <c r="AL59" s="420"/>
      <c r="AM59" s="423"/>
      <c r="AN59" s="417"/>
      <c r="AO59" s="417"/>
      <c r="AP59" s="417" t="s">
        <v>20</v>
      </c>
      <c r="AQ59" s="420"/>
      <c r="AR59" s="423"/>
      <c r="AS59" s="417"/>
      <c r="AT59" s="417"/>
      <c r="AU59" s="417"/>
      <c r="AV59" s="420"/>
      <c r="AW59" s="423"/>
      <c r="AX59" s="417"/>
      <c r="AY59" s="417"/>
      <c r="AZ59" s="417"/>
      <c r="BA59" s="420"/>
      <c r="BB59" s="423"/>
      <c r="BC59" s="417"/>
      <c r="BD59" s="417"/>
      <c r="BE59" s="417"/>
      <c r="BF59" s="420"/>
      <c r="BG59" s="423"/>
      <c r="BH59" s="417"/>
      <c r="BI59" s="417"/>
      <c r="BJ59" s="417"/>
      <c r="BK59" s="420"/>
      <c r="BL59" s="423"/>
      <c r="BM59" s="420"/>
      <c r="BN59" s="167">
        <f t="shared" si="36"/>
        <v>0.19947540983606563</v>
      </c>
      <c r="BO59" s="167">
        <f t="shared" si="37"/>
        <v>0.17199999999999999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65"/>
      <c r="B60" s="8"/>
      <c r="C60" s="396"/>
      <c r="D60" s="415"/>
      <c r="E60" s="418"/>
      <c r="F60" s="418"/>
      <c r="G60" s="418"/>
      <c r="H60" s="421"/>
      <c r="I60" s="424"/>
      <c r="J60" s="418"/>
      <c r="K60" s="418"/>
      <c r="L60" s="418"/>
      <c r="M60" s="421"/>
      <c r="N60" s="424"/>
      <c r="O60" s="418"/>
      <c r="P60" s="418" t="s">
        <v>20</v>
      </c>
      <c r="Q60" s="418"/>
      <c r="R60" s="421"/>
      <c r="S60" s="424"/>
      <c r="T60" s="418"/>
      <c r="U60" s="418"/>
      <c r="V60" s="418"/>
      <c r="W60" s="421"/>
      <c r="X60" s="424"/>
      <c r="Y60" s="418"/>
      <c r="Z60" s="418"/>
      <c r="AA60" s="418"/>
      <c r="AB60" s="421"/>
      <c r="AC60" s="424"/>
      <c r="AD60" s="418"/>
      <c r="AE60" s="418"/>
      <c r="AF60" s="418"/>
      <c r="AG60" s="421"/>
      <c r="AH60" s="424"/>
      <c r="AI60" s="418"/>
      <c r="AJ60" s="418"/>
      <c r="AK60" s="418"/>
      <c r="AL60" s="421"/>
      <c r="AM60" s="424"/>
      <c r="AN60" s="418"/>
      <c r="AO60" s="418"/>
      <c r="AP60" s="418" t="s">
        <v>20</v>
      </c>
      <c r="AQ60" s="421"/>
      <c r="AR60" s="424"/>
      <c r="AS60" s="418"/>
      <c r="AT60" s="418"/>
      <c r="AU60" s="418"/>
      <c r="AV60" s="421"/>
      <c r="AW60" s="424"/>
      <c r="AX60" s="418"/>
      <c r="AY60" s="418"/>
      <c r="AZ60" s="418"/>
      <c r="BA60" s="421"/>
      <c r="BB60" s="424"/>
      <c r="BC60" s="418"/>
      <c r="BD60" s="418"/>
      <c r="BE60" s="418"/>
      <c r="BF60" s="421"/>
      <c r="BG60" s="424"/>
      <c r="BH60" s="418"/>
      <c r="BI60" s="418"/>
      <c r="BJ60" s="418"/>
      <c r="BK60" s="421"/>
      <c r="BL60" s="424"/>
      <c r="BM60" s="421"/>
      <c r="BN60" s="168">
        <f t="shared" si="36"/>
        <v>0.19947540983606563</v>
      </c>
      <c r="BO60" s="168">
        <f t="shared" si="37"/>
        <v>0.17199999999999999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19</v>
      </c>
      <c r="B61" s="6"/>
      <c r="C61" s="395" t="s">
        <v>305</v>
      </c>
      <c r="D61" s="413">
        <f>MIN(Thickness!D61:D63)</f>
        <v>0.20799999999999999</v>
      </c>
      <c r="E61" s="416" t="s">
        <v>20</v>
      </c>
      <c r="F61" s="416">
        <f>MIN(Thickness!F61:F63)</f>
        <v>0.21199999999999999</v>
      </c>
      <c r="G61" s="416">
        <f>MIN(Thickness!G61:G63)</f>
        <v>0.21299999999999999</v>
      </c>
      <c r="H61" s="419">
        <f>MIN(Thickness!H61:H63)</f>
        <v>0.20799999999999999</v>
      </c>
      <c r="I61" s="422">
        <f>MIN(Thickness!I61:I63)</f>
        <v>0.20499999999999999</v>
      </c>
      <c r="J61" s="416">
        <f>MIN(Thickness!J61:J63)</f>
        <v>0.214</v>
      </c>
      <c r="K61" s="416">
        <f>MIN(Thickness!K61:K63)</f>
        <v>0.20599999999999999</v>
      </c>
      <c r="L61" s="416">
        <f>MIN(Thickness!L61:L63)</f>
        <v>0.19900000000000001</v>
      </c>
      <c r="M61" s="419">
        <f>MIN(Thickness!M61:M63)</f>
        <v>0.192</v>
      </c>
      <c r="N61" s="422">
        <f>MIN(Thickness!N61:N63)</f>
        <v>0.20300000000000001</v>
      </c>
      <c r="O61" s="416">
        <f>MIN(Thickness!O61:O63)</f>
        <v>0.19800000000000001</v>
      </c>
      <c r="P61" s="416">
        <f>MIN(Thickness!P61:P63)</f>
        <v>0.20599999999999999</v>
      </c>
      <c r="Q61" s="416">
        <f>MIN(Thickness!Q61:Q63)</f>
        <v>0.20100000000000001</v>
      </c>
      <c r="R61" s="419">
        <f>MIN(Thickness!R61:R63)</f>
        <v>0.2</v>
      </c>
      <c r="S61" s="422">
        <f>MIN(Thickness!S61:S63)</f>
        <v>0.186</v>
      </c>
      <c r="T61" s="416">
        <f>MIN(Thickness!T61:T63)</f>
        <v>0.187</v>
      </c>
      <c r="U61" s="416">
        <f>MIN(Thickness!U61:U63)</f>
        <v>0.19700000000000001</v>
      </c>
      <c r="V61" s="416">
        <f>MIN(Thickness!V61:V63)</f>
        <v>0.19900000000000001</v>
      </c>
      <c r="W61" s="419">
        <f>MIN(Thickness!W61:W63)</f>
        <v>0.17199999999999999</v>
      </c>
      <c r="X61" s="422">
        <f>MIN(Thickness!X61:X63)</f>
        <v>0.19</v>
      </c>
      <c r="Y61" s="416">
        <f>MIN(Thickness!Y61:Y63)</f>
        <v>0.19800000000000001</v>
      </c>
      <c r="Z61" s="416">
        <f>MIN(Thickness!Z61:Z63)</f>
        <v>0.20200000000000001</v>
      </c>
      <c r="AA61" s="416">
        <f>MIN(Thickness!AA61:AA63)</f>
        <v>0.2</v>
      </c>
      <c r="AB61" s="419">
        <f>MIN(Thickness!AB61:AB63)</f>
        <v>0.187</v>
      </c>
      <c r="AC61" s="422">
        <f>MIN(Thickness!AC61:AC63)</f>
        <v>0.2</v>
      </c>
      <c r="AD61" s="416">
        <f>MIN(Thickness!AD61:AD63)</f>
        <v>0.188</v>
      </c>
      <c r="AE61" s="416">
        <f>MIN(Thickness!AE61:AE63)</f>
        <v>0.191</v>
      </c>
      <c r="AF61" s="416">
        <f>MIN(Thickness!AF61:AF63)</f>
        <v>0.19400000000000001</v>
      </c>
      <c r="AG61" s="419">
        <f>MIN(Thickness!AG61:AG63)</f>
        <v>0.19800000000000001</v>
      </c>
      <c r="AH61" s="422">
        <f>MIN(Thickness!AH61:AH63)</f>
        <v>0.19400000000000001</v>
      </c>
      <c r="AI61" s="416">
        <f>MIN(Thickness!AI61:AI63)</f>
        <v>0.184</v>
      </c>
      <c r="AJ61" s="416">
        <f>MIN(Thickness!AJ61:AJ63)</f>
        <v>0.187</v>
      </c>
      <c r="AK61" s="416">
        <f>MIN(Thickness!AK61:AK63)</f>
        <v>0.19500000000000001</v>
      </c>
      <c r="AL61" s="419">
        <f>MIN(Thickness!AL61:AL63)</f>
        <v>0.19400000000000001</v>
      </c>
      <c r="AM61" s="422">
        <f>MIN(Thickness!AM61:AM63)</f>
        <v>0.188</v>
      </c>
      <c r="AN61" s="416">
        <f>MIN(Thickness!AN61:AN63)</f>
        <v>0.193</v>
      </c>
      <c r="AO61" s="416">
        <f>MIN(Thickness!AO61:AO63)</f>
        <v>0.19800000000000001</v>
      </c>
      <c r="AP61" s="416">
        <f>MIN(Thickness!AP61:AP63)</f>
        <v>0.20200000000000001</v>
      </c>
      <c r="AQ61" s="419">
        <f>MIN(Thickness!AQ61:AQ63)</f>
        <v>0.20599999999999999</v>
      </c>
      <c r="AR61" s="422">
        <f>MIN(Thickness!AR61:AR63)</f>
        <v>0.19900000000000001</v>
      </c>
      <c r="AS61" s="416">
        <f>MIN(Thickness!AS61:AS63)</f>
        <v>0.19500000000000001</v>
      </c>
      <c r="AT61" s="416">
        <f>MIN(Thickness!AT61:AT63)</f>
        <v>0.19900000000000001</v>
      </c>
      <c r="AU61" s="416">
        <f>MIN(Thickness!AU61:AU63)</f>
        <v>0.21199999999999999</v>
      </c>
      <c r="AV61" s="419">
        <f>MIN(Thickness!AV61:AV63)</f>
        <v>0.19900000000000001</v>
      </c>
      <c r="AW61" s="422">
        <f>MIN(Thickness!AW61:AW63)</f>
        <v>0.20499999999999999</v>
      </c>
      <c r="AX61" s="416">
        <f>MIN(Thickness!AX61:AX63)</f>
        <v>0.189</v>
      </c>
      <c r="AY61" s="416">
        <f>MIN(Thickness!AY61:AY63)</f>
        <v>0.20699999999999999</v>
      </c>
      <c r="AZ61" s="416">
        <f>MIN(Thickness!AZ61:AZ63)</f>
        <v>0.20499999999999999</v>
      </c>
      <c r="BA61" s="419">
        <f>MIN(Thickness!BA61:BA63)</f>
        <v>0.20399999999999999</v>
      </c>
      <c r="BB61" s="422">
        <f>MIN(Thickness!BB61:BB63)</f>
        <v>0.20899999999999999</v>
      </c>
      <c r="BC61" s="416">
        <f>MIN(Thickness!BC61:BC63)</f>
        <v>0.19400000000000001</v>
      </c>
      <c r="BD61" s="416">
        <f>MIN(Thickness!BD61:BD63)</f>
        <v>0.20200000000000001</v>
      </c>
      <c r="BE61" s="416">
        <f>MIN(Thickness!BE61:BE63)</f>
        <v>0.20399999999999999</v>
      </c>
      <c r="BF61" s="419">
        <f>MIN(Thickness!BF61:BF63)</f>
        <v>0.19800000000000001</v>
      </c>
      <c r="BG61" s="422">
        <f>MIN(Thickness!BG61:BG63)</f>
        <v>0.20599999999999999</v>
      </c>
      <c r="BH61" s="416">
        <f>MIN(Thickness!BH61:BH63)</f>
        <v>0.20499999999999999</v>
      </c>
      <c r="BI61" s="416">
        <f>MIN(Thickness!BI61:BI63)</f>
        <v>0.20599999999999999</v>
      </c>
      <c r="BJ61" s="416">
        <f>MIN(Thickness!BJ61:BJ63)</f>
        <v>0.21</v>
      </c>
      <c r="BK61" s="419">
        <f>MIN(Thickness!BK61:BK63)</f>
        <v>0.20799999999999999</v>
      </c>
      <c r="BL61" s="422">
        <f>MIN(Thickness!BL61:BL63)</f>
        <v>0.21199999999999999</v>
      </c>
      <c r="BM61" s="419">
        <f>MIN(Thickness!BM61:BM63)</f>
        <v>0.20499999999999999</v>
      </c>
      <c r="BN61" s="166">
        <f t="shared" ref="BN61:BN63" si="38">IFERROR(AVERAGE(D61:BM63),0)</f>
        <v>0.19947540983606563</v>
      </c>
      <c r="BO61" s="166">
        <f t="shared" ref="BO61:BO63" si="39">MIN(D61:BM63)</f>
        <v>0.17199999999999999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65">
        <v>8.3000000000000004E-2</v>
      </c>
      <c r="B62" s="7" t="s">
        <v>35</v>
      </c>
      <c r="C62" s="396"/>
      <c r="D62" s="414"/>
      <c r="E62" s="417" t="s">
        <v>20</v>
      </c>
      <c r="F62" s="417"/>
      <c r="G62" s="417"/>
      <c r="H62" s="420"/>
      <c r="I62" s="423"/>
      <c r="J62" s="417"/>
      <c r="K62" s="417"/>
      <c r="L62" s="417"/>
      <c r="M62" s="420"/>
      <c r="N62" s="423"/>
      <c r="O62" s="417"/>
      <c r="P62" s="417"/>
      <c r="Q62" s="417"/>
      <c r="R62" s="420"/>
      <c r="S62" s="423"/>
      <c r="T62" s="417"/>
      <c r="U62" s="417"/>
      <c r="V62" s="417"/>
      <c r="W62" s="420"/>
      <c r="X62" s="423"/>
      <c r="Y62" s="417"/>
      <c r="Z62" s="417"/>
      <c r="AA62" s="417"/>
      <c r="AB62" s="420"/>
      <c r="AC62" s="423"/>
      <c r="AD62" s="417"/>
      <c r="AE62" s="417"/>
      <c r="AF62" s="417"/>
      <c r="AG62" s="420"/>
      <c r="AH62" s="423"/>
      <c r="AI62" s="417"/>
      <c r="AJ62" s="417"/>
      <c r="AK62" s="417"/>
      <c r="AL62" s="420"/>
      <c r="AM62" s="423"/>
      <c r="AN62" s="417"/>
      <c r="AO62" s="417"/>
      <c r="AP62" s="417"/>
      <c r="AQ62" s="420"/>
      <c r="AR62" s="423"/>
      <c r="AS62" s="417"/>
      <c r="AT62" s="417"/>
      <c r="AU62" s="417"/>
      <c r="AV62" s="420"/>
      <c r="AW62" s="423"/>
      <c r="AX62" s="417"/>
      <c r="AY62" s="417"/>
      <c r="AZ62" s="417"/>
      <c r="BA62" s="420"/>
      <c r="BB62" s="423"/>
      <c r="BC62" s="417"/>
      <c r="BD62" s="417"/>
      <c r="BE62" s="417"/>
      <c r="BF62" s="420"/>
      <c r="BG62" s="423"/>
      <c r="BH62" s="417"/>
      <c r="BI62" s="417"/>
      <c r="BJ62" s="417"/>
      <c r="BK62" s="420"/>
      <c r="BL62" s="423"/>
      <c r="BM62" s="420"/>
      <c r="BN62" s="167">
        <f t="shared" si="38"/>
        <v>0.19870000000000002</v>
      </c>
      <c r="BO62" s="167">
        <f t="shared" si="39"/>
        <v>0.16900000000000001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65"/>
      <c r="B63" s="8"/>
      <c r="C63" s="396"/>
      <c r="D63" s="415"/>
      <c r="E63" s="418" t="s">
        <v>20</v>
      </c>
      <c r="F63" s="418"/>
      <c r="G63" s="418"/>
      <c r="H63" s="421"/>
      <c r="I63" s="424"/>
      <c r="J63" s="418"/>
      <c r="K63" s="418"/>
      <c r="L63" s="418"/>
      <c r="M63" s="421"/>
      <c r="N63" s="424"/>
      <c r="O63" s="418"/>
      <c r="P63" s="418"/>
      <c r="Q63" s="418"/>
      <c r="R63" s="421"/>
      <c r="S63" s="424"/>
      <c r="T63" s="418"/>
      <c r="U63" s="418"/>
      <c r="V63" s="418"/>
      <c r="W63" s="421"/>
      <c r="X63" s="424"/>
      <c r="Y63" s="418"/>
      <c r="Z63" s="418"/>
      <c r="AA63" s="418"/>
      <c r="AB63" s="421"/>
      <c r="AC63" s="424"/>
      <c r="AD63" s="418"/>
      <c r="AE63" s="418"/>
      <c r="AF63" s="418"/>
      <c r="AG63" s="421"/>
      <c r="AH63" s="424"/>
      <c r="AI63" s="418"/>
      <c r="AJ63" s="418"/>
      <c r="AK63" s="418"/>
      <c r="AL63" s="421"/>
      <c r="AM63" s="424"/>
      <c r="AN63" s="418"/>
      <c r="AO63" s="418"/>
      <c r="AP63" s="418"/>
      <c r="AQ63" s="421"/>
      <c r="AR63" s="424"/>
      <c r="AS63" s="418"/>
      <c r="AT63" s="418"/>
      <c r="AU63" s="418"/>
      <c r="AV63" s="421"/>
      <c r="AW63" s="424"/>
      <c r="AX63" s="418"/>
      <c r="AY63" s="418"/>
      <c r="AZ63" s="418"/>
      <c r="BA63" s="421"/>
      <c r="BB63" s="424"/>
      <c r="BC63" s="418"/>
      <c r="BD63" s="418"/>
      <c r="BE63" s="418"/>
      <c r="BF63" s="421"/>
      <c r="BG63" s="424"/>
      <c r="BH63" s="418"/>
      <c r="BI63" s="418"/>
      <c r="BJ63" s="418"/>
      <c r="BK63" s="421"/>
      <c r="BL63" s="424"/>
      <c r="BM63" s="421"/>
      <c r="BN63" s="168">
        <f t="shared" si="38"/>
        <v>0.19870000000000002</v>
      </c>
      <c r="BO63" s="168">
        <f t="shared" si="39"/>
        <v>0.16900000000000001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19</v>
      </c>
      <c r="B64" s="6"/>
      <c r="C64" s="395" t="s">
        <v>305</v>
      </c>
      <c r="D64" s="413">
        <f>MIN(Thickness!D64:D66)</f>
        <v>0.214</v>
      </c>
      <c r="E64" s="416">
        <f>MIN(Thickness!E64:E66)</f>
        <v>0.191</v>
      </c>
      <c r="F64" s="416">
        <f>MIN(Thickness!F64:F66)</f>
        <v>0.19700000000000001</v>
      </c>
      <c r="G64" s="416">
        <f>MIN(Thickness!G64:G66)</f>
        <v>0.2</v>
      </c>
      <c r="H64" s="419">
        <f>MIN(Thickness!H64:H66)</f>
        <v>0.20599999999999999</v>
      </c>
      <c r="I64" s="422">
        <f>MIN(Thickness!I64:I66)</f>
        <v>0.20599999999999999</v>
      </c>
      <c r="J64" s="416">
        <f>MIN(Thickness!J64:J66)</f>
        <v>0.20799999999999999</v>
      </c>
      <c r="K64" s="416">
        <f>MIN(Thickness!K64:K66)</f>
        <v>0.217</v>
      </c>
      <c r="L64" s="416">
        <f>MIN(Thickness!L64:L66)</f>
        <v>0.20899999999999999</v>
      </c>
      <c r="M64" s="419">
        <f>MIN(Thickness!M64:M66)</f>
        <v>0.20899999999999999</v>
      </c>
      <c r="N64" s="422">
        <f>MIN(Thickness!N64:N66)</f>
        <v>0.21099999999999999</v>
      </c>
      <c r="O64" s="416">
        <f>MIN(Thickness!O64:O66)</f>
        <v>0.20599999999999999</v>
      </c>
      <c r="P64" s="416">
        <f>MIN(Thickness!P64:P66)</f>
        <v>0.21</v>
      </c>
      <c r="Q64" s="416">
        <f>MIN(Thickness!Q64:Q66)</f>
        <v>0.192</v>
      </c>
      <c r="R64" s="419">
        <f>MIN(Thickness!R64:R66)</f>
        <v>0.20899999999999999</v>
      </c>
      <c r="S64" s="422">
        <f>MIN(Thickness!S64:S66)</f>
        <v>0.19900000000000001</v>
      </c>
      <c r="T64" s="416">
        <f>MIN(Thickness!T64:T66)</f>
        <v>0.186</v>
      </c>
      <c r="U64" s="416">
        <f>MIN(Thickness!U64:U66)</f>
        <v>0.193</v>
      </c>
      <c r="V64" s="416">
        <f>MIN(Thickness!V64:V66)</f>
        <v>0.186</v>
      </c>
      <c r="W64" s="419">
        <f>MIN(Thickness!W64:W66)</f>
        <v>0.19</v>
      </c>
      <c r="X64" s="422">
        <f>MIN(Thickness!X64:X66)</f>
        <v>0.19700000000000001</v>
      </c>
      <c r="Y64" s="416">
        <f>MIN(Thickness!Y64:Y66)</f>
        <v>0.20200000000000001</v>
      </c>
      <c r="Z64" s="416">
        <f>MIN(Thickness!Z64:Z66)</f>
        <v>0.19</v>
      </c>
      <c r="AA64" s="416">
        <f>MIN(Thickness!AA64:AA66)</f>
        <v>0.19500000000000001</v>
      </c>
      <c r="AB64" s="419">
        <f>MIN(Thickness!AB64:AB66)</f>
        <v>0.19800000000000001</v>
      </c>
      <c r="AC64" s="422">
        <f>MIN(Thickness!AC64:AC66)</f>
        <v>0.187</v>
      </c>
      <c r="AD64" s="416">
        <f>MIN(Thickness!AD64:AD66)</f>
        <v>0.21099999999999999</v>
      </c>
      <c r="AE64" s="416">
        <f>MIN(Thickness!AE64:AE66)</f>
        <v>0.214</v>
      </c>
      <c r="AF64" s="416">
        <f>MIN(Thickness!AF64:AF66)</f>
        <v>0.19600000000000001</v>
      </c>
      <c r="AG64" s="419">
        <f>MIN(Thickness!AG64:AG66)</f>
        <v>0.16900000000000001</v>
      </c>
      <c r="AH64" s="422">
        <f>MIN(Thickness!AH64:AH66)</f>
        <v>0.185</v>
      </c>
      <c r="AI64" s="416">
        <f>MIN(Thickness!AI64:AI66)</f>
        <v>0.19800000000000001</v>
      </c>
      <c r="AJ64" s="416">
        <f>MIN(Thickness!AJ64:AJ66)</f>
        <v>0.192</v>
      </c>
      <c r="AK64" s="416">
        <f>MIN(Thickness!AK64:AK66)</f>
        <v>0.17899999999999999</v>
      </c>
      <c r="AL64" s="419">
        <f>MIN(Thickness!AL64:AL66)</f>
        <v>0.2</v>
      </c>
      <c r="AM64" s="422">
        <f>MIN(Thickness!AM64:AM66)</f>
        <v>0.187</v>
      </c>
      <c r="AN64" s="416">
        <f>MIN(Thickness!AN64:AN66)</f>
        <v>0.20200000000000001</v>
      </c>
      <c r="AO64" s="416">
        <f>MIN(Thickness!AO64:AO66)</f>
        <v>0.2</v>
      </c>
      <c r="AP64" s="416">
        <f>MIN(Thickness!AP64:AP66)</f>
        <v>0.193</v>
      </c>
      <c r="AQ64" s="419">
        <f>MIN(Thickness!AQ64:AQ66)</f>
        <v>0.19800000000000001</v>
      </c>
      <c r="AR64" s="422">
        <f>MIN(Thickness!AR64:AR66)</f>
        <v>0.193</v>
      </c>
      <c r="AS64" s="416">
        <f>MIN(Thickness!AS64:AS66)</f>
        <v>0.17100000000000001</v>
      </c>
      <c r="AT64" s="416">
        <f>MIN(Thickness!AT64:AT66)</f>
        <v>0.191</v>
      </c>
      <c r="AU64" s="416">
        <f>MIN(Thickness!AU64:AU66)</f>
        <v>0.20300000000000001</v>
      </c>
      <c r="AV64" s="419">
        <f>MIN(Thickness!AV64:AV66)</f>
        <v>0.182</v>
      </c>
      <c r="AW64" s="422">
        <f>MIN(Thickness!AW64:AW66)</f>
        <v>0.192</v>
      </c>
      <c r="AX64" s="416">
        <f>MIN(Thickness!AX64:AX66)</f>
        <v>0.19800000000000001</v>
      </c>
      <c r="AY64" s="416">
        <f>MIN(Thickness!AY64:AY66)</f>
        <v>0.19500000000000001</v>
      </c>
      <c r="AZ64" s="416">
        <f>MIN(Thickness!AZ64:AZ66)</f>
        <v>0.19900000000000001</v>
      </c>
      <c r="BA64" s="419">
        <f>MIN(Thickness!BA64:BA66)</f>
        <v>0.19500000000000001</v>
      </c>
      <c r="BB64" s="422">
        <f>MIN(Thickness!BB64:BB66)</f>
        <v>0.19</v>
      </c>
      <c r="BC64" s="416">
        <f>MIN(Thickness!BC64:BC66)</f>
        <v>0.19</v>
      </c>
      <c r="BD64" s="416">
        <f>MIN(Thickness!BD64:BD66)</f>
        <v>0.20200000000000001</v>
      </c>
      <c r="BE64" s="416" t="s">
        <v>20</v>
      </c>
      <c r="BF64" s="419">
        <f>MIN(Thickness!BF64:BF66)</f>
        <v>0.21299999999999999</v>
      </c>
      <c r="BG64" s="422">
        <f>MIN(Thickness!BG64:BG66)</f>
        <v>0.19600000000000001</v>
      </c>
      <c r="BH64" s="416">
        <f>MIN(Thickness!BH64:BH66)</f>
        <v>0.20499999999999999</v>
      </c>
      <c r="BI64" s="416">
        <f>MIN(Thickness!BI64:BI66)</f>
        <v>0.216</v>
      </c>
      <c r="BJ64" s="416">
        <f>MIN(Thickness!BJ64:BJ66)</f>
        <v>0.20699999999999999</v>
      </c>
      <c r="BK64" s="419">
        <f>MIN(Thickness!BK64:BK66)</f>
        <v>0.221</v>
      </c>
      <c r="BL64" s="422" t="s">
        <v>20</v>
      </c>
      <c r="BM64" s="419">
        <f>MIN(Thickness!BM64:BM66)</f>
        <v>0.23100000000000001</v>
      </c>
      <c r="BN64" s="166">
        <f t="shared" ref="BN64:BN66" si="40">IFERROR(AVERAGE(D64:BM66),0)</f>
        <v>0.19870000000000002</v>
      </c>
      <c r="BO64" s="166">
        <f t="shared" ref="BO64:BO66" si="41">MIN(D64:BM66)</f>
        <v>0.16900000000000001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65">
        <v>8.3000000000000004E-2</v>
      </c>
      <c r="B65" s="7" t="s">
        <v>36</v>
      </c>
      <c r="C65" s="396"/>
      <c r="D65" s="414"/>
      <c r="E65" s="417"/>
      <c r="F65" s="417"/>
      <c r="G65" s="417"/>
      <c r="H65" s="420"/>
      <c r="I65" s="423"/>
      <c r="J65" s="417"/>
      <c r="K65" s="417"/>
      <c r="L65" s="417"/>
      <c r="M65" s="420"/>
      <c r="N65" s="423"/>
      <c r="O65" s="417"/>
      <c r="P65" s="417"/>
      <c r="Q65" s="417"/>
      <c r="R65" s="420"/>
      <c r="S65" s="423"/>
      <c r="T65" s="417"/>
      <c r="U65" s="417"/>
      <c r="V65" s="417"/>
      <c r="W65" s="420"/>
      <c r="X65" s="423"/>
      <c r="Y65" s="417"/>
      <c r="Z65" s="417"/>
      <c r="AA65" s="417"/>
      <c r="AB65" s="420"/>
      <c r="AC65" s="423"/>
      <c r="AD65" s="417"/>
      <c r="AE65" s="417"/>
      <c r="AF65" s="417"/>
      <c r="AG65" s="420"/>
      <c r="AH65" s="423"/>
      <c r="AI65" s="417"/>
      <c r="AJ65" s="417"/>
      <c r="AK65" s="417"/>
      <c r="AL65" s="420"/>
      <c r="AM65" s="423"/>
      <c r="AN65" s="417"/>
      <c r="AO65" s="417"/>
      <c r="AP65" s="417"/>
      <c r="AQ65" s="420"/>
      <c r="AR65" s="423"/>
      <c r="AS65" s="417"/>
      <c r="AT65" s="417"/>
      <c r="AU65" s="417"/>
      <c r="AV65" s="420"/>
      <c r="AW65" s="423"/>
      <c r="AX65" s="417"/>
      <c r="AY65" s="417"/>
      <c r="AZ65" s="417"/>
      <c r="BA65" s="420"/>
      <c r="BB65" s="423"/>
      <c r="BC65" s="417"/>
      <c r="BD65" s="417"/>
      <c r="BE65" s="417" t="s">
        <v>20</v>
      </c>
      <c r="BF65" s="420"/>
      <c r="BG65" s="423"/>
      <c r="BH65" s="417"/>
      <c r="BI65" s="417"/>
      <c r="BJ65" s="417"/>
      <c r="BK65" s="420"/>
      <c r="BL65" s="423" t="s">
        <v>20</v>
      </c>
      <c r="BM65" s="420"/>
      <c r="BN65" s="167">
        <f t="shared" si="40"/>
        <v>0.20039344262295083</v>
      </c>
      <c r="BO65" s="167">
        <f t="shared" si="41"/>
        <v>0.16400000000000001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65"/>
      <c r="B66" s="8"/>
      <c r="C66" s="396"/>
      <c r="D66" s="415"/>
      <c r="E66" s="418"/>
      <c r="F66" s="418"/>
      <c r="G66" s="418"/>
      <c r="H66" s="421"/>
      <c r="I66" s="424"/>
      <c r="J66" s="418"/>
      <c r="K66" s="418"/>
      <c r="L66" s="418"/>
      <c r="M66" s="421"/>
      <c r="N66" s="424"/>
      <c r="O66" s="418"/>
      <c r="P66" s="418"/>
      <c r="Q66" s="418"/>
      <c r="R66" s="421"/>
      <c r="S66" s="424"/>
      <c r="T66" s="418"/>
      <c r="U66" s="418"/>
      <c r="V66" s="418"/>
      <c r="W66" s="421"/>
      <c r="X66" s="424"/>
      <c r="Y66" s="418"/>
      <c r="Z66" s="418"/>
      <c r="AA66" s="418"/>
      <c r="AB66" s="421"/>
      <c r="AC66" s="424"/>
      <c r="AD66" s="418"/>
      <c r="AE66" s="418"/>
      <c r="AF66" s="418"/>
      <c r="AG66" s="421"/>
      <c r="AH66" s="424"/>
      <c r="AI66" s="418"/>
      <c r="AJ66" s="418"/>
      <c r="AK66" s="418"/>
      <c r="AL66" s="421"/>
      <c r="AM66" s="424"/>
      <c r="AN66" s="418"/>
      <c r="AO66" s="418"/>
      <c r="AP66" s="418"/>
      <c r="AQ66" s="421"/>
      <c r="AR66" s="424"/>
      <c r="AS66" s="418"/>
      <c r="AT66" s="418"/>
      <c r="AU66" s="418"/>
      <c r="AV66" s="421"/>
      <c r="AW66" s="424"/>
      <c r="AX66" s="418"/>
      <c r="AY66" s="418"/>
      <c r="AZ66" s="418"/>
      <c r="BA66" s="421"/>
      <c r="BB66" s="424"/>
      <c r="BC66" s="418"/>
      <c r="BD66" s="418"/>
      <c r="BE66" s="418" t="s">
        <v>20</v>
      </c>
      <c r="BF66" s="421"/>
      <c r="BG66" s="424"/>
      <c r="BH66" s="418"/>
      <c r="BI66" s="418"/>
      <c r="BJ66" s="418"/>
      <c r="BK66" s="421"/>
      <c r="BL66" s="424" t="s">
        <v>20</v>
      </c>
      <c r="BM66" s="421"/>
      <c r="BN66" s="168">
        <f t="shared" si="40"/>
        <v>0.20039344262295083</v>
      </c>
      <c r="BO66" s="168">
        <f t="shared" si="41"/>
        <v>0.16400000000000001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19</v>
      </c>
      <c r="B67" s="6"/>
      <c r="C67" s="395" t="s">
        <v>305</v>
      </c>
      <c r="D67" s="413">
        <f>MIN(Thickness!D67:D69)</f>
        <v>0.20599999999999999</v>
      </c>
      <c r="E67" s="416">
        <f>MIN(Thickness!E67:E69)</f>
        <v>0.19900000000000001</v>
      </c>
      <c r="F67" s="416">
        <f>MIN(Thickness!F67:F69)</f>
        <v>0.20899999999999999</v>
      </c>
      <c r="G67" s="416">
        <f>MIN(Thickness!G67:G69)</f>
        <v>0.223</v>
      </c>
      <c r="H67" s="419">
        <f>MIN(Thickness!H67:H69)</f>
        <v>0.214</v>
      </c>
      <c r="I67" s="422">
        <f>MIN(Thickness!I67:I69)</f>
        <v>0.20699999999999999</v>
      </c>
      <c r="J67" s="416">
        <f>MIN(Thickness!J67:J69)</f>
        <v>0.20599999999999999</v>
      </c>
      <c r="K67" s="416">
        <f>MIN(Thickness!K67:K69)</f>
        <v>0.20300000000000001</v>
      </c>
      <c r="L67" s="416">
        <f>MIN(Thickness!L67:L69)</f>
        <v>0.21299999999999999</v>
      </c>
      <c r="M67" s="419">
        <f>MIN(Thickness!M67:M69)</f>
        <v>0.20899999999999999</v>
      </c>
      <c r="N67" s="422">
        <f>MIN(Thickness!N67:N69)</f>
        <v>0.20399999999999999</v>
      </c>
      <c r="O67" s="416">
        <f>MIN(Thickness!O67:O69)</f>
        <v>0.19800000000000001</v>
      </c>
      <c r="P67" s="416" t="s">
        <v>20</v>
      </c>
      <c r="Q67" s="416">
        <f>MIN(Thickness!Q67:Q69)</f>
        <v>0.19900000000000001</v>
      </c>
      <c r="R67" s="419">
        <f>MIN(Thickness!R67:R69)</f>
        <v>0.20699999999999999</v>
      </c>
      <c r="S67" s="422">
        <f>MIN(Thickness!S67:S69)</f>
        <v>0.19900000000000001</v>
      </c>
      <c r="T67" s="416">
        <f>MIN(Thickness!T67:T69)</f>
        <v>0.192</v>
      </c>
      <c r="U67" s="416">
        <f>MIN(Thickness!U67:U69)</f>
        <v>0.20799999999999999</v>
      </c>
      <c r="V67" s="416">
        <f>MIN(Thickness!V67:V69)</f>
        <v>0.2</v>
      </c>
      <c r="W67" s="419">
        <f>MIN(Thickness!W67:W69)</f>
        <v>0.20399999999999999</v>
      </c>
      <c r="X67" s="422">
        <f>MIN(Thickness!X67:X69)</f>
        <v>0.20300000000000001</v>
      </c>
      <c r="Y67" s="416">
        <f>MIN(Thickness!Y67:Y69)</f>
        <v>0.20200000000000001</v>
      </c>
      <c r="Z67" s="416">
        <f>MIN(Thickness!Z67:Z69)</f>
        <v>0.20799999999999999</v>
      </c>
      <c r="AA67" s="416">
        <f>MIN(Thickness!AA67:AA69)</f>
        <v>0.20100000000000001</v>
      </c>
      <c r="AB67" s="419">
        <f>MIN(Thickness!AB67:AB69)</f>
        <v>0.19800000000000001</v>
      </c>
      <c r="AC67" s="422">
        <f>MIN(Thickness!AC67:AC69)</f>
        <v>0.19500000000000001</v>
      </c>
      <c r="AD67" s="416">
        <f>MIN(Thickness!AD67:AD69)</f>
        <v>0.21</v>
      </c>
      <c r="AE67" s="416">
        <f>MIN(Thickness!AE67:AE69)</f>
        <v>0.20499999999999999</v>
      </c>
      <c r="AF67" s="416">
        <f>MIN(Thickness!AF67:AF69)</f>
        <v>0.20200000000000001</v>
      </c>
      <c r="AG67" s="419">
        <f>MIN(Thickness!AG67:AG69)</f>
        <v>0.20499999999999999</v>
      </c>
      <c r="AH67" s="422">
        <f>MIN(Thickness!AH67:AH69)</f>
        <v>0.185</v>
      </c>
      <c r="AI67" s="416">
        <f>MIN(Thickness!AI67:AI69)</f>
        <v>0.186</v>
      </c>
      <c r="AJ67" s="416">
        <f>MIN(Thickness!AJ67:AJ69)</f>
        <v>0.20399999999999999</v>
      </c>
      <c r="AK67" s="416">
        <f>MIN(Thickness!AK67:AK69)</f>
        <v>0.184</v>
      </c>
      <c r="AL67" s="419">
        <f>MIN(Thickness!AL67:AL69)</f>
        <v>0.192</v>
      </c>
      <c r="AM67" s="422">
        <f>MIN(Thickness!AM67:AM69)</f>
        <v>0.20699999999999999</v>
      </c>
      <c r="AN67" s="416">
        <f>MIN(Thickness!AN67:AN69)</f>
        <v>0.20399999999999999</v>
      </c>
      <c r="AO67" s="416">
        <f>MIN(Thickness!AO67:AO69)</f>
        <v>0.245</v>
      </c>
      <c r="AP67" s="416">
        <f>MIN(Thickness!AP67:AP69)</f>
        <v>0.2</v>
      </c>
      <c r="AQ67" s="419">
        <f>MIN(Thickness!AQ67:AQ69)</f>
        <v>0.20799999999999999</v>
      </c>
      <c r="AR67" s="422">
        <f>MIN(Thickness!AR67:AR69)</f>
        <v>0.19</v>
      </c>
      <c r="AS67" s="416">
        <f>MIN(Thickness!AS67:AS69)</f>
        <v>0.20100000000000001</v>
      </c>
      <c r="AT67" s="416">
        <f>MIN(Thickness!AT67:AT69)</f>
        <v>0.17699999999999999</v>
      </c>
      <c r="AU67" s="416">
        <f>MIN(Thickness!AU67:AU69)</f>
        <v>0.183</v>
      </c>
      <c r="AV67" s="419">
        <f>MIN(Thickness!AV67:AV69)</f>
        <v>0.16400000000000001</v>
      </c>
      <c r="AW67" s="422">
        <f>MIN(Thickness!AW67:AW69)</f>
        <v>0.16800000000000001</v>
      </c>
      <c r="AX67" s="416">
        <f>MIN(Thickness!AX67:AX69)</f>
        <v>0.185</v>
      </c>
      <c r="AY67" s="416">
        <f>MIN(Thickness!AY67:AY69)</f>
        <v>0.183</v>
      </c>
      <c r="AZ67" s="416">
        <f>MIN(Thickness!AZ67:AZ69)</f>
        <v>0.18</v>
      </c>
      <c r="BA67" s="419">
        <f>MIN(Thickness!BA67:BA69)</f>
        <v>0.19500000000000001</v>
      </c>
      <c r="BB67" s="422">
        <f>MIN(Thickness!BB67:BB69)</f>
        <v>0.20399999999999999</v>
      </c>
      <c r="BC67" s="416">
        <f>MIN(Thickness!BC67:BC69)</f>
        <v>0.17899999999999999</v>
      </c>
      <c r="BD67" s="416">
        <f>MIN(Thickness!BD67:BD69)</f>
        <v>0.188</v>
      </c>
      <c r="BE67" s="416">
        <f>MIN(Thickness!BE67:BE69)</f>
        <v>0.20100000000000001</v>
      </c>
      <c r="BF67" s="419">
        <f>MIN(Thickness!BF67:BF69)</f>
        <v>0.189</v>
      </c>
      <c r="BG67" s="422">
        <f>MIN(Thickness!BG67:BG69)</f>
        <v>0.19500000000000001</v>
      </c>
      <c r="BH67" s="416">
        <f>MIN(Thickness!BH67:BH69)</f>
        <v>0.19700000000000001</v>
      </c>
      <c r="BI67" s="416">
        <f>MIN(Thickness!BI67:BI69)</f>
        <v>0.20899999999999999</v>
      </c>
      <c r="BJ67" s="416">
        <f>MIN(Thickness!BJ67:BJ69)</f>
        <v>0.20899999999999999</v>
      </c>
      <c r="BK67" s="419">
        <f>MIN(Thickness!BK67:BK69)</f>
        <v>0.217</v>
      </c>
      <c r="BL67" s="422">
        <f>MIN(Thickness!BL67:BL69)</f>
        <v>0.23200000000000001</v>
      </c>
      <c r="BM67" s="419">
        <f>MIN(Thickness!BM67:BM69)</f>
        <v>0.23400000000000001</v>
      </c>
      <c r="BN67" s="166">
        <f t="shared" ref="BN67:BN69" si="42">IFERROR(AVERAGE(D67:BM69),0)</f>
        <v>0.20039344262295083</v>
      </c>
      <c r="BO67" s="166">
        <f t="shared" ref="BO67:BO69" si="43">MIN(D67:BM69)</f>
        <v>0.16400000000000001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65">
        <v>8.3000000000000004E-2</v>
      </c>
      <c r="B68" s="7" t="s">
        <v>37</v>
      </c>
      <c r="C68" s="396"/>
      <c r="D68" s="414"/>
      <c r="E68" s="417"/>
      <c r="F68" s="417"/>
      <c r="G68" s="417"/>
      <c r="H68" s="420"/>
      <c r="I68" s="423"/>
      <c r="J68" s="417"/>
      <c r="K68" s="417"/>
      <c r="L68" s="417"/>
      <c r="M68" s="420"/>
      <c r="N68" s="423"/>
      <c r="O68" s="417"/>
      <c r="P68" s="417" t="s">
        <v>20</v>
      </c>
      <c r="Q68" s="417"/>
      <c r="R68" s="420"/>
      <c r="S68" s="423"/>
      <c r="T68" s="417"/>
      <c r="U68" s="417"/>
      <c r="V68" s="417"/>
      <c r="W68" s="420"/>
      <c r="X68" s="423"/>
      <c r="Y68" s="417"/>
      <c r="Z68" s="417"/>
      <c r="AA68" s="417"/>
      <c r="AB68" s="420"/>
      <c r="AC68" s="423"/>
      <c r="AD68" s="417"/>
      <c r="AE68" s="417"/>
      <c r="AF68" s="417"/>
      <c r="AG68" s="420"/>
      <c r="AH68" s="423"/>
      <c r="AI68" s="417"/>
      <c r="AJ68" s="417"/>
      <c r="AK68" s="417"/>
      <c r="AL68" s="420"/>
      <c r="AM68" s="423"/>
      <c r="AN68" s="417"/>
      <c r="AO68" s="417"/>
      <c r="AP68" s="417"/>
      <c r="AQ68" s="420"/>
      <c r="AR68" s="423"/>
      <c r="AS68" s="417"/>
      <c r="AT68" s="417"/>
      <c r="AU68" s="417"/>
      <c r="AV68" s="420"/>
      <c r="AW68" s="423"/>
      <c r="AX68" s="417"/>
      <c r="AY68" s="417"/>
      <c r="AZ68" s="417"/>
      <c r="BA68" s="420"/>
      <c r="BB68" s="423"/>
      <c r="BC68" s="417"/>
      <c r="BD68" s="417"/>
      <c r="BE68" s="417"/>
      <c r="BF68" s="420"/>
      <c r="BG68" s="423"/>
      <c r="BH68" s="417"/>
      <c r="BI68" s="417"/>
      <c r="BJ68" s="417"/>
      <c r="BK68" s="420"/>
      <c r="BL68" s="423"/>
      <c r="BM68" s="420"/>
      <c r="BN68" s="167">
        <f t="shared" si="42"/>
        <v>0.19274193548387092</v>
      </c>
      <c r="BO68" s="167">
        <f t="shared" si="43"/>
        <v>0.152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65"/>
      <c r="B69" s="8"/>
      <c r="C69" s="396"/>
      <c r="D69" s="415"/>
      <c r="E69" s="418"/>
      <c r="F69" s="418"/>
      <c r="G69" s="418"/>
      <c r="H69" s="421"/>
      <c r="I69" s="424"/>
      <c r="J69" s="418"/>
      <c r="K69" s="418"/>
      <c r="L69" s="418"/>
      <c r="M69" s="421"/>
      <c r="N69" s="424"/>
      <c r="O69" s="418"/>
      <c r="P69" s="418" t="s">
        <v>20</v>
      </c>
      <c r="Q69" s="418"/>
      <c r="R69" s="421"/>
      <c r="S69" s="424"/>
      <c r="T69" s="418"/>
      <c r="U69" s="418"/>
      <c r="V69" s="418"/>
      <c r="W69" s="421"/>
      <c r="X69" s="424"/>
      <c r="Y69" s="418"/>
      <c r="Z69" s="418"/>
      <c r="AA69" s="418"/>
      <c r="AB69" s="421"/>
      <c r="AC69" s="424"/>
      <c r="AD69" s="418"/>
      <c r="AE69" s="418"/>
      <c r="AF69" s="418"/>
      <c r="AG69" s="421"/>
      <c r="AH69" s="424"/>
      <c r="AI69" s="418"/>
      <c r="AJ69" s="418"/>
      <c r="AK69" s="418"/>
      <c r="AL69" s="421"/>
      <c r="AM69" s="424"/>
      <c r="AN69" s="418"/>
      <c r="AO69" s="418"/>
      <c r="AP69" s="418"/>
      <c r="AQ69" s="421"/>
      <c r="AR69" s="424"/>
      <c r="AS69" s="418"/>
      <c r="AT69" s="418"/>
      <c r="AU69" s="418"/>
      <c r="AV69" s="421"/>
      <c r="AW69" s="424"/>
      <c r="AX69" s="418"/>
      <c r="AY69" s="418"/>
      <c r="AZ69" s="418"/>
      <c r="BA69" s="421"/>
      <c r="BB69" s="424"/>
      <c r="BC69" s="418"/>
      <c r="BD69" s="418"/>
      <c r="BE69" s="418"/>
      <c r="BF69" s="421"/>
      <c r="BG69" s="424"/>
      <c r="BH69" s="418"/>
      <c r="BI69" s="418"/>
      <c r="BJ69" s="418"/>
      <c r="BK69" s="421"/>
      <c r="BL69" s="424"/>
      <c r="BM69" s="421"/>
      <c r="BN69" s="168">
        <f t="shared" si="42"/>
        <v>0.19274193548387092</v>
      </c>
      <c r="BO69" s="168">
        <f t="shared" si="43"/>
        <v>0.152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19</v>
      </c>
      <c r="B70" s="6"/>
      <c r="C70" s="395" t="s">
        <v>305</v>
      </c>
      <c r="D70" s="413">
        <f>MIN(Thickness!D70:D72)</f>
        <v>0.21199999999999999</v>
      </c>
      <c r="E70" s="416">
        <f>MIN(Thickness!E70:E72)</f>
        <v>0.217</v>
      </c>
      <c r="F70" s="416">
        <f>MIN(Thickness!F70:F72)</f>
        <v>0.215</v>
      </c>
      <c r="G70" s="416">
        <f>MIN(Thickness!G70:G72)</f>
        <v>0.21199999999999999</v>
      </c>
      <c r="H70" s="419">
        <f>MIN(Thickness!H70:H72)</f>
        <v>0.20300000000000001</v>
      </c>
      <c r="I70" s="422">
        <f>MIN(Thickness!I70:I72)</f>
        <v>0.19700000000000001</v>
      </c>
      <c r="J70" s="416">
        <f>MIN(Thickness!J70:J72)</f>
        <v>0.19600000000000001</v>
      </c>
      <c r="K70" s="416">
        <f>MIN(Thickness!K70:K72)</f>
        <v>0.19500000000000001</v>
      </c>
      <c r="L70" s="416">
        <f>MIN(Thickness!L70:L72)</f>
        <v>0.19</v>
      </c>
      <c r="M70" s="419">
        <f>MIN(Thickness!M70:M72)</f>
        <v>0.183</v>
      </c>
      <c r="N70" s="422">
        <f>MIN(Thickness!N70:N72)</f>
        <v>0.187</v>
      </c>
      <c r="O70" s="416">
        <f>MIN(Thickness!O70:O72)</f>
        <v>0.193</v>
      </c>
      <c r="P70" s="416">
        <f>MIN(Thickness!P70:P72)</f>
        <v>0.19500000000000001</v>
      </c>
      <c r="Q70" s="416">
        <f>MIN(Thickness!Q70:Q72)</f>
        <v>0.193</v>
      </c>
      <c r="R70" s="419">
        <f>MIN(Thickness!R70:R72)</f>
        <v>0.20200000000000001</v>
      </c>
      <c r="S70" s="422">
        <f>MIN(Thickness!S70:S72)</f>
        <v>0.19400000000000001</v>
      </c>
      <c r="T70" s="416">
        <f>MIN(Thickness!T70:T72)</f>
        <v>0.189</v>
      </c>
      <c r="U70" s="416">
        <f>MIN(Thickness!U70:U72)</f>
        <v>0.19600000000000001</v>
      </c>
      <c r="V70" s="416">
        <f>MIN(Thickness!V70:V72)</f>
        <v>0.193</v>
      </c>
      <c r="W70" s="419">
        <f>MIN(Thickness!W70:W72)</f>
        <v>0.19</v>
      </c>
      <c r="X70" s="422">
        <f>MIN(Thickness!X70:X72)</f>
        <v>0.20499999999999999</v>
      </c>
      <c r="Y70" s="416">
        <f>MIN(Thickness!Y70:Y72)</f>
        <v>0.20200000000000001</v>
      </c>
      <c r="Z70" s="416">
        <f>MIN(Thickness!Z70:Z72)</f>
        <v>0.20899999999999999</v>
      </c>
      <c r="AA70" s="416">
        <f>MIN(Thickness!AA70:AA72)</f>
        <v>0.192</v>
      </c>
      <c r="AB70" s="419">
        <f>MIN(Thickness!AB70:AB72)</f>
        <v>0.19400000000000001</v>
      </c>
      <c r="AC70" s="422">
        <f>MIN(Thickness!AC70:AC72)</f>
        <v>0.20599999999999999</v>
      </c>
      <c r="AD70" s="416">
        <f>MIN(Thickness!AD70:AD72)</f>
        <v>0.20699999999999999</v>
      </c>
      <c r="AE70" s="416">
        <f>MIN(Thickness!AE70:AE72)</f>
        <v>0.20599999999999999</v>
      </c>
      <c r="AF70" s="416">
        <f>MIN(Thickness!AF70:AF72)</f>
        <v>0.193</v>
      </c>
      <c r="AG70" s="419">
        <f>MIN(Thickness!AG70:AG72)</f>
        <v>0.20599999999999999</v>
      </c>
      <c r="AH70" s="422">
        <f>MIN(Thickness!AH70:AH72)</f>
        <v>0.2</v>
      </c>
      <c r="AI70" s="416">
        <f>MIN(Thickness!AI70:AI72)</f>
        <v>0.21199999999999999</v>
      </c>
      <c r="AJ70" s="416">
        <f>MIN(Thickness!AJ70:AJ72)</f>
        <v>0.20100000000000001</v>
      </c>
      <c r="AK70" s="416">
        <f>MIN(Thickness!AK70:AK72)</f>
        <v>0.23699999999999999</v>
      </c>
      <c r="AL70" s="419">
        <f>MIN(Thickness!AL70:AL72)</f>
        <v>0.193</v>
      </c>
      <c r="AM70" s="422">
        <f>MIN(Thickness!AM70:AM72)</f>
        <v>0.20699999999999999</v>
      </c>
      <c r="AN70" s="416">
        <f>MIN(Thickness!AN70:AN72)</f>
        <v>0.19400000000000001</v>
      </c>
      <c r="AO70" s="416">
        <f>MIN(Thickness!AO70:AO72)</f>
        <v>0.20399999999999999</v>
      </c>
      <c r="AP70" s="416">
        <f>MIN(Thickness!AP70:AP72)</f>
        <v>0.183</v>
      </c>
      <c r="AQ70" s="419">
        <f>MIN(Thickness!AQ70:AQ72)</f>
        <v>0.184</v>
      </c>
      <c r="AR70" s="422">
        <f>MIN(Thickness!AR70:AR72)</f>
        <v>0.185</v>
      </c>
      <c r="AS70" s="416">
        <f>MIN(Thickness!AS70:AS72)</f>
        <v>0.21099999999999999</v>
      </c>
      <c r="AT70" s="416">
        <f>MIN(Thickness!AT70:AT72)</f>
        <v>0.17100000000000001</v>
      </c>
      <c r="AU70" s="416">
        <f>MIN(Thickness!AU70:AU72)</f>
        <v>0.18</v>
      </c>
      <c r="AV70" s="419">
        <f>MIN(Thickness!AV70:AV72)</f>
        <v>0.17799999999999999</v>
      </c>
      <c r="AW70" s="422">
        <f>MIN(Thickness!AW70:AW72)</f>
        <v>0.17499999999999999</v>
      </c>
      <c r="AX70" s="416">
        <f>MIN(Thickness!AX70:AX72)</f>
        <v>0.2</v>
      </c>
      <c r="AY70" s="416">
        <f>MIN(Thickness!AY70:AY72)</f>
        <v>0.20599999999999999</v>
      </c>
      <c r="AZ70" s="416">
        <f>MIN(Thickness!AZ70:AZ72)</f>
        <v>0.17499999999999999</v>
      </c>
      <c r="BA70" s="419">
        <f>MIN(Thickness!BA70:BA72)</f>
        <v>0.17499999999999999</v>
      </c>
      <c r="BB70" s="422">
        <f>MIN(Thickness!BB70:BB72)</f>
        <v>0.17399999999999999</v>
      </c>
      <c r="BC70" s="416">
        <f>MIN(Thickness!BC70:BC72)</f>
        <v>0.17899999999999999</v>
      </c>
      <c r="BD70" s="416">
        <f>MIN(Thickness!BD70:BD72)</f>
        <v>0.16900000000000001</v>
      </c>
      <c r="BE70" s="416">
        <f>MIN(Thickness!BE70:BE72)</f>
        <v>0.16800000000000001</v>
      </c>
      <c r="BF70" s="419">
        <f>MIN(Thickness!BF70:BF72)</f>
        <v>0.16500000000000001</v>
      </c>
      <c r="BG70" s="422">
        <f>MIN(Thickness!BG70:BG72)</f>
        <v>0.152</v>
      </c>
      <c r="BH70" s="416">
        <f>MIN(Thickness!BH70:BH72)</f>
        <v>0.17</v>
      </c>
      <c r="BI70" s="416">
        <f>MIN(Thickness!BI70:BI72)</f>
        <v>0.17399999999999999</v>
      </c>
      <c r="BJ70" s="416">
        <f>MIN(Thickness!BJ70:BJ72)</f>
        <v>0.183</v>
      </c>
      <c r="BK70" s="419">
        <f>MIN(Thickness!BK70:BK72)</f>
        <v>0.17899999999999999</v>
      </c>
      <c r="BL70" s="422">
        <f>MIN(Thickness!BL70:BL72)</f>
        <v>0.19400000000000001</v>
      </c>
      <c r="BM70" s="419">
        <f>MIN(Thickness!BM70:BM72)</f>
        <v>0.2</v>
      </c>
      <c r="BN70" s="166">
        <f t="shared" ref="BN70:BN72" si="44">IFERROR(AVERAGE(D70:BM72),0)</f>
        <v>0.19274193548387092</v>
      </c>
      <c r="BO70" s="166">
        <f t="shared" ref="BO70:BO72" si="45">MIN(D70:BM72)</f>
        <v>0.152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65">
        <v>8.3000000000000004E-2</v>
      </c>
      <c r="B71" s="7" t="s">
        <v>38</v>
      </c>
      <c r="C71" s="396"/>
      <c r="D71" s="414"/>
      <c r="E71" s="417"/>
      <c r="F71" s="417"/>
      <c r="G71" s="417"/>
      <c r="H71" s="420"/>
      <c r="I71" s="423"/>
      <c r="J71" s="417"/>
      <c r="K71" s="417"/>
      <c r="L71" s="417"/>
      <c r="M71" s="420"/>
      <c r="N71" s="423"/>
      <c r="O71" s="417"/>
      <c r="P71" s="417"/>
      <c r="Q71" s="417"/>
      <c r="R71" s="420"/>
      <c r="S71" s="423"/>
      <c r="T71" s="417"/>
      <c r="U71" s="417"/>
      <c r="V71" s="417"/>
      <c r="W71" s="420"/>
      <c r="X71" s="423"/>
      <c r="Y71" s="417"/>
      <c r="Z71" s="417"/>
      <c r="AA71" s="417"/>
      <c r="AB71" s="420"/>
      <c r="AC71" s="423"/>
      <c r="AD71" s="417"/>
      <c r="AE71" s="417"/>
      <c r="AF71" s="417"/>
      <c r="AG71" s="420"/>
      <c r="AH71" s="423"/>
      <c r="AI71" s="417"/>
      <c r="AJ71" s="417"/>
      <c r="AK71" s="417"/>
      <c r="AL71" s="420"/>
      <c r="AM71" s="423"/>
      <c r="AN71" s="417"/>
      <c r="AO71" s="417"/>
      <c r="AP71" s="417"/>
      <c r="AQ71" s="420"/>
      <c r="AR71" s="423"/>
      <c r="AS71" s="417"/>
      <c r="AT71" s="417"/>
      <c r="AU71" s="417"/>
      <c r="AV71" s="420"/>
      <c r="AW71" s="423"/>
      <c r="AX71" s="417"/>
      <c r="AY71" s="417"/>
      <c r="AZ71" s="417"/>
      <c r="BA71" s="420"/>
      <c r="BB71" s="423"/>
      <c r="BC71" s="417"/>
      <c r="BD71" s="417"/>
      <c r="BE71" s="417"/>
      <c r="BF71" s="420"/>
      <c r="BG71" s="423"/>
      <c r="BH71" s="417"/>
      <c r="BI71" s="417"/>
      <c r="BJ71" s="417"/>
      <c r="BK71" s="420"/>
      <c r="BL71" s="423"/>
      <c r="BM71" s="420"/>
      <c r="BN71" s="167">
        <f t="shared" si="44"/>
        <v>0.20616666666666669</v>
      </c>
      <c r="BO71" s="167">
        <f t="shared" si="45"/>
        <v>0.20200000000000001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65"/>
      <c r="B72" s="8"/>
      <c r="C72" s="396"/>
      <c r="D72" s="415"/>
      <c r="E72" s="418"/>
      <c r="F72" s="418"/>
      <c r="G72" s="418"/>
      <c r="H72" s="421"/>
      <c r="I72" s="424"/>
      <c r="J72" s="418"/>
      <c r="K72" s="418"/>
      <c r="L72" s="418"/>
      <c r="M72" s="421"/>
      <c r="N72" s="424"/>
      <c r="O72" s="418"/>
      <c r="P72" s="418"/>
      <c r="Q72" s="418"/>
      <c r="R72" s="421"/>
      <c r="S72" s="424"/>
      <c r="T72" s="418"/>
      <c r="U72" s="418"/>
      <c r="V72" s="418"/>
      <c r="W72" s="421"/>
      <c r="X72" s="424"/>
      <c r="Y72" s="418"/>
      <c r="Z72" s="418"/>
      <c r="AA72" s="418"/>
      <c r="AB72" s="421"/>
      <c r="AC72" s="424"/>
      <c r="AD72" s="418"/>
      <c r="AE72" s="418"/>
      <c r="AF72" s="418"/>
      <c r="AG72" s="421"/>
      <c r="AH72" s="424"/>
      <c r="AI72" s="418"/>
      <c r="AJ72" s="418"/>
      <c r="AK72" s="418"/>
      <c r="AL72" s="421"/>
      <c r="AM72" s="424"/>
      <c r="AN72" s="418"/>
      <c r="AO72" s="418"/>
      <c r="AP72" s="418"/>
      <c r="AQ72" s="421"/>
      <c r="AR72" s="424"/>
      <c r="AS72" s="418"/>
      <c r="AT72" s="418"/>
      <c r="AU72" s="418"/>
      <c r="AV72" s="421"/>
      <c r="AW72" s="424"/>
      <c r="AX72" s="418"/>
      <c r="AY72" s="418"/>
      <c r="AZ72" s="418"/>
      <c r="BA72" s="421"/>
      <c r="BB72" s="424"/>
      <c r="BC72" s="418"/>
      <c r="BD72" s="418"/>
      <c r="BE72" s="418"/>
      <c r="BF72" s="421"/>
      <c r="BG72" s="424"/>
      <c r="BH72" s="418"/>
      <c r="BI72" s="418"/>
      <c r="BJ72" s="418"/>
      <c r="BK72" s="421"/>
      <c r="BL72" s="424"/>
      <c r="BM72" s="421"/>
      <c r="BN72" s="168">
        <f t="shared" si="44"/>
        <v>0.20616666666666669</v>
      </c>
      <c r="BO72" s="168">
        <f t="shared" si="45"/>
        <v>0.20200000000000001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19</v>
      </c>
      <c r="B73" s="6" t="s">
        <v>9</v>
      </c>
      <c r="C73" s="395" t="s">
        <v>305</v>
      </c>
      <c r="D73" s="413" t="s">
        <v>11</v>
      </c>
      <c r="E73" s="416" t="s">
        <v>11</v>
      </c>
      <c r="F73" s="416" t="s">
        <v>11</v>
      </c>
      <c r="G73" s="416" t="s">
        <v>11</v>
      </c>
      <c r="H73" s="419" t="s">
        <v>11</v>
      </c>
      <c r="I73" s="422" t="s">
        <v>11</v>
      </c>
      <c r="J73" s="416" t="s">
        <v>11</v>
      </c>
      <c r="K73" s="416" t="s">
        <v>11</v>
      </c>
      <c r="L73" s="416" t="s">
        <v>11</v>
      </c>
      <c r="M73" s="419" t="s">
        <v>11</v>
      </c>
      <c r="N73" s="422" t="s">
        <v>11</v>
      </c>
      <c r="O73" s="416" t="s">
        <v>11</v>
      </c>
      <c r="P73" s="416" t="s">
        <v>11</v>
      </c>
      <c r="Q73" s="416" t="s">
        <v>11</v>
      </c>
      <c r="R73" s="419" t="s">
        <v>11</v>
      </c>
      <c r="S73" s="422" t="s">
        <v>11</v>
      </c>
      <c r="T73" s="416" t="s">
        <v>11</v>
      </c>
      <c r="U73" s="416" t="s">
        <v>11</v>
      </c>
      <c r="V73" s="416" t="s">
        <v>11</v>
      </c>
      <c r="W73" s="419" t="s">
        <v>11</v>
      </c>
      <c r="X73" s="422" t="s">
        <v>11</v>
      </c>
      <c r="Y73" s="416" t="s">
        <v>11</v>
      </c>
      <c r="Z73" s="416" t="s">
        <v>11</v>
      </c>
      <c r="AA73" s="416" t="s">
        <v>11</v>
      </c>
      <c r="AB73" s="419" t="s">
        <v>11</v>
      </c>
      <c r="AC73" s="422" t="s">
        <v>11</v>
      </c>
      <c r="AD73" s="416" t="s">
        <v>11</v>
      </c>
      <c r="AE73" s="416" t="s">
        <v>11</v>
      </c>
      <c r="AF73" s="416" t="s">
        <v>11</v>
      </c>
      <c r="AG73" s="419">
        <f>MIN(Thickness!AG73:AG75)</f>
        <v>0.20399999999999999</v>
      </c>
      <c r="AH73" s="422">
        <f>MIN(Thickness!AH73:AH75)</f>
        <v>0.20499999999999999</v>
      </c>
      <c r="AI73" s="416">
        <f>MIN(Thickness!AI73:AI75)</f>
        <v>0.216</v>
      </c>
      <c r="AJ73" s="416">
        <f>MIN(Thickness!AJ73:AJ75)</f>
        <v>0.20300000000000001</v>
      </c>
      <c r="AK73" s="416">
        <f>MIN(Thickness!AK73:AK75)</f>
        <v>0.20699999999999999</v>
      </c>
      <c r="AL73" s="419">
        <f>MIN(Thickness!AL73:AL75)</f>
        <v>0.20200000000000001</v>
      </c>
      <c r="AM73" s="422" t="s">
        <v>11</v>
      </c>
      <c r="AN73" s="416" t="s">
        <v>11</v>
      </c>
      <c r="AO73" s="416" t="s">
        <v>11</v>
      </c>
      <c r="AP73" s="416" t="s">
        <v>11</v>
      </c>
      <c r="AQ73" s="419" t="s">
        <v>11</v>
      </c>
      <c r="AR73" s="422" t="s">
        <v>11</v>
      </c>
      <c r="AS73" s="416" t="s">
        <v>11</v>
      </c>
      <c r="AT73" s="416" t="s">
        <v>11</v>
      </c>
      <c r="AU73" s="416" t="s">
        <v>11</v>
      </c>
      <c r="AV73" s="419" t="s">
        <v>11</v>
      </c>
      <c r="AW73" s="422" t="s">
        <v>11</v>
      </c>
      <c r="AX73" s="416" t="s">
        <v>11</v>
      </c>
      <c r="AY73" s="416" t="s">
        <v>11</v>
      </c>
      <c r="AZ73" s="416" t="s">
        <v>11</v>
      </c>
      <c r="BA73" s="419" t="s">
        <v>11</v>
      </c>
      <c r="BB73" s="422" t="s">
        <v>11</v>
      </c>
      <c r="BC73" s="416" t="s">
        <v>11</v>
      </c>
      <c r="BD73" s="416" t="s">
        <v>11</v>
      </c>
      <c r="BE73" s="416" t="s">
        <v>11</v>
      </c>
      <c r="BF73" s="419" t="s">
        <v>11</v>
      </c>
      <c r="BG73" s="422" t="s">
        <v>11</v>
      </c>
      <c r="BH73" s="416" t="s">
        <v>11</v>
      </c>
      <c r="BI73" s="416" t="s">
        <v>11</v>
      </c>
      <c r="BJ73" s="416" t="s">
        <v>11</v>
      </c>
      <c r="BK73" s="419" t="s">
        <v>11</v>
      </c>
      <c r="BL73" s="422" t="s">
        <v>11</v>
      </c>
      <c r="BM73" s="419" t="s">
        <v>11</v>
      </c>
      <c r="BN73" s="166">
        <f t="shared" ref="BN73:BN75" si="46">IFERROR(AVERAGE(D73:BM75),0)</f>
        <v>0.20616666666666669</v>
      </c>
      <c r="BO73" s="166">
        <f t="shared" ref="BO73:BO75" si="47">MIN(D73:BM75)</f>
        <v>0.20200000000000001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65">
        <v>8.3000000000000004E-2</v>
      </c>
      <c r="B74" s="7" t="s">
        <v>12</v>
      </c>
      <c r="C74" s="396"/>
      <c r="D74" s="414" t="s">
        <v>11</v>
      </c>
      <c r="E74" s="417" t="s">
        <v>11</v>
      </c>
      <c r="F74" s="417" t="s">
        <v>11</v>
      </c>
      <c r="G74" s="417" t="s">
        <v>11</v>
      </c>
      <c r="H74" s="420" t="s">
        <v>11</v>
      </c>
      <c r="I74" s="423" t="s">
        <v>11</v>
      </c>
      <c r="J74" s="417" t="s">
        <v>11</v>
      </c>
      <c r="K74" s="417" t="s">
        <v>11</v>
      </c>
      <c r="L74" s="417" t="s">
        <v>11</v>
      </c>
      <c r="M74" s="420" t="s">
        <v>11</v>
      </c>
      <c r="N74" s="423" t="s">
        <v>11</v>
      </c>
      <c r="O74" s="417" t="s">
        <v>11</v>
      </c>
      <c r="P74" s="417" t="s">
        <v>11</v>
      </c>
      <c r="Q74" s="417" t="s">
        <v>11</v>
      </c>
      <c r="R74" s="420" t="s">
        <v>11</v>
      </c>
      <c r="S74" s="423" t="s">
        <v>11</v>
      </c>
      <c r="T74" s="417" t="s">
        <v>11</v>
      </c>
      <c r="U74" s="417" t="s">
        <v>11</v>
      </c>
      <c r="V74" s="417" t="s">
        <v>11</v>
      </c>
      <c r="W74" s="420" t="s">
        <v>11</v>
      </c>
      <c r="X74" s="423" t="s">
        <v>11</v>
      </c>
      <c r="Y74" s="417" t="s">
        <v>11</v>
      </c>
      <c r="Z74" s="417" t="s">
        <v>11</v>
      </c>
      <c r="AA74" s="417" t="s">
        <v>11</v>
      </c>
      <c r="AB74" s="420" t="s">
        <v>11</v>
      </c>
      <c r="AC74" s="423" t="s">
        <v>11</v>
      </c>
      <c r="AD74" s="417" t="s">
        <v>11</v>
      </c>
      <c r="AE74" s="417" t="s">
        <v>11</v>
      </c>
      <c r="AF74" s="417" t="s">
        <v>11</v>
      </c>
      <c r="AG74" s="420"/>
      <c r="AH74" s="423"/>
      <c r="AI74" s="417"/>
      <c r="AJ74" s="417"/>
      <c r="AK74" s="417"/>
      <c r="AL74" s="420"/>
      <c r="AM74" s="423" t="s">
        <v>11</v>
      </c>
      <c r="AN74" s="417" t="s">
        <v>11</v>
      </c>
      <c r="AO74" s="417" t="s">
        <v>11</v>
      </c>
      <c r="AP74" s="417" t="s">
        <v>11</v>
      </c>
      <c r="AQ74" s="420" t="s">
        <v>11</v>
      </c>
      <c r="AR74" s="423" t="s">
        <v>11</v>
      </c>
      <c r="AS74" s="417" t="s">
        <v>11</v>
      </c>
      <c r="AT74" s="417" t="s">
        <v>11</v>
      </c>
      <c r="AU74" s="417" t="s">
        <v>11</v>
      </c>
      <c r="AV74" s="420" t="s">
        <v>11</v>
      </c>
      <c r="AW74" s="423" t="s">
        <v>11</v>
      </c>
      <c r="AX74" s="417" t="s">
        <v>11</v>
      </c>
      <c r="AY74" s="417" t="s">
        <v>11</v>
      </c>
      <c r="AZ74" s="417" t="s">
        <v>11</v>
      </c>
      <c r="BA74" s="420" t="s">
        <v>11</v>
      </c>
      <c r="BB74" s="423" t="s">
        <v>11</v>
      </c>
      <c r="BC74" s="417" t="s">
        <v>11</v>
      </c>
      <c r="BD74" s="417" t="s">
        <v>11</v>
      </c>
      <c r="BE74" s="417" t="s">
        <v>11</v>
      </c>
      <c r="BF74" s="420" t="s">
        <v>11</v>
      </c>
      <c r="BG74" s="423" t="s">
        <v>11</v>
      </c>
      <c r="BH74" s="417" t="s">
        <v>11</v>
      </c>
      <c r="BI74" s="417" t="s">
        <v>11</v>
      </c>
      <c r="BJ74" s="417" t="s">
        <v>11</v>
      </c>
      <c r="BK74" s="420" t="s">
        <v>11</v>
      </c>
      <c r="BL74" s="423" t="s">
        <v>11</v>
      </c>
      <c r="BM74" s="420" t="s">
        <v>11</v>
      </c>
      <c r="BN74" s="167">
        <f t="shared" si="46"/>
        <v>0.19950000000000001</v>
      </c>
      <c r="BO74" s="167">
        <f t="shared" si="47"/>
        <v>0.191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65"/>
      <c r="B75" s="8" t="s">
        <v>39</v>
      </c>
      <c r="C75" s="396"/>
      <c r="D75" s="415" t="s">
        <v>11</v>
      </c>
      <c r="E75" s="418" t="s">
        <v>11</v>
      </c>
      <c r="F75" s="418" t="s">
        <v>11</v>
      </c>
      <c r="G75" s="418" t="s">
        <v>11</v>
      </c>
      <c r="H75" s="421" t="s">
        <v>11</v>
      </c>
      <c r="I75" s="424" t="s">
        <v>11</v>
      </c>
      <c r="J75" s="418" t="s">
        <v>11</v>
      </c>
      <c r="K75" s="418" t="s">
        <v>11</v>
      </c>
      <c r="L75" s="418" t="s">
        <v>11</v>
      </c>
      <c r="M75" s="421" t="s">
        <v>11</v>
      </c>
      <c r="N75" s="424" t="s">
        <v>11</v>
      </c>
      <c r="O75" s="418" t="s">
        <v>11</v>
      </c>
      <c r="P75" s="418" t="s">
        <v>11</v>
      </c>
      <c r="Q75" s="418" t="s">
        <v>11</v>
      </c>
      <c r="R75" s="421" t="s">
        <v>11</v>
      </c>
      <c r="S75" s="424" t="s">
        <v>11</v>
      </c>
      <c r="T75" s="418" t="s">
        <v>11</v>
      </c>
      <c r="U75" s="418" t="s">
        <v>11</v>
      </c>
      <c r="V75" s="418" t="s">
        <v>11</v>
      </c>
      <c r="W75" s="421" t="s">
        <v>11</v>
      </c>
      <c r="X75" s="424" t="s">
        <v>11</v>
      </c>
      <c r="Y75" s="418" t="s">
        <v>11</v>
      </c>
      <c r="Z75" s="418" t="s">
        <v>11</v>
      </c>
      <c r="AA75" s="418" t="s">
        <v>11</v>
      </c>
      <c r="AB75" s="421" t="s">
        <v>11</v>
      </c>
      <c r="AC75" s="424" t="s">
        <v>11</v>
      </c>
      <c r="AD75" s="418" t="s">
        <v>11</v>
      </c>
      <c r="AE75" s="418" t="s">
        <v>11</v>
      </c>
      <c r="AF75" s="418" t="s">
        <v>11</v>
      </c>
      <c r="AG75" s="421"/>
      <c r="AH75" s="424"/>
      <c r="AI75" s="418"/>
      <c r="AJ75" s="418"/>
      <c r="AK75" s="418"/>
      <c r="AL75" s="421"/>
      <c r="AM75" s="424" t="s">
        <v>11</v>
      </c>
      <c r="AN75" s="418" t="s">
        <v>11</v>
      </c>
      <c r="AO75" s="418" t="s">
        <v>11</v>
      </c>
      <c r="AP75" s="418" t="s">
        <v>11</v>
      </c>
      <c r="AQ75" s="421" t="s">
        <v>11</v>
      </c>
      <c r="AR75" s="424" t="s">
        <v>11</v>
      </c>
      <c r="AS75" s="418" t="s">
        <v>11</v>
      </c>
      <c r="AT75" s="418" t="s">
        <v>11</v>
      </c>
      <c r="AU75" s="418" t="s">
        <v>11</v>
      </c>
      <c r="AV75" s="421" t="s">
        <v>11</v>
      </c>
      <c r="AW75" s="424" t="s">
        <v>11</v>
      </c>
      <c r="AX75" s="418" t="s">
        <v>11</v>
      </c>
      <c r="AY75" s="418" t="s">
        <v>11</v>
      </c>
      <c r="AZ75" s="418" t="s">
        <v>11</v>
      </c>
      <c r="BA75" s="421" t="s">
        <v>11</v>
      </c>
      <c r="BB75" s="424" t="s">
        <v>11</v>
      </c>
      <c r="BC75" s="418" t="s">
        <v>11</v>
      </c>
      <c r="BD75" s="418" t="s">
        <v>11</v>
      </c>
      <c r="BE75" s="418" t="s">
        <v>11</v>
      </c>
      <c r="BF75" s="421" t="s">
        <v>11</v>
      </c>
      <c r="BG75" s="424" t="s">
        <v>11</v>
      </c>
      <c r="BH75" s="418" t="s">
        <v>11</v>
      </c>
      <c r="BI75" s="418" t="s">
        <v>11</v>
      </c>
      <c r="BJ75" s="418" t="s">
        <v>11</v>
      </c>
      <c r="BK75" s="421" t="s">
        <v>11</v>
      </c>
      <c r="BL75" s="424" t="s">
        <v>11</v>
      </c>
      <c r="BM75" s="421" t="s">
        <v>11</v>
      </c>
      <c r="BN75" s="168">
        <f t="shared" si="46"/>
        <v>0.19950000000000001</v>
      </c>
      <c r="BO75" s="168">
        <f t="shared" si="47"/>
        <v>0.191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19</v>
      </c>
      <c r="B76" s="6" t="s">
        <v>15</v>
      </c>
      <c r="C76" s="395" t="s">
        <v>305</v>
      </c>
      <c r="D76" s="413" t="s">
        <v>11</v>
      </c>
      <c r="E76" s="416" t="s">
        <v>11</v>
      </c>
      <c r="F76" s="416" t="s">
        <v>11</v>
      </c>
      <c r="G76" s="416" t="s">
        <v>11</v>
      </c>
      <c r="H76" s="419" t="s">
        <v>11</v>
      </c>
      <c r="I76" s="422" t="s">
        <v>11</v>
      </c>
      <c r="J76" s="416" t="s">
        <v>11</v>
      </c>
      <c r="K76" s="416" t="s">
        <v>11</v>
      </c>
      <c r="L76" s="416" t="s">
        <v>11</v>
      </c>
      <c r="M76" s="419" t="s">
        <v>11</v>
      </c>
      <c r="N76" s="422" t="s">
        <v>11</v>
      </c>
      <c r="O76" s="416" t="s">
        <v>11</v>
      </c>
      <c r="P76" s="416" t="s">
        <v>11</v>
      </c>
      <c r="Q76" s="416" t="s">
        <v>11</v>
      </c>
      <c r="R76" s="419" t="s">
        <v>11</v>
      </c>
      <c r="S76" s="422" t="s">
        <v>11</v>
      </c>
      <c r="T76" s="416" t="s">
        <v>11</v>
      </c>
      <c r="U76" s="416" t="s">
        <v>11</v>
      </c>
      <c r="V76" s="416" t="s">
        <v>11</v>
      </c>
      <c r="W76" s="419" t="s">
        <v>11</v>
      </c>
      <c r="X76" s="422" t="s">
        <v>11</v>
      </c>
      <c r="Y76" s="416" t="s">
        <v>11</v>
      </c>
      <c r="Z76" s="416" t="s">
        <v>11</v>
      </c>
      <c r="AA76" s="416" t="s">
        <v>11</v>
      </c>
      <c r="AB76" s="419" t="s">
        <v>11</v>
      </c>
      <c r="AC76" s="422" t="s">
        <v>11</v>
      </c>
      <c r="AD76" s="416" t="s">
        <v>11</v>
      </c>
      <c r="AE76" s="416" t="s">
        <v>11</v>
      </c>
      <c r="AF76" s="416" t="s">
        <v>11</v>
      </c>
      <c r="AG76" s="419">
        <f>MIN(Thickness!AG76:AG78)</f>
        <v>0.20499999999999999</v>
      </c>
      <c r="AH76" s="422">
        <f>MIN(Thickness!AH76:AH78)</f>
        <v>0.20599999999999999</v>
      </c>
      <c r="AI76" s="416">
        <f>MIN(Thickness!AI76:AI78)</f>
        <v>0.20899999999999999</v>
      </c>
      <c r="AJ76" s="416">
        <f>MIN(Thickness!AJ76:AJ78)</f>
        <v>0.191</v>
      </c>
      <c r="AK76" s="416">
        <f>MIN(Thickness!AK76:AK78)</f>
        <v>0.193</v>
      </c>
      <c r="AL76" s="419">
        <f>MIN(Thickness!AL76:AL78)</f>
        <v>0.193</v>
      </c>
      <c r="AM76" s="422" t="s">
        <v>11</v>
      </c>
      <c r="AN76" s="416" t="s">
        <v>11</v>
      </c>
      <c r="AO76" s="416" t="s">
        <v>11</v>
      </c>
      <c r="AP76" s="416" t="s">
        <v>11</v>
      </c>
      <c r="AQ76" s="419" t="s">
        <v>11</v>
      </c>
      <c r="AR76" s="422" t="s">
        <v>11</v>
      </c>
      <c r="AS76" s="416" t="s">
        <v>11</v>
      </c>
      <c r="AT76" s="416" t="s">
        <v>11</v>
      </c>
      <c r="AU76" s="416" t="s">
        <v>11</v>
      </c>
      <c r="AV76" s="419" t="s">
        <v>11</v>
      </c>
      <c r="AW76" s="422" t="s">
        <v>11</v>
      </c>
      <c r="AX76" s="416" t="s">
        <v>11</v>
      </c>
      <c r="AY76" s="416" t="s">
        <v>11</v>
      </c>
      <c r="AZ76" s="416" t="s">
        <v>11</v>
      </c>
      <c r="BA76" s="419" t="s">
        <v>11</v>
      </c>
      <c r="BB76" s="422" t="s">
        <v>11</v>
      </c>
      <c r="BC76" s="416" t="s">
        <v>11</v>
      </c>
      <c r="BD76" s="416" t="s">
        <v>11</v>
      </c>
      <c r="BE76" s="416" t="s">
        <v>11</v>
      </c>
      <c r="BF76" s="419" t="s">
        <v>11</v>
      </c>
      <c r="BG76" s="422" t="s">
        <v>11</v>
      </c>
      <c r="BH76" s="416" t="s">
        <v>11</v>
      </c>
      <c r="BI76" s="416" t="s">
        <v>11</v>
      </c>
      <c r="BJ76" s="416" t="s">
        <v>11</v>
      </c>
      <c r="BK76" s="419" t="s">
        <v>11</v>
      </c>
      <c r="BL76" s="422" t="s">
        <v>11</v>
      </c>
      <c r="BM76" s="419" t="s">
        <v>11</v>
      </c>
      <c r="BN76" s="166">
        <f t="shared" ref="BN76:BN78" si="48">IFERROR(AVERAGE(D76:BM78),0)</f>
        <v>0.19950000000000001</v>
      </c>
      <c r="BO76" s="166">
        <f t="shared" ref="BO76:BO78" si="49">MIN(D76:BM78)</f>
        <v>0.191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65">
        <v>8.3000000000000004E-2</v>
      </c>
      <c r="B77" s="7" t="s">
        <v>12</v>
      </c>
      <c r="C77" s="396"/>
      <c r="D77" s="414" t="s">
        <v>11</v>
      </c>
      <c r="E77" s="417" t="s">
        <v>11</v>
      </c>
      <c r="F77" s="417" t="s">
        <v>11</v>
      </c>
      <c r="G77" s="417" t="s">
        <v>11</v>
      </c>
      <c r="H77" s="420" t="s">
        <v>11</v>
      </c>
      <c r="I77" s="423" t="s">
        <v>11</v>
      </c>
      <c r="J77" s="417" t="s">
        <v>11</v>
      </c>
      <c r="K77" s="417" t="s">
        <v>11</v>
      </c>
      <c r="L77" s="417" t="s">
        <v>11</v>
      </c>
      <c r="M77" s="420" t="s">
        <v>11</v>
      </c>
      <c r="N77" s="423" t="s">
        <v>11</v>
      </c>
      <c r="O77" s="417" t="s">
        <v>11</v>
      </c>
      <c r="P77" s="417" t="s">
        <v>11</v>
      </c>
      <c r="Q77" s="417" t="s">
        <v>11</v>
      </c>
      <c r="R77" s="420" t="s">
        <v>11</v>
      </c>
      <c r="S77" s="423" t="s">
        <v>11</v>
      </c>
      <c r="T77" s="417" t="s">
        <v>11</v>
      </c>
      <c r="U77" s="417" t="s">
        <v>11</v>
      </c>
      <c r="V77" s="417" t="s">
        <v>11</v>
      </c>
      <c r="W77" s="420" t="s">
        <v>11</v>
      </c>
      <c r="X77" s="423" t="s">
        <v>11</v>
      </c>
      <c r="Y77" s="417" t="s">
        <v>11</v>
      </c>
      <c r="Z77" s="417" t="s">
        <v>11</v>
      </c>
      <c r="AA77" s="417" t="s">
        <v>11</v>
      </c>
      <c r="AB77" s="420" t="s">
        <v>11</v>
      </c>
      <c r="AC77" s="423" t="s">
        <v>11</v>
      </c>
      <c r="AD77" s="417" t="s">
        <v>11</v>
      </c>
      <c r="AE77" s="417" t="s">
        <v>11</v>
      </c>
      <c r="AF77" s="417" t="s">
        <v>11</v>
      </c>
      <c r="AG77" s="420"/>
      <c r="AH77" s="423"/>
      <c r="AI77" s="417"/>
      <c r="AJ77" s="417"/>
      <c r="AK77" s="417"/>
      <c r="AL77" s="420"/>
      <c r="AM77" s="423" t="s">
        <v>11</v>
      </c>
      <c r="AN77" s="417" t="s">
        <v>11</v>
      </c>
      <c r="AO77" s="417" t="s">
        <v>11</v>
      </c>
      <c r="AP77" s="417" t="s">
        <v>11</v>
      </c>
      <c r="AQ77" s="420" t="s">
        <v>11</v>
      </c>
      <c r="AR77" s="423" t="s">
        <v>11</v>
      </c>
      <c r="AS77" s="417" t="s">
        <v>11</v>
      </c>
      <c r="AT77" s="417" t="s">
        <v>11</v>
      </c>
      <c r="AU77" s="417" t="s">
        <v>11</v>
      </c>
      <c r="AV77" s="420" t="s">
        <v>11</v>
      </c>
      <c r="AW77" s="423" t="s">
        <v>11</v>
      </c>
      <c r="AX77" s="417" t="s">
        <v>11</v>
      </c>
      <c r="AY77" s="417" t="s">
        <v>11</v>
      </c>
      <c r="AZ77" s="417" t="s">
        <v>11</v>
      </c>
      <c r="BA77" s="420" t="s">
        <v>11</v>
      </c>
      <c r="BB77" s="423" t="s">
        <v>11</v>
      </c>
      <c r="BC77" s="417" t="s">
        <v>11</v>
      </c>
      <c r="BD77" s="417" t="s">
        <v>11</v>
      </c>
      <c r="BE77" s="417" t="s">
        <v>11</v>
      </c>
      <c r="BF77" s="420" t="s">
        <v>11</v>
      </c>
      <c r="BG77" s="423" t="s">
        <v>11</v>
      </c>
      <c r="BH77" s="417" t="s">
        <v>11</v>
      </c>
      <c r="BI77" s="417" t="s">
        <v>11</v>
      </c>
      <c r="BJ77" s="417" t="s">
        <v>11</v>
      </c>
      <c r="BK77" s="420" t="s">
        <v>11</v>
      </c>
      <c r="BL77" s="423" t="s">
        <v>11</v>
      </c>
      <c r="BM77" s="420" t="s">
        <v>11</v>
      </c>
      <c r="BN77" s="167">
        <f t="shared" si="48"/>
        <v>0.19767741935483871</v>
      </c>
      <c r="BO77" s="167">
        <f t="shared" si="49"/>
        <v>0.17100000000000001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65"/>
      <c r="B78" s="8" t="s">
        <v>39</v>
      </c>
      <c r="C78" s="396"/>
      <c r="D78" s="415" t="s">
        <v>11</v>
      </c>
      <c r="E78" s="418" t="s">
        <v>11</v>
      </c>
      <c r="F78" s="418" t="s">
        <v>11</v>
      </c>
      <c r="G78" s="418" t="s">
        <v>11</v>
      </c>
      <c r="H78" s="421" t="s">
        <v>11</v>
      </c>
      <c r="I78" s="424" t="s">
        <v>11</v>
      </c>
      <c r="J78" s="418" t="s">
        <v>11</v>
      </c>
      <c r="K78" s="418" t="s">
        <v>11</v>
      </c>
      <c r="L78" s="418" t="s">
        <v>11</v>
      </c>
      <c r="M78" s="421" t="s">
        <v>11</v>
      </c>
      <c r="N78" s="424" t="s">
        <v>11</v>
      </c>
      <c r="O78" s="418" t="s">
        <v>11</v>
      </c>
      <c r="P78" s="418" t="s">
        <v>11</v>
      </c>
      <c r="Q78" s="418" t="s">
        <v>11</v>
      </c>
      <c r="R78" s="421" t="s">
        <v>11</v>
      </c>
      <c r="S78" s="424" t="s">
        <v>11</v>
      </c>
      <c r="T78" s="418" t="s">
        <v>11</v>
      </c>
      <c r="U78" s="418" t="s">
        <v>11</v>
      </c>
      <c r="V78" s="418" t="s">
        <v>11</v>
      </c>
      <c r="W78" s="421" t="s">
        <v>11</v>
      </c>
      <c r="X78" s="424" t="s">
        <v>11</v>
      </c>
      <c r="Y78" s="418" t="s">
        <v>11</v>
      </c>
      <c r="Z78" s="418" t="s">
        <v>11</v>
      </c>
      <c r="AA78" s="418" t="s">
        <v>11</v>
      </c>
      <c r="AB78" s="421" t="s">
        <v>11</v>
      </c>
      <c r="AC78" s="424" t="s">
        <v>11</v>
      </c>
      <c r="AD78" s="418" t="s">
        <v>11</v>
      </c>
      <c r="AE78" s="418" t="s">
        <v>11</v>
      </c>
      <c r="AF78" s="418" t="s">
        <v>11</v>
      </c>
      <c r="AG78" s="421"/>
      <c r="AH78" s="424"/>
      <c r="AI78" s="418"/>
      <c r="AJ78" s="418"/>
      <c r="AK78" s="418"/>
      <c r="AL78" s="421"/>
      <c r="AM78" s="424" t="s">
        <v>11</v>
      </c>
      <c r="AN78" s="418" t="s">
        <v>11</v>
      </c>
      <c r="AO78" s="418" t="s">
        <v>11</v>
      </c>
      <c r="AP78" s="418" t="s">
        <v>11</v>
      </c>
      <c r="AQ78" s="421" t="s">
        <v>11</v>
      </c>
      <c r="AR78" s="424" t="s">
        <v>11</v>
      </c>
      <c r="AS78" s="418" t="s">
        <v>11</v>
      </c>
      <c r="AT78" s="418" t="s">
        <v>11</v>
      </c>
      <c r="AU78" s="418" t="s">
        <v>11</v>
      </c>
      <c r="AV78" s="421" t="s">
        <v>11</v>
      </c>
      <c r="AW78" s="424" t="s">
        <v>11</v>
      </c>
      <c r="AX78" s="418" t="s">
        <v>11</v>
      </c>
      <c r="AY78" s="418" t="s">
        <v>11</v>
      </c>
      <c r="AZ78" s="418" t="s">
        <v>11</v>
      </c>
      <c r="BA78" s="421" t="s">
        <v>11</v>
      </c>
      <c r="BB78" s="424" t="s">
        <v>11</v>
      </c>
      <c r="BC78" s="418" t="s">
        <v>11</v>
      </c>
      <c r="BD78" s="418" t="s">
        <v>11</v>
      </c>
      <c r="BE78" s="418" t="s">
        <v>11</v>
      </c>
      <c r="BF78" s="421" t="s">
        <v>11</v>
      </c>
      <c r="BG78" s="424" t="s">
        <v>11</v>
      </c>
      <c r="BH78" s="418" t="s">
        <v>11</v>
      </c>
      <c r="BI78" s="418" t="s">
        <v>11</v>
      </c>
      <c r="BJ78" s="418" t="s">
        <v>11</v>
      </c>
      <c r="BK78" s="421" t="s">
        <v>11</v>
      </c>
      <c r="BL78" s="424" t="s">
        <v>11</v>
      </c>
      <c r="BM78" s="421" t="s">
        <v>11</v>
      </c>
      <c r="BN78" s="168">
        <f t="shared" si="48"/>
        <v>0.19767741935483871</v>
      </c>
      <c r="BO78" s="168">
        <f t="shared" si="49"/>
        <v>0.17100000000000001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19</v>
      </c>
      <c r="B79" s="6"/>
      <c r="C79" s="395" t="s">
        <v>305</v>
      </c>
      <c r="D79" s="413">
        <f>MIN(Thickness!D79:D81)</f>
        <v>0.215</v>
      </c>
      <c r="E79" s="416">
        <f>MIN(Thickness!E79:E81)</f>
        <v>0.215</v>
      </c>
      <c r="F79" s="416">
        <f>MIN(Thickness!F79:F81)</f>
        <v>0.21199999999999999</v>
      </c>
      <c r="G79" s="416">
        <f>MIN(Thickness!G79:G81)</f>
        <v>0.20699999999999999</v>
      </c>
      <c r="H79" s="419">
        <f>MIN(Thickness!H79:H81)</f>
        <v>0.20399999999999999</v>
      </c>
      <c r="I79" s="422">
        <f>MIN(Thickness!I79:I81)</f>
        <v>0.2</v>
      </c>
      <c r="J79" s="416">
        <f>MIN(Thickness!J79:J81)</f>
        <v>0.2</v>
      </c>
      <c r="K79" s="416">
        <f>MIN(Thickness!K79:K81)</f>
        <v>0.19400000000000001</v>
      </c>
      <c r="L79" s="416">
        <f>MIN(Thickness!L79:L81)</f>
        <v>0.2</v>
      </c>
      <c r="M79" s="419">
        <f>MIN(Thickness!M79:M81)</f>
        <v>0.20100000000000001</v>
      </c>
      <c r="N79" s="422">
        <f>MIN(Thickness!N79:N81)</f>
        <v>0.20200000000000001</v>
      </c>
      <c r="O79" s="416">
        <f>MIN(Thickness!O79:O81)</f>
        <v>0.192</v>
      </c>
      <c r="P79" s="416">
        <f>MIN(Thickness!P79:P81)</f>
        <v>0.19800000000000001</v>
      </c>
      <c r="Q79" s="416">
        <f>MIN(Thickness!Q79:Q81)</f>
        <v>0.19900000000000001</v>
      </c>
      <c r="R79" s="419">
        <f>MIN(Thickness!R79:R81)</f>
        <v>0.20399999999999999</v>
      </c>
      <c r="S79" s="422">
        <f>MIN(Thickness!S79:S81)</f>
        <v>0.19800000000000001</v>
      </c>
      <c r="T79" s="416">
        <f>MIN(Thickness!T79:T81)</f>
        <v>0.19400000000000001</v>
      </c>
      <c r="U79" s="416">
        <f>MIN(Thickness!U79:U81)</f>
        <v>0.20899999999999999</v>
      </c>
      <c r="V79" s="416">
        <f>MIN(Thickness!V79:V81)</f>
        <v>0.19500000000000001</v>
      </c>
      <c r="W79" s="419">
        <f>MIN(Thickness!W79:W81)</f>
        <v>0.19900000000000001</v>
      </c>
      <c r="X79" s="422">
        <f>MIN(Thickness!X79:X81)</f>
        <v>0.2</v>
      </c>
      <c r="Y79" s="416">
        <f>MIN(Thickness!Y79:Y81)</f>
        <v>0.19600000000000001</v>
      </c>
      <c r="Z79" s="416">
        <f>MIN(Thickness!Z79:Z81)</f>
        <v>0.20699999999999999</v>
      </c>
      <c r="AA79" s="416">
        <f>MIN(Thickness!AA79:AA81)</f>
        <v>0.19900000000000001</v>
      </c>
      <c r="AB79" s="419">
        <f>MIN(Thickness!AB79:AB81)</f>
        <v>0.19800000000000001</v>
      </c>
      <c r="AC79" s="422">
        <f>MIN(Thickness!AC79:AC81)</f>
        <v>0.19600000000000001</v>
      </c>
      <c r="AD79" s="416">
        <f>MIN(Thickness!AD79:AD81)</f>
        <v>0.19800000000000001</v>
      </c>
      <c r="AE79" s="416">
        <f>MIN(Thickness!AE79:AE81)</f>
        <v>0.20399999999999999</v>
      </c>
      <c r="AF79" s="416">
        <f>MIN(Thickness!AF79:AF81)</f>
        <v>0.20300000000000001</v>
      </c>
      <c r="AG79" s="419">
        <f>MIN(Thickness!AG79:AG81)</f>
        <v>0.19900000000000001</v>
      </c>
      <c r="AH79" s="422">
        <f>MIN(Thickness!AH79:AH81)</f>
        <v>0.20699999999999999</v>
      </c>
      <c r="AI79" s="416">
        <f>MIN(Thickness!AI79:AI81)</f>
        <v>0.21299999999999999</v>
      </c>
      <c r="AJ79" s="416">
        <f>MIN(Thickness!AJ79:AJ81)</f>
        <v>0.20899999999999999</v>
      </c>
      <c r="AK79" s="416">
        <f>MIN(Thickness!AK79:AK81)</f>
        <v>0.20699999999999999</v>
      </c>
      <c r="AL79" s="419">
        <f>MIN(Thickness!AL79:AL81)</f>
        <v>0.17799999999999999</v>
      </c>
      <c r="AM79" s="422">
        <f>MIN(Thickness!AM79:AM81)</f>
        <v>0.18099999999999999</v>
      </c>
      <c r="AN79" s="416">
        <f>MIN(Thickness!AN79:AN81)</f>
        <v>0.20899999999999999</v>
      </c>
      <c r="AO79" s="416">
        <f>MIN(Thickness!AO79:AO81)</f>
        <v>0.21199999999999999</v>
      </c>
      <c r="AP79" s="416">
        <f>MIN(Thickness!AP79:AP81)</f>
        <v>0.20699999999999999</v>
      </c>
      <c r="AQ79" s="419">
        <f>MIN(Thickness!AQ79:AQ81)</f>
        <v>0.19700000000000001</v>
      </c>
      <c r="AR79" s="422">
        <f>MIN(Thickness!AR79:AR81)</f>
        <v>0.192</v>
      </c>
      <c r="AS79" s="416">
        <f>MIN(Thickness!AS79:AS81)</f>
        <v>0.20100000000000001</v>
      </c>
      <c r="AT79" s="416">
        <f>MIN(Thickness!AT79:AT81)</f>
        <v>0.19600000000000001</v>
      </c>
      <c r="AU79" s="416">
        <f>MIN(Thickness!AU79:AU81)</f>
        <v>0.188</v>
      </c>
      <c r="AV79" s="419">
        <f>MIN(Thickness!AV79:AV81)</f>
        <v>0.19500000000000001</v>
      </c>
      <c r="AW79" s="422">
        <f>MIN(Thickness!AW79:AW81)</f>
        <v>0.18099999999999999</v>
      </c>
      <c r="AX79" s="416">
        <f>MIN(Thickness!AX79:AX81)</f>
        <v>0.188</v>
      </c>
      <c r="AY79" s="416">
        <f>MIN(Thickness!AY79:AY81)</f>
        <v>0.187</v>
      </c>
      <c r="AZ79" s="416">
        <f>MIN(Thickness!AZ79:AZ81)</f>
        <v>0.182</v>
      </c>
      <c r="BA79" s="419">
        <f>MIN(Thickness!BA79:BA81)</f>
        <v>0.183</v>
      </c>
      <c r="BB79" s="422">
        <f>MIN(Thickness!BB79:BB81)</f>
        <v>0.184</v>
      </c>
      <c r="BC79" s="416">
        <f>MIN(Thickness!BC79:BC81)</f>
        <v>0.188</v>
      </c>
      <c r="BD79" s="416">
        <f>MIN(Thickness!BD79:BD81)</f>
        <v>0.17799999999999999</v>
      </c>
      <c r="BE79" s="416">
        <f>MIN(Thickness!BE79:BE81)</f>
        <v>0.191</v>
      </c>
      <c r="BF79" s="419">
        <f>MIN(Thickness!BF79:BF81)</f>
        <v>0.17899999999999999</v>
      </c>
      <c r="BG79" s="422">
        <f>MIN(Thickness!BG79:BG81)</f>
        <v>0.18099999999999999</v>
      </c>
      <c r="BH79" s="416">
        <f>MIN(Thickness!BH79:BH81)</f>
        <v>0.17799999999999999</v>
      </c>
      <c r="BI79" s="416">
        <f>MIN(Thickness!BI79:BI81)</f>
        <v>0.17100000000000001</v>
      </c>
      <c r="BJ79" s="416">
        <f>MIN(Thickness!BJ79:BJ81)</f>
        <v>0.23899999999999999</v>
      </c>
      <c r="BK79" s="419">
        <f>MIN(Thickness!BK79:BK81)</f>
        <v>0.193</v>
      </c>
      <c r="BL79" s="422">
        <f>MIN(Thickness!BL79:BL81)</f>
        <v>0.20200000000000001</v>
      </c>
      <c r="BM79" s="419">
        <f>MIN(Thickness!BM79:BM81)</f>
        <v>0.221</v>
      </c>
      <c r="BN79" s="166">
        <f t="shared" ref="BN79:BN81" si="50">IFERROR(AVERAGE(D79:BM81),0)</f>
        <v>0.19767741935483871</v>
      </c>
      <c r="BO79" s="166">
        <f t="shared" ref="BO79:BO81" si="51">MIN(D79:BM81)</f>
        <v>0.17100000000000001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65">
        <v>8.3000000000000004E-2</v>
      </c>
      <c r="B80" s="7" t="s">
        <v>40</v>
      </c>
      <c r="C80" s="396"/>
      <c r="D80" s="414"/>
      <c r="E80" s="417"/>
      <c r="F80" s="417"/>
      <c r="G80" s="417"/>
      <c r="H80" s="420"/>
      <c r="I80" s="423"/>
      <c r="J80" s="417"/>
      <c r="K80" s="417"/>
      <c r="L80" s="417"/>
      <c r="M80" s="420"/>
      <c r="N80" s="423"/>
      <c r="O80" s="417"/>
      <c r="P80" s="417"/>
      <c r="Q80" s="417"/>
      <c r="R80" s="420"/>
      <c r="S80" s="423"/>
      <c r="T80" s="417"/>
      <c r="U80" s="417"/>
      <c r="V80" s="417"/>
      <c r="W80" s="420"/>
      <c r="X80" s="423"/>
      <c r="Y80" s="417"/>
      <c r="Z80" s="417"/>
      <c r="AA80" s="417"/>
      <c r="AB80" s="420"/>
      <c r="AC80" s="423"/>
      <c r="AD80" s="417"/>
      <c r="AE80" s="417"/>
      <c r="AF80" s="417"/>
      <c r="AG80" s="420"/>
      <c r="AH80" s="423"/>
      <c r="AI80" s="417"/>
      <c r="AJ80" s="417"/>
      <c r="AK80" s="417"/>
      <c r="AL80" s="420"/>
      <c r="AM80" s="423"/>
      <c r="AN80" s="417"/>
      <c r="AO80" s="417"/>
      <c r="AP80" s="417"/>
      <c r="AQ80" s="420"/>
      <c r="AR80" s="423"/>
      <c r="AS80" s="417"/>
      <c r="AT80" s="417"/>
      <c r="AU80" s="417"/>
      <c r="AV80" s="420"/>
      <c r="AW80" s="423"/>
      <c r="AX80" s="417"/>
      <c r="AY80" s="417"/>
      <c r="AZ80" s="417"/>
      <c r="BA80" s="420"/>
      <c r="BB80" s="423"/>
      <c r="BC80" s="417"/>
      <c r="BD80" s="417"/>
      <c r="BE80" s="417"/>
      <c r="BF80" s="420"/>
      <c r="BG80" s="423"/>
      <c r="BH80" s="417"/>
      <c r="BI80" s="417"/>
      <c r="BJ80" s="417"/>
      <c r="BK80" s="420"/>
      <c r="BL80" s="423"/>
      <c r="BM80" s="420"/>
      <c r="BN80" s="167">
        <f t="shared" si="50"/>
        <v>0.20683333333333334</v>
      </c>
      <c r="BO80" s="167">
        <f t="shared" si="51"/>
        <v>0.19500000000000001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65"/>
      <c r="B81" s="8"/>
      <c r="C81" s="396"/>
      <c r="D81" s="415"/>
      <c r="E81" s="418"/>
      <c r="F81" s="418"/>
      <c r="G81" s="418"/>
      <c r="H81" s="421"/>
      <c r="I81" s="424"/>
      <c r="J81" s="418"/>
      <c r="K81" s="418"/>
      <c r="L81" s="418"/>
      <c r="M81" s="421"/>
      <c r="N81" s="424"/>
      <c r="O81" s="418"/>
      <c r="P81" s="418"/>
      <c r="Q81" s="418"/>
      <c r="R81" s="421"/>
      <c r="S81" s="424"/>
      <c r="T81" s="418"/>
      <c r="U81" s="418"/>
      <c r="V81" s="418"/>
      <c r="W81" s="421"/>
      <c r="X81" s="424"/>
      <c r="Y81" s="418"/>
      <c r="Z81" s="418"/>
      <c r="AA81" s="418"/>
      <c r="AB81" s="421"/>
      <c r="AC81" s="424"/>
      <c r="AD81" s="418"/>
      <c r="AE81" s="418"/>
      <c r="AF81" s="418"/>
      <c r="AG81" s="421"/>
      <c r="AH81" s="424"/>
      <c r="AI81" s="418"/>
      <c r="AJ81" s="418"/>
      <c r="AK81" s="418"/>
      <c r="AL81" s="421"/>
      <c r="AM81" s="424"/>
      <c r="AN81" s="418"/>
      <c r="AO81" s="418"/>
      <c r="AP81" s="418"/>
      <c r="AQ81" s="421"/>
      <c r="AR81" s="424"/>
      <c r="AS81" s="418"/>
      <c r="AT81" s="418"/>
      <c r="AU81" s="418"/>
      <c r="AV81" s="421"/>
      <c r="AW81" s="424"/>
      <c r="AX81" s="418"/>
      <c r="AY81" s="418"/>
      <c r="AZ81" s="418"/>
      <c r="BA81" s="421"/>
      <c r="BB81" s="424"/>
      <c r="BC81" s="418"/>
      <c r="BD81" s="418"/>
      <c r="BE81" s="418"/>
      <c r="BF81" s="421"/>
      <c r="BG81" s="424"/>
      <c r="BH81" s="418"/>
      <c r="BI81" s="418"/>
      <c r="BJ81" s="418"/>
      <c r="BK81" s="421"/>
      <c r="BL81" s="424"/>
      <c r="BM81" s="421"/>
      <c r="BN81" s="168">
        <f t="shared" si="50"/>
        <v>0.20683333333333334</v>
      </c>
      <c r="BO81" s="168">
        <f t="shared" si="51"/>
        <v>0.19500000000000001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19</v>
      </c>
      <c r="B82" s="6" t="s">
        <v>17</v>
      </c>
      <c r="C82" s="395" t="s">
        <v>305</v>
      </c>
      <c r="D82" s="413" t="s">
        <v>11</v>
      </c>
      <c r="E82" s="416" t="s">
        <v>11</v>
      </c>
      <c r="F82" s="416" t="s">
        <v>11</v>
      </c>
      <c r="G82" s="416" t="s">
        <v>11</v>
      </c>
      <c r="H82" s="419" t="s">
        <v>11</v>
      </c>
      <c r="I82" s="422" t="s">
        <v>11</v>
      </c>
      <c r="J82" s="416" t="s">
        <v>11</v>
      </c>
      <c r="K82" s="416" t="s">
        <v>11</v>
      </c>
      <c r="L82" s="416" t="s">
        <v>11</v>
      </c>
      <c r="M82" s="419" t="s">
        <v>11</v>
      </c>
      <c r="N82" s="422" t="s">
        <v>11</v>
      </c>
      <c r="O82" s="416" t="s">
        <v>11</v>
      </c>
      <c r="P82" s="416" t="s">
        <v>11</v>
      </c>
      <c r="Q82" s="416" t="s">
        <v>11</v>
      </c>
      <c r="R82" s="419" t="s">
        <v>11</v>
      </c>
      <c r="S82" s="422" t="s">
        <v>11</v>
      </c>
      <c r="T82" s="416" t="s">
        <v>11</v>
      </c>
      <c r="U82" s="416" t="s">
        <v>11</v>
      </c>
      <c r="V82" s="416" t="s">
        <v>11</v>
      </c>
      <c r="W82" s="419" t="s">
        <v>11</v>
      </c>
      <c r="X82" s="422" t="s">
        <v>11</v>
      </c>
      <c r="Y82" s="416" t="s">
        <v>11</v>
      </c>
      <c r="Z82" s="416" t="s">
        <v>11</v>
      </c>
      <c r="AA82" s="416" t="s">
        <v>11</v>
      </c>
      <c r="AB82" s="419" t="s">
        <v>11</v>
      </c>
      <c r="AC82" s="422" t="s">
        <v>11</v>
      </c>
      <c r="AD82" s="416" t="s">
        <v>11</v>
      </c>
      <c r="AE82" s="416" t="s">
        <v>11</v>
      </c>
      <c r="AF82" s="416" t="s">
        <v>11</v>
      </c>
      <c r="AG82" s="419">
        <f>MIN(Thickness!AG82:AG84)</f>
        <v>0.20899999999999999</v>
      </c>
      <c r="AH82" s="422">
        <f>MIN(Thickness!AH82:AH84)</f>
        <v>0.21299999999999999</v>
      </c>
      <c r="AI82" s="416">
        <f>MIN(Thickness!AI82:AI84)</f>
        <v>0.20599999999999999</v>
      </c>
      <c r="AJ82" s="416">
        <f>MIN(Thickness!AJ82:AJ84)</f>
        <v>0.219</v>
      </c>
      <c r="AK82" s="416">
        <f>MIN(Thickness!AK82:AK84)</f>
        <v>0.19500000000000001</v>
      </c>
      <c r="AL82" s="419">
        <f>MIN(Thickness!AL82:AL84)</f>
        <v>0.19900000000000001</v>
      </c>
      <c r="AM82" s="422" t="s">
        <v>11</v>
      </c>
      <c r="AN82" s="416" t="s">
        <v>11</v>
      </c>
      <c r="AO82" s="416" t="s">
        <v>11</v>
      </c>
      <c r="AP82" s="416" t="s">
        <v>11</v>
      </c>
      <c r="AQ82" s="419" t="s">
        <v>11</v>
      </c>
      <c r="AR82" s="422" t="s">
        <v>11</v>
      </c>
      <c r="AS82" s="416" t="s">
        <v>11</v>
      </c>
      <c r="AT82" s="416" t="s">
        <v>11</v>
      </c>
      <c r="AU82" s="416" t="s">
        <v>11</v>
      </c>
      <c r="AV82" s="419" t="s">
        <v>11</v>
      </c>
      <c r="AW82" s="422" t="s">
        <v>11</v>
      </c>
      <c r="AX82" s="416" t="s">
        <v>11</v>
      </c>
      <c r="AY82" s="416" t="s">
        <v>11</v>
      </c>
      <c r="AZ82" s="416" t="s">
        <v>11</v>
      </c>
      <c r="BA82" s="419" t="s">
        <v>11</v>
      </c>
      <c r="BB82" s="422" t="s">
        <v>11</v>
      </c>
      <c r="BC82" s="416" t="s">
        <v>11</v>
      </c>
      <c r="BD82" s="416" t="s">
        <v>11</v>
      </c>
      <c r="BE82" s="416" t="s">
        <v>11</v>
      </c>
      <c r="BF82" s="419" t="s">
        <v>11</v>
      </c>
      <c r="BG82" s="422" t="s">
        <v>11</v>
      </c>
      <c r="BH82" s="416" t="s">
        <v>11</v>
      </c>
      <c r="BI82" s="416" t="s">
        <v>11</v>
      </c>
      <c r="BJ82" s="416" t="s">
        <v>11</v>
      </c>
      <c r="BK82" s="419" t="s">
        <v>11</v>
      </c>
      <c r="BL82" s="422" t="s">
        <v>11</v>
      </c>
      <c r="BM82" s="419" t="s">
        <v>11</v>
      </c>
      <c r="BN82" s="166">
        <f t="shared" ref="BN82:BN84" si="52">IFERROR(AVERAGE(D82:BM84),0)</f>
        <v>0.20683333333333334</v>
      </c>
      <c r="BO82" s="166">
        <f t="shared" ref="BO82:BO84" si="53">MIN(D82:BM84)</f>
        <v>0.19500000000000001</v>
      </c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65">
        <v>8.3000000000000004E-2</v>
      </c>
      <c r="B83" s="7" t="s">
        <v>12</v>
      </c>
      <c r="C83" s="396"/>
      <c r="D83" s="414" t="s">
        <v>11</v>
      </c>
      <c r="E83" s="417" t="s">
        <v>11</v>
      </c>
      <c r="F83" s="417" t="s">
        <v>11</v>
      </c>
      <c r="G83" s="417" t="s">
        <v>11</v>
      </c>
      <c r="H83" s="420" t="s">
        <v>11</v>
      </c>
      <c r="I83" s="423" t="s">
        <v>11</v>
      </c>
      <c r="J83" s="417" t="s">
        <v>11</v>
      </c>
      <c r="K83" s="417" t="s">
        <v>11</v>
      </c>
      <c r="L83" s="417" t="s">
        <v>11</v>
      </c>
      <c r="M83" s="420" t="s">
        <v>11</v>
      </c>
      <c r="N83" s="423" t="s">
        <v>11</v>
      </c>
      <c r="O83" s="417" t="s">
        <v>11</v>
      </c>
      <c r="P83" s="417" t="s">
        <v>11</v>
      </c>
      <c r="Q83" s="417" t="s">
        <v>11</v>
      </c>
      <c r="R83" s="420" t="s">
        <v>11</v>
      </c>
      <c r="S83" s="423" t="s">
        <v>11</v>
      </c>
      <c r="T83" s="417" t="s">
        <v>11</v>
      </c>
      <c r="U83" s="417" t="s">
        <v>11</v>
      </c>
      <c r="V83" s="417" t="s">
        <v>11</v>
      </c>
      <c r="W83" s="420" t="s">
        <v>11</v>
      </c>
      <c r="X83" s="423" t="s">
        <v>11</v>
      </c>
      <c r="Y83" s="417" t="s">
        <v>11</v>
      </c>
      <c r="Z83" s="417" t="s">
        <v>11</v>
      </c>
      <c r="AA83" s="417" t="s">
        <v>11</v>
      </c>
      <c r="AB83" s="420" t="s">
        <v>11</v>
      </c>
      <c r="AC83" s="423" t="s">
        <v>11</v>
      </c>
      <c r="AD83" s="417" t="s">
        <v>11</v>
      </c>
      <c r="AE83" s="417" t="s">
        <v>11</v>
      </c>
      <c r="AF83" s="417" t="s">
        <v>11</v>
      </c>
      <c r="AG83" s="420"/>
      <c r="AH83" s="423"/>
      <c r="AI83" s="417"/>
      <c r="AJ83" s="417"/>
      <c r="AK83" s="417"/>
      <c r="AL83" s="420"/>
      <c r="AM83" s="423" t="s">
        <v>11</v>
      </c>
      <c r="AN83" s="417" t="s">
        <v>11</v>
      </c>
      <c r="AO83" s="417" t="s">
        <v>11</v>
      </c>
      <c r="AP83" s="417" t="s">
        <v>11</v>
      </c>
      <c r="AQ83" s="420" t="s">
        <v>11</v>
      </c>
      <c r="AR83" s="423" t="s">
        <v>11</v>
      </c>
      <c r="AS83" s="417" t="s">
        <v>11</v>
      </c>
      <c r="AT83" s="417" t="s">
        <v>11</v>
      </c>
      <c r="AU83" s="417" t="s">
        <v>11</v>
      </c>
      <c r="AV83" s="420" t="s">
        <v>11</v>
      </c>
      <c r="AW83" s="423" t="s">
        <v>11</v>
      </c>
      <c r="AX83" s="417" t="s">
        <v>11</v>
      </c>
      <c r="AY83" s="417" t="s">
        <v>11</v>
      </c>
      <c r="AZ83" s="417" t="s">
        <v>11</v>
      </c>
      <c r="BA83" s="420" t="s">
        <v>11</v>
      </c>
      <c r="BB83" s="423" t="s">
        <v>11</v>
      </c>
      <c r="BC83" s="417" t="s">
        <v>11</v>
      </c>
      <c r="BD83" s="417" t="s">
        <v>11</v>
      </c>
      <c r="BE83" s="417" t="s">
        <v>11</v>
      </c>
      <c r="BF83" s="420" t="s">
        <v>11</v>
      </c>
      <c r="BG83" s="423" t="s">
        <v>11</v>
      </c>
      <c r="BH83" s="417" t="s">
        <v>11</v>
      </c>
      <c r="BI83" s="417" t="s">
        <v>11</v>
      </c>
      <c r="BJ83" s="417" t="s">
        <v>11</v>
      </c>
      <c r="BK83" s="420" t="s">
        <v>11</v>
      </c>
      <c r="BL83" s="423" t="s">
        <v>11</v>
      </c>
      <c r="BM83" s="420" t="s">
        <v>11</v>
      </c>
      <c r="BN83" s="167">
        <f t="shared" si="52"/>
        <v>0.20048387096774195</v>
      </c>
      <c r="BO83" s="167">
        <f t="shared" si="53"/>
        <v>0.17599999999999999</v>
      </c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65"/>
      <c r="B84" s="8" t="s">
        <v>39</v>
      </c>
      <c r="C84" s="396"/>
      <c r="D84" s="415" t="s">
        <v>11</v>
      </c>
      <c r="E84" s="418" t="s">
        <v>11</v>
      </c>
      <c r="F84" s="418" t="s">
        <v>11</v>
      </c>
      <c r="G84" s="418" t="s">
        <v>11</v>
      </c>
      <c r="H84" s="421" t="s">
        <v>11</v>
      </c>
      <c r="I84" s="424" t="s">
        <v>11</v>
      </c>
      <c r="J84" s="418" t="s">
        <v>11</v>
      </c>
      <c r="K84" s="418" t="s">
        <v>11</v>
      </c>
      <c r="L84" s="418" t="s">
        <v>11</v>
      </c>
      <c r="M84" s="421" t="s">
        <v>11</v>
      </c>
      <c r="N84" s="424" t="s">
        <v>11</v>
      </c>
      <c r="O84" s="418" t="s">
        <v>11</v>
      </c>
      <c r="P84" s="418" t="s">
        <v>11</v>
      </c>
      <c r="Q84" s="418" t="s">
        <v>11</v>
      </c>
      <c r="R84" s="421" t="s">
        <v>11</v>
      </c>
      <c r="S84" s="424" t="s">
        <v>11</v>
      </c>
      <c r="T84" s="418" t="s">
        <v>11</v>
      </c>
      <c r="U84" s="418" t="s">
        <v>11</v>
      </c>
      <c r="V84" s="418" t="s">
        <v>11</v>
      </c>
      <c r="W84" s="421" t="s">
        <v>11</v>
      </c>
      <c r="X84" s="424" t="s">
        <v>11</v>
      </c>
      <c r="Y84" s="418" t="s">
        <v>11</v>
      </c>
      <c r="Z84" s="418" t="s">
        <v>11</v>
      </c>
      <c r="AA84" s="418" t="s">
        <v>11</v>
      </c>
      <c r="AB84" s="421" t="s">
        <v>11</v>
      </c>
      <c r="AC84" s="424" t="s">
        <v>11</v>
      </c>
      <c r="AD84" s="418" t="s">
        <v>11</v>
      </c>
      <c r="AE84" s="418" t="s">
        <v>11</v>
      </c>
      <c r="AF84" s="418" t="s">
        <v>11</v>
      </c>
      <c r="AG84" s="421"/>
      <c r="AH84" s="424"/>
      <c r="AI84" s="418"/>
      <c r="AJ84" s="418"/>
      <c r="AK84" s="418"/>
      <c r="AL84" s="421"/>
      <c r="AM84" s="424" t="s">
        <v>11</v>
      </c>
      <c r="AN84" s="418" t="s">
        <v>11</v>
      </c>
      <c r="AO84" s="418" t="s">
        <v>11</v>
      </c>
      <c r="AP84" s="418" t="s">
        <v>11</v>
      </c>
      <c r="AQ84" s="421" t="s">
        <v>11</v>
      </c>
      <c r="AR84" s="424" t="s">
        <v>11</v>
      </c>
      <c r="AS84" s="418" t="s">
        <v>11</v>
      </c>
      <c r="AT84" s="418" t="s">
        <v>11</v>
      </c>
      <c r="AU84" s="418" t="s">
        <v>11</v>
      </c>
      <c r="AV84" s="421" t="s">
        <v>11</v>
      </c>
      <c r="AW84" s="424" t="s">
        <v>11</v>
      </c>
      <c r="AX84" s="418" t="s">
        <v>11</v>
      </c>
      <c r="AY84" s="418" t="s">
        <v>11</v>
      </c>
      <c r="AZ84" s="418" t="s">
        <v>11</v>
      </c>
      <c r="BA84" s="421" t="s">
        <v>11</v>
      </c>
      <c r="BB84" s="424" t="s">
        <v>11</v>
      </c>
      <c r="BC84" s="418" t="s">
        <v>11</v>
      </c>
      <c r="BD84" s="418" t="s">
        <v>11</v>
      </c>
      <c r="BE84" s="418" t="s">
        <v>11</v>
      </c>
      <c r="BF84" s="421" t="s">
        <v>11</v>
      </c>
      <c r="BG84" s="424" t="s">
        <v>11</v>
      </c>
      <c r="BH84" s="418" t="s">
        <v>11</v>
      </c>
      <c r="BI84" s="418" t="s">
        <v>11</v>
      </c>
      <c r="BJ84" s="418" t="s">
        <v>11</v>
      </c>
      <c r="BK84" s="421" t="s">
        <v>11</v>
      </c>
      <c r="BL84" s="424" t="s">
        <v>11</v>
      </c>
      <c r="BM84" s="421" t="s">
        <v>11</v>
      </c>
      <c r="BN84" s="168">
        <f t="shared" si="52"/>
        <v>0.20048387096774195</v>
      </c>
      <c r="BO84" s="168">
        <f t="shared" si="53"/>
        <v>0.17599999999999999</v>
      </c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19</v>
      </c>
      <c r="B85" s="6"/>
      <c r="C85" s="395" t="s">
        <v>305</v>
      </c>
      <c r="D85" s="413">
        <f>MIN(Thickness!D85:D87)</f>
        <v>0.22800000000000001</v>
      </c>
      <c r="E85" s="416">
        <f>MIN(Thickness!E85:E87)</f>
        <v>0.20799999999999999</v>
      </c>
      <c r="F85" s="416">
        <f>MIN(Thickness!F85:F87)</f>
        <v>0.21199999999999999</v>
      </c>
      <c r="G85" s="416">
        <f>MIN(Thickness!G85:G87)</f>
        <v>0.21099999999999999</v>
      </c>
      <c r="H85" s="419">
        <f>MIN(Thickness!H85:H87)</f>
        <v>0.20399999999999999</v>
      </c>
      <c r="I85" s="422">
        <f>MIN(Thickness!I85:I87)</f>
        <v>0.19600000000000001</v>
      </c>
      <c r="J85" s="416">
        <f>MIN(Thickness!J85:J87)</f>
        <v>0.20200000000000001</v>
      </c>
      <c r="K85" s="416">
        <f>MIN(Thickness!K85:K87)</f>
        <v>0.20899999999999999</v>
      </c>
      <c r="L85" s="416">
        <f>MIN(Thickness!L85:L87)</f>
        <v>0.21</v>
      </c>
      <c r="M85" s="419">
        <f>MIN(Thickness!M85:M87)</f>
        <v>0.20399999999999999</v>
      </c>
      <c r="N85" s="422">
        <f>MIN(Thickness!N85:N87)</f>
        <v>0.20499999999999999</v>
      </c>
      <c r="O85" s="416">
        <f>MIN(Thickness!O85:O87)</f>
        <v>0.19900000000000001</v>
      </c>
      <c r="P85" s="416">
        <f>MIN(Thickness!P85:P87)</f>
        <v>0.20699999999999999</v>
      </c>
      <c r="Q85" s="416">
        <f>MIN(Thickness!Q85:Q87)</f>
        <v>0.21</v>
      </c>
      <c r="R85" s="419">
        <f>MIN(Thickness!R85:R87)</f>
        <v>0.20599999999999999</v>
      </c>
      <c r="S85" s="422">
        <f>MIN(Thickness!S85:S87)</f>
        <v>0.19600000000000001</v>
      </c>
      <c r="T85" s="416">
        <f>MIN(Thickness!T85:T87)</f>
        <v>0.20300000000000001</v>
      </c>
      <c r="U85" s="416">
        <f>MIN(Thickness!U85:U87)</f>
        <v>0.20100000000000001</v>
      </c>
      <c r="V85" s="416">
        <f>MIN(Thickness!V85:V87)</f>
        <v>0.20699999999999999</v>
      </c>
      <c r="W85" s="419">
        <f>MIN(Thickness!W85:W87)</f>
        <v>0.20499999999999999</v>
      </c>
      <c r="X85" s="422">
        <f>MIN(Thickness!X85:X87)</f>
        <v>0.20200000000000001</v>
      </c>
      <c r="Y85" s="416">
        <f>MIN(Thickness!Y85:Y87)</f>
        <v>0.21</v>
      </c>
      <c r="Z85" s="416">
        <f>MIN(Thickness!Z85:Z87)</f>
        <v>0.20599999999999999</v>
      </c>
      <c r="AA85" s="416">
        <f>MIN(Thickness!AA85:AA87)</f>
        <v>0.19600000000000001</v>
      </c>
      <c r="AB85" s="419">
        <f>MIN(Thickness!AB85:AB87)</f>
        <v>0.20399999999999999</v>
      </c>
      <c r="AC85" s="422">
        <f>MIN(Thickness!AC85:AC87)</f>
        <v>0.19500000000000001</v>
      </c>
      <c r="AD85" s="416">
        <f>MIN(Thickness!AD85:AD87)</f>
        <v>0.20100000000000001</v>
      </c>
      <c r="AE85" s="416">
        <f>MIN(Thickness!AE85:AE87)</f>
        <v>0.20799999999999999</v>
      </c>
      <c r="AF85" s="416">
        <f>MIN(Thickness!AF85:AF87)</f>
        <v>0.216</v>
      </c>
      <c r="AG85" s="419">
        <f>MIN(Thickness!AG85:AG87)</f>
        <v>0.21199999999999999</v>
      </c>
      <c r="AH85" s="422">
        <f>MIN(Thickness!AH85:AH87)</f>
        <v>0.20399999999999999</v>
      </c>
      <c r="AI85" s="416">
        <f>MIN(Thickness!AI85:AI87)</f>
        <v>0.20799999999999999</v>
      </c>
      <c r="AJ85" s="416">
        <f>MIN(Thickness!AJ85:AJ87)</f>
        <v>0.19600000000000001</v>
      </c>
      <c r="AK85" s="416">
        <f>MIN(Thickness!AK85:AK87)</f>
        <v>0.214</v>
      </c>
      <c r="AL85" s="419">
        <f>MIN(Thickness!AL85:AL87)</f>
        <v>0.20399999999999999</v>
      </c>
      <c r="AM85" s="422">
        <f>MIN(Thickness!AM85:AM87)</f>
        <v>0.214</v>
      </c>
      <c r="AN85" s="416">
        <f>MIN(Thickness!AN85:AN87)</f>
        <v>0.20399999999999999</v>
      </c>
      <c r="AO85" s="416">
        <f>MIN(Thickness!AO85:AO87)</f>
        <v>0.193</v>
      </c>
      <c r="AP85" s="416">
        <f>MIN(Thickness!AP85:AP87)</f>
        <v>0.182</v>
      </c>
      <c r="AQ85" s="419">
        <f>MIN(Thickness!AQ85:AQ87)</f>
        <v>0.19700000000000001</v>
      </c>
      <c r="AR85" s="422">
        <f>MIN(Thickness!AR85:AR87)</f>
        <v>0.19900000000000001</v>
      </c>
      <c r="AS85" s="416">
        <f>MIN(Thickness!AS85:AS87)</f>
        <v>0.17599999999999999</v>
      </c>
      <c r="AT85" s="416">
        <f>MIN(Thickness!AT85:AT87)</f>
        <v>0.19</v>
      </c>
      <c r="AU85" s="416">
        <f>MIN(Thickness!AU85:AU87)</f>
        <v>0.182</v>
      </c>
      <c r="AV85" s="419">
        <f>MIN(Thickness!AV85:AV87)</f>
        <v>0.188</v>
      </c>
      <c r="AW85" s="422">
        <f>MIN(Thickness!AW85:AW87)</f>
        <v>0.193</v>
      </c>
      <c r="AX85" s="416">
        <f>MIN(Thickness!AX85:AX87)</f>
        <v>0.19</v>
      </c>
      <c r="AY85" s="416">
        <f>MIN(Thickness!AY85:AY87)</f>
        <v>0.191</v>
      </c>
      <c r="AZ85" s="416">
        <f>MIN(Thickness!AZ85:AZ87)</f>
        <v>0.187</v>
      </c>
      <c r="BA85" s="419">
        <f>MIN(Thickness!BA85:BA87)</f>
        <v>0.191</v>
      </c>
      <c r="BB85" s="422">
        <f>MIN(Thickness!BB85:BB87)</f>
        <v>0.184</v>
      </c>
      <c r="BC85" s="416">
        <f>MIN(Thickness!BC85:BC87)</f>
        <v>0.188</v>
      </c>
      <c r="BD85" s="416">
        <f>MIN(Thickness!BD85:BD87)</f>
        <v>0.191</v>
      </c>
      <c r="BE85" s="416">
        <f>MIN(Thickness!BE85:BE87)</f>
        <v>0.184</v>
      </c>
      <c r="BF85" s="419">
        <f>MIN(Thickness!BF85:BF87)</f>
        <v>0.182</v>
      </c>
      <c r="BG85" s="422">
        <f>MIN(Thickness!BG85:BG87)</f>
        <v>0.191</v>
      </c>
      <c r="BH85" s="416">
        <f>MIN(Thickness!BH85:BH87)</f>
        <v>0.19400000000000001</v>
      </c>
      <c r="BI85" s="416">
        <f>MIN(Thickness!BI85:BI87)</f>
        <v>0.19500000000000001</v>
      </c>
      <c r="BJ85" s="416">
        <f>MIN(Thickness!BJ85:BJ87)</f>
        <v>0.23499999999999999</v>
      </c>
      <c r="BK85" s="419">
        <f>MIN(Thickness!BK85:BK87)</f>
        <v>0.19900000000000001</v>
      </c>
      <c r="BL85" s="422">
        <f>MIN(Thickness!BL85:BL87)</f>
        <v>0.19400000000000001</v>
      </c>
      <c r="BM85" s="419">
        <f>MIN(Thickness!BM85:BM87)</f>
        <v>0.217</v>
      </c>
      <c r="BN85" s="166">
        <f t="shared" ref="BN85:BN87" si="54">IFERROR(AVERAGE(D85:BM87),0)</f>
        <v>0.20048387096774195</v>
      </c>
      <c r="BO85" s="166">
        <f t="shared" ref="BO85:BO87" si="55">MIN(D85:BM87)</f>
        <v>0.17599999999999999</v>
      </c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65">
        <v>8.3000000000000004E-2</v>
      </c>
      <c r="B86" s="7" t="s">
        <v>41</v>
      </c>
      <c r="C86" s="396"/>
      <c r="D86" s="414"/>
      <c r="E86" s="417"/>
      <c r="F86" s="417"/>
      <c r="G86" s="417"/>
      <c r="H86" s="420"/>
      <c r="I86" s="423"/>
      <c r="J86" s="417"/>
      <c r="K86" s="417"/>
      <c r="L86" s="417"/>
      <c r="M86" s="420"/>
      <c r="N86" s="423"/>
      <c r="O86" s="417"/>
      <c r="P86" s="417"/>
      <c r="Q86" s="417"/>
      <c r="R86" s="420"/>
      <c r="S86" s="423"/>
      <c r="T86" s="417"/>
      <c r="U86" s="417"/>
      <c r="V86" s="417"/>
      <c r="W86" s="420"/>
      <c r="X86" s="423"/>
      <c r="Y86" s="417"/>
      <c r="Z86" s="417"/>
      <c r="AA86" s="417"/>
      <c r="AB86" s="420"/>
      <c r="AC86" s="423"/>
      <c r="AD86" s="417"/>
      <c r="AE86" s="417"/>
      <c r="AF86" s="417"/>
      <c r="AG86" s="420"/>
      <c r="AH86" s="423"/>
      <c r="AI86" s="417"/>
      <c r="AJ86" s="417"/>
      <c r="AK86" s="417"/>
      <c r="AL86" s="420"/>
      <c r="AM86" s="423"/>
      <c r="AN86" s="417"/>
      <c r="AO86" s="417"/>
      <c r="AP86" s="417"/>
      <c r="AQ86" s="420"/>
      <c r="AR86" s="423"/>
      <c r="AS86" s="417"/>
      <c r="AT86" s="417"/>
      <c r="AU86" s="417"/>
      <c r="AV86" s="420"/>
      <c r="AW86" s="423"/>
      <c r="AX86" s="417"/>
      <c r="AY86" s="417"/>
      <c r="AZ86" s="417"/>
      <c r="BA86" s="420"/>
      <c r="BB86" s="423"/>
      <c r="BC86" s="417"/>
      <c r="BD86" s="417"/>
      <c r="BE86" s="417"/>
      <c r="BF86" s="420"/>
      <c r="BG86" s="423"/>
      <c r="BH86" s="417"/>
      <c r="BI86" s="417"/>
      <c r="BJ86" s="417"/>
      <c r="BK86" s="420"/>
      <c r="BL86" s="423"/>
      <c r="BM86" s="420"/>
      <c r="BN86" s="167">
        <f t="shared" si="54"/>
        <v>0.31145161290322571</v>
      </c>
      <c r="BO86" s="167">
        <f t="shared" si="55"/>
        <v>0.28399999999999997</v>
      </c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65"/>
      <c r="B87" s="8"/>
      <c r="C87" s="396"/>
      <c r="D87" s="415"/>
      <c r="E87" s="418"/>
      <c r="F87" s="418"/>
      <c r="G87" s="418"/>
      <c r="H87" s="421"/>
      <c r="I87" s="424"/>
      <c r="J87" s="418"/>
      <c r="K87" s="418"/>
      <c r="L87" s="418"/>
      <c r="M87" s="421"/>
      <c r="N87" s="424"/>
      <c r="O87" s="418"/>
      <c r="P87" s="418"/>
      <c r="Q87" s="418"/>
      <c r="R87" s="421"/>
      <c r="S87" s="424"/>
      <c r="T87" s="418"/>
      <c r="U87" s="418"/>
      <c r="V87" s="418"/>
      <c r="W87" s="421"/>
      <c r="X87" s="424"/>
      <c r="Y87" s="418"/>
      <c r="Z87" s="418"/>
      <c r="AA87" s="418"/>
      <c r="AB87" s="421"/>
      <c r="AC87" s="424"/>
      <c r="AD87" s="418"/>
      <c r="AE87" s="418"/>
      <c r="AF87" s="418"/>
      <c r="AG87" s="421"/>
      <c r="AH87" s="424"/>
      <c r="AI87" s="418"/>
      <c r="AJ87" s="418"/>
      <c r="AK87" s="418"/>
      <c r="AL87" s="421"/>
      <c r="AM87" s="424"/>
      <c r="AN87" s="418"/>
      <c r="AO87" s="418"/>
      <c r="AP87" s="418"/>
      <c r="AQ87" s="421"/>
      <c r="AR87" s="424"/>
      <c r="AS87" s="418"/>
      <c r="AT87" s="418"/>
      <c r="AU87" s="418"/>
      <c r="AV87" s="421"/>
      <c r="AW87" s="424"/>
      <c r="AX87" s="418"/>
      <c r="AY87" s="418"/>
      <c r="AZ87" s="418"/>
      <c r="BA87" s="421"/>
      <c r="BB87" s="424"/>
      <c r="BC87" s="418"/>
      <c r="BD87" s="418"/>
      <c r="BE87" s="418"/>
      <c r="BF87" s="421"/>
      <c r="BG87" s="424"/>
      <c r="BH87" s="418"/>
      <c r="BI87" s="418"/>
      <c r="BJ87" s="418"/>
      <c r="BK87" s="421"/>
      <c r="BL87" s="424"/>
      <c r="BM87" s="421"/>
      <c r="BN87" s="168">
        <f t="shared" si="54"/>
        <v>0.31145161290322571</v>
      </c>
      <c r="BO87" s="168">
        <f t="shared" si="55"/>
        <v>0.28399999999999997</v>
      </c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19</v>
      </c>
      <c r="B88" s="6"/>
      <c r="C88" s="395" t="s">
        <v>305</v>
      </c>
      <c r="D88" s="413">
        <f>MIN(Thickness!D88:D90)</f>
        <v>0.32900000000000001</v>
      </c>
      <c r="E88" s="416">
        <f>MIN(Thickness!E88:E90)</f>
        <v>0.31900000000000001</v>
      </c>
      <c r="F88" s="416">
        <f>MIN(Thickness!F88:F90)</f>
        <v>0.314</v>
      </c>
      <c r="G88" s="416">
        <f>MIN(Thickness!G88:G90)</f>
        <v>0.32100000000000001</v>
      </c>
      <c r="H88" s="419">
        <f>MIN(Thickness!H88:H90)</f>
        <v>0.314</v>
      </c>
      <c r="I88" s="422">
        <f>MIN(Thickness!I88:I90)</f>
        <v>0.32300000000000001</v>
      </c>
      <c r="J88" s="416">
        <f>MIN(Thickness!J88:J90)</f>
        <v>0.32</v>
      </c>
      <c r="K88" s="416">
        <f>MIN(Thickness!K88:K90)</f>
        <v>0.31900000000000001</v>
      </c>
      <c r="L88" s="416">
        <f>MIN(Thickness!L88:L90)</f>
        <v>0.316</v>
      </c>
      <c r="M88" s="419">
        <f>MIN(Thickness!M88:M90)</f>
        <v>0.30199999999999999</v>
      </c>
      <c r="N88" s="422">
        <f>MIN(Thickness!N88:N90)</f>
        <v>0.30299999999999999</v>
      </c>
      <c r="O88" s="416">
        <f>MIN(Thickness!O88:O90)</f>
        <v>0.307</v>
      </c>
      <c r="P88" s="416">
        <f>MIN(Thickness!P88:P90)</f>
        <v>0.31</v>
      </c>
      <c r="Q88" s="416">
        <f>MIN(Thickness!Q88:Q90)</f>
        <v>0.315</v>
      </c>
      <c r="R88" s="419">
        <f>MIN(Thickness!R88:R90)</f>
        <v>0.32500000000000001</v>
      </c>
      <c r="S88" s="422">
        <f>MIN(Thickness!S88:S90)</f>
        <v>0.317</v>
      </c>
      <c r="T88" s="416">
        <f>MIN(Thickness!T88:T90)</f>
        <v>0.32200000000000001</v>
      </c>
      <c r="U88" s="416">
        <f>MIN(Thickness!U88:U90)</f>
        <v>0.307</v>
      </c>
      <c r="V88" s="416">
        <f>MIN(Thickness!V88:V90)</f>
        <v>0.318</v>
      </c>
      <c r="W88" s="419">
        <f>MIN(Thickness!W88:W90)</f>
        <v>0.313</v>
      </c>
      <c r="X88" s="422">
        <f>MIN(Thickness!X88:X90)</f>
        <v>0.309</v>
      </c>
      <c r="Y88" s="416">
        <f>MIN(Thickness!Y88:Y90)</f>
        <v>0.309</v>
      </c>
      <c r="Z88" s="416">
        <f>MIN(Thickness!Z88:Z90)</f>
        <v>0.31900000000000001</v>
      </c>
      <c r="AA88" s="416">
        <f>MIN(Thickness!AA88:AA90)</f>
        <v>0.32700000000000001</v>
      </c>
      <c r="AB88" s="419">
        <f>MIN(Thickness!AB88:AB90)</f>
        <v>0.314</v>
      </c>
      <c r="AC88" s="422">
        <f>MIN(Thickness!AC88:AC90)</f>
        <v>0.316</v>
      </c>
      <c r="AD88" s="416">
        <f>MIN(Thickness!AD88:AD90)</f>
        <v>0.311</v>
      </c>
      <c r="AE88" s="416">
        <f>MIN(Thickness!AE88:AE90)</f>
        <v>0.32500000000000001</v>
      </c>
      <c r="AF88" s="416">
        <f>MIN(Thickness!AF88:AF90)</f>
        <v>0.311</v>
      </c>
      <c r="AG88" s="419">
        <f>MIN(Thickness!AG88:AG90)</f>
        <v>0.32</v>
      </c>
      <c r="AH88" s="422">
        <f>MIN(Thickness!AH88:AH90)</f>
        <v>0.314</v>
      </c>
      <c r="AI88" s="416">
        <f>MIN(Thickness!AI88:AI90)</f>
        <v>0.311</v>
      </c>
      <c r="AJ88" s="416">
        <f>MIN(Thickness!AJ88:AJ90)</f>
        <v>0.30599999999999999</v>
      </c>
      <c r="AK88" s="416">
        <f>MIN(Thickness!AK88:AK90)</f>
        <v>0.30599999999999999</v>
      </c>
      <c r="AL88" s="419">
        <f>MIN(Thickness!AL88:AL90)</f>
        <v>0.311</v>
      </c>
      <c r="AM88" s="422">
        <f>MIN(Thickness!AM88:AM90)</f>
        <v>0.29899999999999999</v>
      </c>
      <c r="AN88" s="416">
        <f>MIN(Thickness!AN88:AN90)</f>
        <v>0.29599999999999999</v>
      </c>
      <c r="AO88" s="416">
        <f>MIN(Thickness!AO88:AO90)</f>
        <v>0.30599999999999999</v>
      </c>
      <c r="AP88" s="416">
        <f>MIN(Thickness!AP88:AP90)</f>
        <v>0.313</v>
      </c>
      <c r="AQ88" s="419">
        <f>MIN(Thickness!AQ88:AQ90)</f>
        <v>0.28399999999999997</v>
      </c>
      <c r="AR88" s="422">
        <f>MIN(Thickness!AR88:AR90)</f>
        <v>0.308</v>
      </c>
      <c r="AS88" s="416">
        <f>MIN(Thickness!AS88:AS90)</f>
        <v>0.30499999999999999</v>
      </c>
      <c r="AT88" s="416">
        <f>MIN(Thickness!AT88:AT90)</f>
        <v>0.30599999999999999</v>
      </c>
      <c r="AU88" s="416">
        <f>MIN(Thickness!AU88:AU90)</f>
        <v>0.30399999999999999</v>
      </c>
      <c r="AV88" s="419">
        <f>MIN(Thickness!AV88:AV90)</f>
        <v>0.30599999999999999</v>
      </c>
      <c r="AW88" s="422">
        <f>MIN(Thickness!AW88:AW90)</f>
        <v>0.29199999999999998</v>
      </c>
      <c r="AX88" s="416">
        <f>MIN(Thickness!AX88:AX90)</f>
        <v>0.30599999999999999</v>
      </c>
      <c r="AY88" s="416">
        <f>MIN(Thickness!AY88:AY90)</f>
        <v>0.29599999999999999</v>
      </c>
      <c r="AZ88" s="416">
        <f>MIN(Thickness!AZ88:AZ90)</f>
        <v>0.29399999999999998</v>
      </c>
      <c r="BA88" s="419">
        <f>MIN(Thickness!BA88:BA90)</f>
        <v>0.30399999999999999</v>
      </c>
      <c r="BB88" s="422">
        <f>MIN(Thickness!BB88:BB90)</f>
        <v>0.30299999999999999</v>
      </c>
      <c r="BC88" s="416">
        <f>MIN(Thickness!BC88:BC90)</f>
        <v>0.29299999999999998</v>
      </c>
      <c r="BD88" s="416">
        <f>MIN(Thickness!BD88:BD90)</f>
        <v>0.30399999999999999</v>
      </c>
      <c r="BE88" s="416">
        <f>MIN(Thickness!BE88:BE90)</f>
        <v>0.30399999999999999</v>
      </c>
      <c r="BF88" s="419">
        <f>MIN(Thickness!BF88:BF90)</f>
        <v>0.32</v>
      </c>
      <c r="BG88" s="422">
        <f>MIN(Thickness!BG88:BG90)</f>
        <v>0.32100000000000001</v>
      </c>
      <c r="BH88" s="416">
        <f>MIN(Thickness!BH88:BH90)</f>
        <v>0.32300000000000001</v>
      </c>
      <c r="BI88" s="416">
        <f>MIN(Thickness!BI88:BI90)</f>
        <v>0.317</v>
      </c>
      <c r="BJ88" s="416">
        <f>MIN(Thickness!BJ88:BJ90)</f>
        <v>0.32</v>
      </c>
      <c r="BK88" s="419">
        <f>MIN(Thickness!BK88:BK90)</f>
        <v>0.32600000000000001</v>
      </c>
      <c r="BL88" s="422">
        <f>MIN(Thickness!BL88:BL90)</f>
        <v>0.316</v>
      </c>
      <c r="BM88" s="419">
        <f>MIN(Thickness!BM88:BM90)</f>
        <v>0.32100000000000001</v>
      </c>
      <c r="BN88" s="166">
        <f t="shared" ref="BN88:BN90" si="56">IFERROR(AVERAGE(D88:BM90),0)</f>
        <v>0.31145161290322571</v>
      </c>
      <c r="BO88" s="166">
        <f t="shared" ref="BO88:BO90" si="57">MIN(D88:BM90)</f>
        <v>0.28399999999999997</v>
      </c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65">
        <v>8.3000000000000004E-2</v>
      </c>
      <c r="B89" s="7" t="s">
        <v>42</v>
      </c>
      <c r="C89" s="396"/>
      <c r="D89" s="414"/>
      <c r="E89" s="417"/>
      <c r="F89" s="417"/>
      <c r="G89" s="417"/>
      <c r="H89" s="420"/>
      <c r="I89" s="423"/>
      <c r="J89" s="417"/>
      <c r="K89" s="417"/>
      <c r="L89" s="417"/>
      <c r="M89" s="420"/>
      <c r="N89" s="423"/>
      <c r="O89" s="417"/>
      <c r="P89" s="417"/>
      <c r="Q89" s="417"/>
      <c r="R89" s="420"/>
      <c r="S89" s="423"/>
      <c r="T89" s="417"/>
      <c r="U89" s="417"/>
      <c r="V89" s="417"/>
      <c r="W89" s="420"/>
      <c r="X89" s="423"/>
      <c r="Y89" s="417"/>
      <c r="Z89" s="417"/>
      <c r="AA89" s="417"/>
      <c r="AB89" s="420"/>
      <c r="AC89" s="423"/>
      <c r="AD89" s="417"/>
      <c r="AE89" s="417"/>
      <c r="AF89" s="417"/>
      <c r="AG89" s="420"/>
      <c r="AH89" s="423"/>
      <c r="AI89" s="417"/>
      <c r="AJ89" s="417"/>
      <c r="AK89" s="417"/>
      <c r="AL89" s="420"/>
      <c r="AM89" s="423"/>
      <c r="AN89" s="417"/>
      <c r="AO89" s="417"/>
      <c r="AP89" s="417"/>
      <c r="AQ89" s="420"/>
      <c r="AR89" s="423"/>
      <c r="AS89" s="417"/>
      <c r="AT89" s="417"/>
      <c r="AU89" s="417"/>
      <c r="AV89" s="420"/>
      <c r="AW89" s="423"/>
      <c r="AX89" s="417"/>
      <c r="AY89" s="417"/>
      <c r="AZ89" s="417"/>
      <c r="BA89" s="420"/>
      <c r="BB89" s="423"/>
      <c r="BC89" s="417"/>
      <c r="BD89" s="417"/>
      <c r="BE89" s="417"/>
      <c r="BF89" s="420"/>
      <c r="BG89" s="423"/>
      <c r="BH89" s="417"/>
      <c r="BI89" s="417"/>
      <c r="BJ89" s="417"/>
      <c r="BK89" s="420"/>
      <c r="BL89" s="423"/>
      <c r="BM89" s="420"/>
      <c r="BN89" s="167">
        <f t="shared" si="56"/>
        <v>0.31616949152542384</v>
      </c>
      <c r="BO89" s="167">
        <f t="shared" si="57"/>
        <v>0.29499999999999998</v>
      </c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65"/>
      <c r="B90" s="8"/>
      <c r="C90" s="396"/>
      <c r="D90" s="415"/>
      <c r="E90" s="418"/>
      <c r="F90" s="418"/>
      <c r="G90" s="418"/>
      <c r="H90" s="421"/>
      <c r="I90" s="424"/>
      <c r="J90" s="418"/>
      <c r="K90" s="418"/>
      <c r="L90" s="418"/>
      <c r="M90" s="421"/>
      <c r="N90" s="424"/>
      <c r="O90" s="418"/>
      <c r="P90" s="418"/>
      <c r="Q90" s="418"/>
      <c r="R90" s="421"/>
      <c r="S90" s="424"/>
      <c r="T90" s="418"/>
      <c r="U90" s="418"/>
      <c r="V90" s="418"/>
      <c r="W90" s="421"/>
      <c r="X90" s="424"/>
      <c r="Y90" s="418"/>
      <c r="Z90" s="418"/>
      <c r="AA90" s="418"/>
      <c r="AB90" s="421"/>
      <c r="AC90" s="424"/>
      <c r="AD90" s="418"/>
      <c r="AE90" s="418"/>
      <c r="AF90" s="418"/>
      <c r="AG90" s="421"/>
      <c r="AH90" s="424"/>
      <c r="AI90" s="418"/>
      <c r="AJ90" s="418"/>
      <c r="AK90" s="418"/>
      <c r="AL90" s="421"/>
      <c r="AM90" s="424"/>
      <c r="AN90" s="418"/>
      <c r="AO90" s="418"/>
      <c r="AP90" s="418"/>
      <c r="AQ90" s="421"/>
      <c r="AR90" s="424"/>
      <c r="AS90" s="418"/>
      <c r="AT90" s="418"/>
      <c r="AU90" s="418"/>
      <c r="AV90" s="421"/>
      <c r="AW90" s="424"/>
      <c r="AX90" s="418"/>
      <c r="AY90" s="418"/>
      <c r="AZ90" s="418"/>
      <c r="BA90" s="421"/>
      <c r="BB90" s="424"/>
      <c r="BC90" s="418"/>
      <c r="BD90" s="418"/>
      <c r="BE90" s="418"/>
      <c r="BF90" s="421"/>
      <c r="BG90" s="424"/>
      <c r="BH90" s="418"/>
      <c r="BI90" s="418"/>
      <c r="BJ90" s="418"/>
      <c r="BK90" s="421"/>
      <c r="BL90" s="424"/>
      <c r="BM90" s="421"/>
      <c r="BN90" s="168">
        <f t="shared" si="56"/>
        <v>0.31616949152542384</v>
      </c>
      <c r="BO90" s="168">
        <f t="shared" si="57"/>
        <v>0.29499999999999998</v>
      </c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43</v>
      </c>
      <c r="B91" s="6"/>
      <c r="C91" s="395" t="s">
        <v>305</v>
      </c>
      <c r="D91" s="413">
        <f>MIN(Thickness!D91:D93)</f>
        <v>0.34100000000000003</v>
      </c>
      <c r="E91" s="416" t="s">
        <v>20</v>
      </c>
      <c r="F91" s="416">
        <f>MIN(Thickness!F91:F93)</f>
        <v>0.318</v>
      </c>
      <c r="G91" s="416">
        <f>MIN(Thickness!G91:G93)</f>
        <v>0.33</v>
      </c>
      <c r="H91" s="419" t="s">
        <v>20</v>
      </c>
      <c r="I91" s="422">
        <f>MIN(Thickness!I91:I93)</f>
        <v>0.33</v>
      </c>
      <c r="J91" s="416">
        <f>MIN(Thickness!J91:J93)</f>
        <v>0.32</v>
      </c>
      <c r="K91" s="416">
        <f>MIN(Thickness!K91:K93)</f>
        <v>0.318</v>
      </c>
      <c r="L91" s="416">
        <f>MIN(Thickness!L91:L93)</f>
        <v>0.308</v>
      </c>
      <c r="M91" s="419">
        <f>MIN(Thickness!M91:M93)</f>
        <v>0.29899999999999999</v>
      </c>
      <c r="N91" s="422">
        <f>MIN(Thickness!N91:N93)</f>
        <v>0.308</v>
      </c>
      <c r="O91" s="416">
        <f>MIN(Thickness!O91:O93)</f>
        <v>0.309</v>
      </c>
      <c r="P91" s="416">
        <f>MIN(Thickness!P91:P93)</f>
        <v>0.30499999999999999</v>
      </c>
      <c r="Q91" s="416">
        <f>MIN(Thickness!Q91:Q93)</f>
        <v>0.32300000000000001</v>
      </c>
      <c r="R91" s="419">
        <f>MIN(Thickness!R91:R93)</f>
        <v>0.32</v>
      </c>
      <c r="S91" s="422">
        <f>MIN(Thickness!S91:S93)</f>
        <v>0.316</v>
      </c>
      <c r="T91" s="416">
        <f>MIN(Thickness!T91:T93)</f>
        <v>0.32700000000000001</v>
      </c>
      <c r="U91" s="416">
        <f>MIN(Thickness!U91:U93)</f>
        <v>0.308</v>
      </c>
      <c r="V91" s="416">
        <f>MIN(Thickness!V91:V93)</f>
        <v>0.313</v>
      </c>
      <c r="W91" s="419">
        <f>MIN(Thickness!W91:W93)</f>
        <v>0.30599999999999999</v>
      </c>
      <c r="X91" s="422">
        <f>MIN(Thickness!X91:X93)</f>
        <v>0.32</v>
      </c>
      <c r="Y91" s="416">
        <f>MIN(Thickness!Y91:Y93)</f>
        <v>0.32900000000000001</v>
      </c>
      <c r="Z91" s="416">
        <f>MIN(Thickness!Z91:Z93)</f>
        <v>0.31900000000000001</v>
      </c>
      <c r="AA91" s="416">
        <f>MIN(Thickness!AA91:AA93)</f>
        <v>0.32100000000000001</v>
      </c>
      <c r="AB91" s="419">
        <f>MIN(Thickness!AB91:AB93)</f>
        <v>0.32600000000000001</v>
      </c>
      <c r="AC91" s="422">
        <f>MIN(Thickness!AC91:AC93)</f>
        <v>0.316</v>
      </c>
      <c r="AD91" s="416">
        <f>MIN(Thickness!AD91:AD93)</f>
        <v>0.308</v>
      </c>
      <c r="AE91" s="416">
        <f>MIN(Thickness!AE91:AE93)</f>
        <v>0.312</v>
      </c>
      <c r="AF91" s="416">
        <f>MIN(Thickness!AF91:AF93)</f>
        <v>0.315</v>
      </c>
      <c r="AG91" s="419">
        <f>MIN(Thickness!AG91:AG93)</f>
        <v>0.315</v>
      </c>
      <c r="AH91" s="422">
        <f>MIN(Thickness!AH91:AH93)</f>
        <v>0.32100000000000001</v>
      </c>
      <c r="AI91" s="416">
        <f>MIN(Thickness!AI91:AI93)</f>
        <v>0.317</v>
      </c>
      <c r="AJ91" s="416">
        <f>MIN(Thickness!AJ91:AJ93)</f>
        <v>0.308</v>
      </c>
      <c r="AK91" s="416">
        <f>MIN(Thickness!AK91:AK93)</f>
        <v>0.30599999999999999</v>
      </c>
      <c r="AL91" s="419">
        <f>MIN(Thickness!AL91:AL93)</f>
        <v>0.32400000000000001</v>
      </c>
      <c r="AM91" s="422">
        <f>MIN(Thickness!AM91:AM93)</f>
        <v>0.31900000000000001</v>
      </c>
      <c r="AN91" s="416">
        <f>MIN(Thickness!AN91:AN93)</f>
        <v>0.311</v>
      </c>
      <c r="AO91" s="416">
        <f>MIN(Thickness!AO91:AO93)</f>
        <v>0.313</v>
      </c>
      <c r="AP91" s="416">
        <f>MIN(Thickness!AP91:AP93)</f>
        <v>0.32600000000000001</v>
      </c>
      <c r="AQ91" s="419">
        <f>MIN(Thickness!AQ91:AQ93)</f>
        <v>0.29499999999999998</v>
      </c>
      <c r="AR91" s="422">
        <f>MIN(Thickness!AR91:AR93)</f>
        <v>0.313</v>
      </c>
      <c r="AS91" s="416">
        <f>MIN(Thickness!AS91:AS93)</f>
        <v>0.314</v>
      </c>
      <c r="AT91" s="416">
        <f>MIN(Thickness!AT91:AT93)</f>
        <v>0.31</v>
      </c>
      <c r="AU91" s="416">
        <f>MIN(Thickness!AU91:AU93)</f>
        <v>0.307</v>
      </c>
      <c r="AV91" s="419">
        <f>MIN(Thickness!AV91:AV93)</f>
        <v>0.32</v>
      </c>
      <c r="AW91" s="422">
        <f>MIN(Thickness!AW91:AW93)</f>
        <v>0.29799999999999999</v>
      </c>
      <c r="AX91" s="416">
        <f>MIN(Thickness!AX91:AX93)</f>
        <v>0.30599999999999999</v>
      </c>
      <c r="AY91" s="416">
        <f>MIN(Thickness!AY91:AY93)</f>
        <v>0.31900000000000001</v>
      </c>
      <c r="AZ91" s="416">
        <f>MIN(Thickness!AZ91:AZ93)</f>
        <v>0.31</v>
      </c>
      <c r="BA91" s="419">
        <f>MIN(Thickness!BA91:BA93)</f>
        <v>0.309</v>
      </c>
      <c r="BB91" s="422">
        <f>MIN(Thickness!BB91:BB93)</f>
        <v>0.31900000000000001</v>
      </c>
      <c r="BC91" s="416">
        <f>MIN(Thickness!BC91:BC93)</f>
        <v>0.308</v>
      </c>
      <c r="BD91" s="416">
        <f>MIN(Thickness!BD91:BD93)</f>
        <v>0.318</v>
      </c>
      <c r="BE91" s="416">
        <f>MIN(Thickness!BE91:BE93)</f>
        <v>0.32200000000000001</v>
      </c>
      <c r="BF91" s="419">
        <f>MIN(Thickness!BF91:BF93)</f>
        <v>0.32100000000000001</v>
      </c>
      <c r="BG91" s="422">
        <f>MIN(Thickness!BG91:BG93)</f>
        <v>0.32400000000000001</v>
      </c>
      <c r="BH91" s="416">
        <f>MIN(Thickness!BH91:BH93)</f>
        <v>0.32400000000000001</v>
      </c>
      <c r="BI91" s="416">
        <f>MIN(Thickness!BI91:BI93)</f>
        <v>0.32500000000000001</v>
      </c>
      <c r="BJ91" s="416">
        <f>MIN(Thickness!BJ91:BJ93)</f>
        <v>0.32100000000000001</v>
      </c>
      <c r="BK91" s="419">
        <f>MIN(Thickness!BK91:BK93)</f>
        <v>0.32400000000000001</v>
      </c>
      <c r="BL91" s="422" t="s">
        <v>20</v>
      </c>
      <c r="BM91" s="419">
        <f>MIN(Thickness!BM91:BM93)</f>
        <v>0.32200000000000001</v>
      </c>
      <c r="BN91" s="166">
        <f t="shared" ref="BN91:BN93" si="58">IFERROR(AVERAGE(D91:BM93),0)</f>
        <v>0.31616949152542384</v>
      </c>
      <c r="BO91" s="166">
        <f t="shared" ref="BO91:BO93" si="59">MIN(D91:BM93)</f>
        <v>0.29499999999999998</v>
      </c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65">
        <v>8.3000000000000004E-2</v>
      </c>
      <c r="B92" s="7" t="s">
        <v>44</v>
      </c>
      <c r="C92" s="396"/>
      <c r="D92" s="414"/>
      <c r="E92" s="417" t="s">
        <v>20</v>
      </c>
      <c r="F92" s="417"/>
      <c r="G92" s="417"/>
      <c r="H92" s="420" t="s">
        <v>20</v>
      </c>
      <c r="I92" s="423"/>
      <c r="J92" s="417"/>
      <c r="K92" s="417"/>
      <c r="L92" s="417"/>
      <c r="M92" s="420"/>
      <c r="N92" s="423"/>
      <c r="O92" s="417"/>
      <c r="P92" s="417"/>
      <c r="Q92" s="417"/>
      <c r="R92" s="420"/>
      <c r="S92" s="423"/>
      <c r="T92" s="417"/>
      <c r="U92" s="417"/>
      <c r="V92" s="417"/>
      <c r="W92" s="420"/>
      <c r="X92" s="423"/>
      <c r="Y92" s="417"/>
      <c r="Z92" s="417"/>
      <c r="AA92" s="417"/>
      <c r="AB92" s="420"/>
      <c r="AC92" s="423"/>
      <c r="AD92" s="417"/>
      <c r="AE92" s="417"/>
      <c r="AF92" s="417"/>
      <c r="AG92" s="420"/>
      <c r="AH92" s="423"/>
      <c r="AI92" s="417"/>
      <c r="AJ92" s="417"/>
      <c r="AK92" s="417"/>
      <c r="AL92" s="420"/>
      <c r="AM92" s="423"/>
      <c r="AN92" s="417"/>
      <c r="AO92" s="417"/>
      <c r="AP92" s="417"/>
      <c r="AQ92" s="420"/>
      <c r="AR92" s="423"/>
      <c r="AS92" s="417"/>
      <c r="AT92" s="417"/>
      <c r="AU92" s="417"/>
      <c r="AV92" s="420"/>
      <c r="AW92" s="423"/>
      <c r="AX92" s="417"/>
      <c r="AY92" s="417"/>
      <c r="AZ92" s="417"/>
      <c r="BA92" s="420"/>
      <c r="BB92" s="423"/>
      <c r="BC92" s="417"/>
      <c r="BD92" s="417"/>
      <c r="BE92" s="417"/>
      <c r="BF92" s="420"/>
      <c r="BG92" s="423"/>
      <c r="BH92" s="417"/>
      <c r="BI92" s="417"/>
      <c r="BJ92" s="417"/>
      <c r="BK92" s="420"/>
      <c r="BL92" s="423" t="s">
        <v>20</v>
      </c>
      <c r="BM92" s="420"/>
      <c r="BN92" s="167">
        <f t="shared" si="58"/>
        <v>0.31606557377049183</v>
      </c>
      <c r="BO92" s="167">
        <f t="shared" si="59"/>
        <v>0.28899999999999998</v>
      </c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65"/>
      <c r="B93" s="8"/>
      <c r="C93" s="396"/>
      <c r="D93" s="415"/>
      <c r="E93" s="418" t="s">
        <v>20</v>
      </c>
      <c r="F93" s="418"/>
      <c r="G93" s="418"/>
      <c r="H93" s="421" t="s">
        <v>20</v>
      </c>
      <c r="I93" s="424"/>
      <c r="J93" s="418"/>
      <c r="K93" s="418"/>
      <c r="L93" s="418"/>
      <c r="M93" s="421"/>
      <c r="N93" s="424"/>
      <c r="O93" s="418"/>
      <c r="P93" s="418"/>
      <c r="Q93" s="418"/>
      <c r="R93" s="421"/>
      <c r="S93" s="424"/>
      <c r="T93" s="418"/>
      <c r="U93" s="418"/>
      <c r="V93" s="418"/>
      <c r="W93" s="421"/>
      <c r="X93" s="424"/>
      <c r="Y93" s="418"/>
      <c r="Z93" s="418"/>
      <c r="AA93" s="418"/>
      <c r="AB93" s="421"/>
      <c r="AC93" s="424"/>
      <c r="AD93" s="418"/>
      <c r="AE93" s="418"/>
      <c r="AF93" s="418"/>
      <c r="AG93" s="421"/>
      <c r="AH93" s="424"/>
      <c r="AI93" s="418"/>
      <c r="AJ93" s="418"/>
      <c r="AK93" s="418"/>
      <c r="AL93" s="421"/>
      <c r="AM93" s="424"/>
      <c r="AN93" s="418"/>
      <c r="AO93" s="418"/>
      <c r="AP93" s="418"/>
      <c r="AQ93" s="421"/>
      <c r="AR93" s="424"/>
      <c r="AS93" s="418"/>
      <c r="AT93" s="418"/>
      <c r="AU93" s="418"/>
      <c r="AV93" s="421"/>
      <c r="AW93" s="424"/>
      <c r="AX93" s="418"/>
      <c r="AY93" s="418"/>
      <c r="AZ93" s="418"/>
      <c r="BA93" s="421"/>
      <c r="BB93" s="424"/>
      <c r="BC93" s="418"/>
      <c r="BD93" s="418"/>
      <c r="BE93" s="418"/>
      <c r="BF93" s="421"/>
      <c r="BG93" s="424"/>
      <c r="BH93" s="418"/>
      <c r="BI93" s="418"/>
      <c r="BJ93" s="418"/>
      <c r="BK93" s="421"/>
      <c r="BL93" s="424" t="s">
        <v>20</v>
      </c>
      <c r="BM93" s="421"/>
      <c r="BN93" s="168">
        <f t="shared" si="58"/>
        <v>0.31606557377049183</v>
      </c>
      <c r="BO93" s="168">
        <f t="shared" si="59"/>
        <v>0.28899999999999998</v>
      </c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43</v>
      </c>
      <c r="B94" s="6"/>
      <c r="C94" s="395" t="s">
        <v>305</v>
      </c>
      <c r="D94" s="413">
        <f>MIN(Thickness!D94:D96)</f>
        <v>0.33100000000000002</v>
      </c>
      <c r="E94" s="416" t="s">
        <v>20</v>
      </c>
      <c r="F94" s="416">
        <f>MIN(Thickness!F94:F96)</f>
        <v>0.312</v>
      </c>
      <c r="G94" s="416">
        <f>MIN(Thickness!G94:G96)</f>
        <v>0.34499999999999997</v>
      </c>
      <c r="H94" s="419">
        <f>MIN(Thickness!H94:H96)</f>
        <v>0.317</v>
      </c>
      <c r="I94" s="422">
        <f>MIN(Thickness!I94:I96)</f>
        <v>0.32100000000000001</v>
      </c>
      <c r="J94" s="416">
        <f>MIN(Thickness!J94:J96)</f>
        <v>0.32600000000000001</v>
      </c>
      <c r="K94" s="416">
        <f>MIN(Thickness!K94:K96)</f>
        <v>0.32400000000000001</v>
      </c>
      <c r="L94" s="416">
        <f>MIN(Thickness!L94:L96)</f>
        <v>0.32500000000000001</v>
      </c>
      <c r="M94" s="419">
        <f>MIN(Thickness!M94:M96)</f>
        <v>0.315</v>
      </c>
      <c r="N94" s="422">
        <f>MIN(Thickness!N94:N96)</f>
        <v>0.30499999999999999</v>
      </c>
      <c r="O94" s="416">
        <f>MIN(Thickness!O94:O96)</f>
        <v>0.31900000000000001</v>
      </c>
      <c r="P94" s="416">
        <f>MIN(Thickness!P94:P96)</f>
        <v>0.318</v>
      </c>
      <c r="Q94" s="416">
        <f>MIN(Thickness!Q94:Q96)</f>
        <v>0.313</v>
      </c>
      <c r="R94" s="419">
        <f>MIN(Thickness!R94:R96)</f>
        <v>0.315</v>
      </c>
      <c r="S94" s="422">
        <f>MIN(Thickness!S94:S96)</f>
        <v>0.32700000000000001</v>
      </c>
      <c r="T94" s="416">
        <f>MIN(Thickness!T94:T96)</f>
        <v>0.32</v>
      </c>
      <c r="U94" s="416">
        <f>MIN(Thickness!U94:U96)</f>
        <v>0.313</v>
      </c>
      <c r="V94" s="416">
        <f>MIN(Thickness!V94:V96)</f>
        <v>0.34499999999999997</v>
      </c>
      <c r="W94" s="419">
        <f>MIN(Thickness!W94:W96)</f>
        <v>0.29599999999999999</v>
      </c>
      <c r="X94" s="422">
        <f>MIN(Thickness!X94:X96)</f>
        <v>0.32300000000000001</v>
      </c>
      <c r="Y94" s="416">
        <f>MIN(Thickness!Y94:Y96)</f>
        <v>0.32300000000000001</v>
      </c>
      <c r="Z94" s="416">
        <f>MIN(Thickness!Z94:Z96)</f>
        <v>0.32500000000000001</v>
      </c>
      <c r="AA94" s="416">
        <f>MIN(Thickness!AA94:AA96)</f>
        <v>0.316</v>
      </c>
      <c r="AB94" s="419">
        <f>MIN(Thickness!AB94:AB96)</f>
        <v>0.32200000000000001</v>
      </c>
      <c r="AC94" s="422">
        <f>MIN(Thickness!AC94:AC96)</f>
        <v>0.313</v>
      </c>
      <c r="AD94" s="416">
        <f>MIN(Thickness!AD94:AD96)</f>
        <v>0.32400000000000001</v>
      </c>
      <c r="AE94" s="416">
        <f>MIN(Thickness!AE94:AE96)</f>
        <v>0.32800000000000001</v>
      </c>
      <c r="AF94" s="416">
        <f>MIN(Thickness!AF94:AF96)</f>
        <v>0.33</v>
      </c>
      <c r="AG94" s="419">
        <f>MIN(Thickness!AG94:AG96)</f>
        <v>0.317</v>
      </c>
      <c r="AH94" s="422">
        <f>MIN(Thickness!AH94:AH96)</f>
        <v>0.32200000000000001</v>
      </c>
      <c r="AI94" s="416">
        <f>MIN(Thickness!AI94:AI96)</f>
        <v>0.316</v>
      </c>
      <c r="AJ94" s="416">
        <f>MIN(Thickness!AJ94:AJ96)</f>
        <v>0.311</v>
      </c>
      <c r="AK94" s="416">
        <f>MIN(Thickness!AK94:AK96)</f>
        <v>0.32400000000000001</v>
      </c>
      <c r="AL94" s="419">
        <f>MIN(Thickness!AL94:AL96)</f>
        <v>0.32100000000000001</v>
      </c>
      <c r="AM94" s="422">
        <f>MIN(Thickness!AM94:AM96)</f>
        <v>0.30599999999999999</v>
      </c>
      <c r="AN94" s="416">
        <f>MIN(Thickness!AN94:AN96)</f>
        <v>0.30299999999999999</v>
      </c>
      <c r="AO94" s="416">
        <f>MIN(Thickness!AO94:AO96)</f>
        <v>0.31900000000000001</v>
      </c>
      <c r="AP94" s="416">
        <f>MIN(Thickness!AP94:AP96)</f>
        <v>0.32</v>
      </c>
      <c r="AQ94" s="419">
        <f>MIN(Thickness!AQ94:AQ96)</f>
        <v>0.30099999999999999</v>
      </c>
      <c r="AR94" s="422">
        <f>MIN(Thickness!AR94:AR96)</f>
        <v>0.32</v>
      </c>
      <c r="AS94" s="416">
        <f>MIN(Thickness!AS94:AS96)</f>
        <v>0.32100000000000001</v>
      </c>
      <c r="AT94" s="416">
        <f>MIN(Thickness!AT94:AT96)</f>
        <v>0.30499999999999999</v>
      </c>
      <c r="AU94" s="416">
        <f>MIN(Thickness!AU94:AU96)</f>
        <v>0.30299999999999999</v>
      </c>
      <c r="AV94" s="419">
        <f>MIN(Thickness!AV94:AV96)</f>
        <v>0.317</v>
      </c>
      <c r="AW94" s="422">
        <f>MIN(Thickness!AW94:AW96)</f>
        <v>0.28899999999999998</v>
      </c>
      <c r="AX94" s="416">
        <f>MIN(Thickness!AX94:AX96)</f>
        <v>0.30099999999999999</v>
      </c>
      <c r="AY94" s="416">
        <f>MIN(Thickness!AY94:AY96)</f>
        <v>0.30599999999999999</v>
      </c>
      <c r="AZ94" s="416">
        <f>MIN(Thickness!AZ94:AZ96)</f>
        <v>0.31</v>
      </c>
      <c r="BA94" s="419">
        <f>MIN(Thickness!BA94:BA96)</f>
        <v>0.311</v>
      </c>
      <c r="BB94" s="422">
        <f>MIN(Thickness!BB94:BB96)</f>
        <v>0.318</v>
      </c>
      <c r="BC94" s="416">
        <f>MIN(Thickness!BC94:BC96)</f>
        <v>0.29299999999999998</v>
      </c>
      <c r="BD94" s="416">
        <f>MIN(Thickness!BD94:BD96)</f>
        <v>0.311</v>
      </c>
      <c r="BE94" s="416">
        <f>MIN(Thickness!BE94:BE96)</f>
        <v>0.314</v>
      </c>
      <c r="BF94" s="419">
        <f>MIN(Thickness!BF94:BF96)</f>
        <v>0.308</v>
      </c>
      <c r="BG94" s="422">
        <f>MIN(Thickness!BG94:BG96)</f>
        <v>0.31</v>
      </c>
      <c r="BH94" s="416">
        <f>MIN(Thickness!BH94:BH96)</f>
        <v>0.32</v>
      </c>
      <c r="BI94" s="416">
        <f>MIN(Thickness!BI94:BI96)</f>
        <v>0.311</v>
      </c>
      <c r="BJ94" s="416">
        <f>MIN(Thickness!BJ94:BJ96)</f>
        <v>0.317</v>
      </c>
      <c r="BK94" s="419">
        <f>MIN(Thickness!BK94:BK96)</f>
        <v>0.30199999999999999</v>
      </c>
      <c r="BL94" s="422">
        <f>MIN(Thickness!BL94:BL96)</f>
        <v>0.31900000000000001</v>
      </c>
      <c r="BM94" s="419">
        <f>MIN(Thickness!BM94:BM96)</f>
        <v>0.32300000000000001</v>
      </c>
      <c r="BN94" s="166">
        <f t="shared" ref="BN94:BN96" si="60">IFERROR(AVERAGE(D94:BM96),0)</f>
        <v>0.31606557377049183</v>
      </c>
      <c r="BO94" s="166">
        <f t="shared" ref="BO94:BO96" si="61">MIN(D94:BM96)</f>
        <v>0.28899999999999998</v>
      </c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65">
        <v>8.3000000000000004E-2</v>
      </c>
      <c r="B95" s="7" t="s">
        <v>45</v>
      </c>
      <c r="C95" s="396"/>
      <c r="D95" s="414"/>
      <c r="E95" s="417" t="s">
        <v>20</v>
      </c>
      <c r="F95" s="417"/>
      <c r="G95" s="417"/>
      <c r="H95" s="420"/>
      <c r="I95" s="423"/>
      <c r="J95" s="417"/>
      <c r="K95" s="417"/>
      <c r="L95" s="417"/>
      <c r="M95" s="420"/>
      <c r="N95" s="423"/>
      <c r="O95" s="417"/>
      <c r="P95" s="417"/>
      <c r="Q95" s="417"/>
      <c r="R95" s="420"/>
      <c r="S95" s="423"/>
      <c r="T95" s="417"/>
      <c r="U95" s="417"/>
      <c r="V95" s="417"/>
      <c r="W95" s="420"/>
      <c r="X95" s="423"/>
      <c r="Y95" s="417"/>
      <c r="Z95" s="417"/>
      <c r="AA95" s="417"/>
      <c r="AB95" s="420"/>
      <c r="AC95" s="423"/>
      <c r="AD95" s="417"/>
      <c r="AE95" s="417"/>
      <c r="AF95" s="417"/>
      <c r="AG95" s="420"/>
      <c r="AH95" s="423"/>
      <c r="AI95" s="417"/>
      <c r="AJ95" s="417"/>
      <c r="AK95" s="417"/>
      <c r="AL95" s="420"/>
      <c r="AM95" s="423"/>
      <c r="AN95" s="417"/>
      <c r="AO95" s="417"/>
      <c r="AP95" s="417"/>
      <c r="AQ95" s="420"/>
      <c r="AR95" s="423"/>
      <c r="AS95" s="417"/>
      <c r="AT95" s="417"/>
      <c r="AU95" s="417"/>
      <c r="AV95" s="420"/>
      <c r="AW95" s="423"/>
      <c r="AX95" s="417"/>
      <c r="AY95" s="417"/>
      <c r="AZ95" s="417"/>
      <c r="BA95" s="420"/>
      <c r="BB95" s="423"/>
      <c r="BC95" s="417"/>
      <c r="BD95" s="417"/>
      <c r="BE95" s="417"/>
      <c r="BF95" s="420"/>
      <c r="BG95" s="423"/>
      <c r="BH95" s="417"/>
      <c r="BI95" s="417"/>
      <c r="BJ95" s="417"/>
      <c r="BK95" s="420"/>
      <c r="BL95" s="423"/>
      <c r="BM95" s="420"/>
      <c r="BN95" s="167">
        <f t="shared" si="60"/>
        <v>0.3057333333333333</v>
      </c>
      <c r="BO95" s="167">
        <f t="shared" si="61"/>
        <v>0.27700000000000002</v>
      </c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65"/>
      <c r="B96" s="8"/>
      <c r="C96" s="396"/>
      <c r="D96" s="415"/>
      <c r="E96" s="418" t="s">
        <v>20</v>
      </c>
      <c r="F96" s="418"/>
      <c r="G96" s="418"/>
      <c r="H96" s="421"/>
      <c r="I96" s="424"/>
      <c r="J96" s="418"/>
      <c r="K96" s="418"/>
      <c r="L96" s="418"/>
      <c r="M96" s="421"/>
      <c r="N96" s="424"/>
      <c r="O96" s="418"/>
      <c r="P96" s="418"/>
      <c r="Q96" s="418"/>
      <c r="R96" s="421"/>
      <c r="S96" s="424"/>
      <c r="T96" s="418"/>
      <c r="U96" s="418"/>
      <c r="V96" s="418"/>
      <c r="W96" s="421"/>
      <c r="X96" s="424"/>
      <c r="Y96" s="418"/>
      <c r="Z96" s="418"/>
      <c r="AA96" s="418"/>
      <c r="AB96" s="421"/>
      <c r="AC96" s="424"/>
      <c r="AD96" s="418"/>
      <c r="AE96" s="418"/>
      <c r="AF96" s="418"/>
      <c r="AG96" s="421"/>
      <c r="AH96" s="424"/>
      <c r="AI96" s="418"/>
      <c r="AJ96" s="418"/>
      <c r="AK96" s="418"/>
      <c r="AL96" s="421"/>
      <c r="AM96" s="424"/>
      <c r="AN96" s="418"/>
      <c r="AO96" s="418"/>
      <c r="AP96" s="418"/>
      <c r="AQ96" s="421"/>
      <c r="AR96" s="424"/>
      <c r="AS96" s="418"/>
      <c r="AT96" s="418"/>
      <c r="AU96" s="418"/>
      <c r="AV96" s="421"/>
      <c r="AW96" s="424"/>
      <c r="AX96" s="418"/>
      <c r="AY96" s="418"/>
      <c r="AZ96" s="418"/>
      <c r="BA96" s="421"/>
      <c r="BB96" s="424"/>
      <c r="BC96" s="418"/>
      <c r="BD96" s="418"/>
      <c r="BE96" s="418"/>
      <c r="BF96" s="421"/>
      <c r="BG96" s="424"/>
      <c r="BH96" s="418"/>
      <c r="BI96" s="418"/>
      <c r="BJ96" s="418"/>
      <c r="BK96" s="421"/>
      <c r="BL96" s="424"/>
      <c r="BM96" s="421"/>
      <c r="BN96" s="168">
        <f t="shared" si="60"/>
        <v>0.3057333333333333</v>
      </c>
      <c r="BO96" s="168">
        <f t="shared" si="61"/>
        <v>0.27700000000000002</v>
      </c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43</v>
      </c>
      <c r="B97" s="6"/>
      <c r="C97" s="395" t="s">
        <v>305</v>
      </c>
      <c r="D97" s="413">
        <f>MIN(Thickness!D97:D99)</f>
        <v>0.32100000000000001</v>
      </c>
      <c r="E97" s="416">
        <f>MIN(Thickness!E97:E99)</f>
        <v>0.314</v>
      </c>
      <c r="F97" s="416">
        <f>MIN(Thickness!F97:F99)</f>
        <v>0.311</v>
      </c>
      <c r="G97" s="416">
        <f>MIN(Thickness!G97:G99)</f>
        <v>0.32400000000000001</v>
      </c>
      <c r="H97" s="419">
        <f>MIN(Thickness!H97:H99)</f>
        <v>0.308</v>
      </c>
      <c r="I97" s="422">
        <f>MIN(Thickness!I97:I99)</f>
        <v>0.32400000000000001</v>
      </c>
      <c r="J97" s="416">
        <f>MIN(Thickness!J97:J99)</f>
        <v>0.31</v>
      </c>
      <c r="K97" s="416">
        <f>MIN(Thickness!K97:K99)</f>
        <v>0.307</v>
      </c>
      <c r="L97" s="416">
        <f>MIN(Thickness!L97:L99)</f>
        <v>0.307</v>
      </c>
      <c r="M97" s="419">
        <f>MIN(Thickness!M97:M99)</f>
        <v>0.312</v>
      </c>
      <c r="N97" s="422">
        <f>MIN(Thickness!N97:N99)</f>
        <v>0.29899999999999999</v>
      </c>
      <c r="O97" s="416">
        <f>MIN(Thickness!O97:O99)</f>
        <v>0.30599999999999999</v>
      </c>
      <c r="P97" s="416">
        <f>MIN(Thickness!P97:P99)</f>
        <v>0.29899999999999999</v>
      </c>
      <c r="Q97" s="416">
        <f>MIN(Thickness!Q97:Q99)</f>
        <v>0.29799999999999999</v>
      </c>
      <c r="R97" s="419">
        <f>MIN(Thickness!R97:R99)</f>
        <v>0.31</v>
      </c>
      <c r="S97" s="422">
        <f>MIN(Thickness!S97:S99)</f>
        <v>0.311</v>
      </c>
      <c r="T97" s="416">
        <f>MIN(Thickness!T97:T99)</f>
        <v>0.313</v>
      </c>
      <c r="U97" s="416">
        <f>MIN(Thickness!U97:U99)</f>
        <v>0.30399999999999999</v>
      </c>
      <c r="V97" s="416">
        <f>MIN(Thickness!V97:V99)</f>
        <v>0.30499999999999999</v>
      </c>
      <c r="W97" s="419">
        <f>MIN(Thickness!W97:W99)</f>
        <v>0.28499999999999998</v>
      </c>
      <c r="X97" s="422">
        <f>MIN(Thickness!X97:X99)</f>
        <v>0.30099999999999999</v>
      </c>
      <c r="Y97" s="416">
        <f>MIN(Thickness!Y97:Y99)</f>
        <v>0.311</v>
      </c>
      <c r="Z97" s="416">
        <f>MIN(Thickness!Z97:Z99)</f>
        <v>0.27800000000000002</v>
      </c>
      <c r="AA97" s="416">
        <f>MIN(Thickness!AA97:AA99)</f>
        <v>0.30199999999999999</v>
      </c>
      <c r="AB97" s="419">
        <f>MIN(Thickness!AB97:AB99)</f>
        <v>0.30099999999999999</v>
      </c>
      <c r="AC97" s="422">
        <f>MIN(Thickness!AC97:AC99)</f>
        <v>0.29299999999999998</v>
      </c>
      <c r="AD97" s="416">
        <f>MIN(Thickness!AD97:AD99)</f>
        <v>0.30099999999999999</v>
      </c>
      <c r="AE97" s="416">
        <f>MIN(Thickness!AE97:AE99)</f>
        <v>0.317</v>
      </c>
      <c r="AF97" s="416">
        <f>MIN(Thickness!AF97:AF99)</f>
        <v>0.30099999999999999</v>
      </c>
      <c r="AG97" s="419">
        <f>MIN(Thickness!AG97:AG99)</f>
        <v>0.30599999999999999</v>
      </c>
      <c r="AH97" s="422">
        <f>MIN(Thickness!AH97:AH99)</f>
        <v>0.317</v>
      </c>
      <c r="AI97" s="416">
        <f>MIN(Thickness!AI97:AI99)</f>
        <v>0.32600000000000001</v>
      </c>
      <c r="AJ97" s="416">
        <f>MIN(Thickness!AJ97:AJ99)</f>
        <v>0.30099999999999999</v>
      </c>
      <c r="AK97" s="416">
        <f>MIN(Thickness!AK97:AK99)</f>
        <v>0.31</v>
      </c>
      <c r="AL97" s="419">
        <f>MIN(Thickness!AL97:AL99)</f>
        <v>0.315</v>
      </c>
      <c r="AM97" s="422">
        <f>MIN(Thickness!AM97:AM99)</f>
        <v>0.30099999999999999</v>
      </c>
      <c r="AN97" s="416">
        <f>MIN(Thickness!AN97:AN99)</f>
        <v>0.29299999999999998</v>
      </c>
      <c r="AO97" s="416">
        <f>MIN(Thickness!AO97:AO99)</f>
        <v>0.30599999999999999</v>
      </c>
      <c r="AP97" s="416">
        <f>MIN(Thickness!AP97:AP99)</f>
        <v>0.308</v>
      </c>
      <c r="AQ97" s="419">
        <f>MIN(Thickness!AQ97:AQ99)</f>
        <v>0.29099999999999998</v>
      </c>
      <c r="AR97" s="422">
        <f>MIN(Thickness!AR97:AR99)</f>
        <v>0.317</v>
      </c>
      <c r="AS97" s="416">
        <f>MIN(Thickness!AS97:AS99)</f>
        <v>0.309</v>
      </c>
      <c r="AT97" s="416">
        <f>MIN(Thickness!AT97:AT99)</f>
        <v>0.30199999999999999</v>
      </c>
      <c r="AU97" s="416">
        <f>MIN(Thickness!AU97:AU99)</f>
        <v>0.29299999999999998</v>
      </c>
      <c r="AV97" s="419">
        <f>MIN(Thickness!AV97:AV99)</f>
        <v>0.31900000000000001</v>
      </c>
      <c r="AW97" s="422">
        <f>MIN(Thickness!AW97:AW99)</f>
        <v>0.30299999999999999</v>
      </c>
      <c r="AX97" s="416">
        <f>MIN(Thickness!AX97:AX99)</f>
        <v>0.29599999999999999</v>
      </c>
      <c r="AY97" s="416">
        <f>MIN(Thickness!AY97:AY99)</f>
        <v>0.307</v>
      </c>
      <c r="AZ97" s="416">
        <f>MIN(Thickness!AZ97:AZ99)</f>
        <v>0.30099999999999999</v>
      </c>
      <c r="BA97" s="419">
        <f>MIN(Thickness!BA97:BA99)</f>
        <v>0.308</v>
      </c>
      <c r="BB97" s="422" t="s">
        <v>20</v>
      </c>
      <c r="BC97" s="416">
        <f>MIN(Thickness!BC97:BC99)</f>
        <v>0.27700000000000002</v>
      </c>
      <c r="BD97" s="416">
        <f>MIN(Thickness!BD97:BD99)</f>
        <v>0.308</v>
      </c>
      <c r="BE97" s="416">
        <f>MIN(Thickness!BE97:BE99)</f>
        <v>0.30599999999999999</v>
      </c>
      <c r="BF97" s="419">
        <f>MIN(Thickness!BF97:BF99)</f>
        <v>0.31</v>
      </c>
      <c r="BG97" s="422">
        <f>MIN(Thickness!BG97:BG99)</f>
        <v>0.312</v>
      </c>
      <c r="BH97" s="416">
        <f>MIN(Thickness!BH97:BH99)</f>
        <v>0.30599999999999999</v>
      </c>
      <c r="BI97" s="416">
        <f>MIN(Thickness!BI97:BI99)</f>
        <v>0.30199999999999999</v>
      </c>
      <c r="BJ97" s="416" t="s">
        <v>20</v>
      </c>
      <c r="BK97" s="419">
        <f>MIN(Thickness!BK97:BK99)</f>
        <v>0.30599999999999999</v>
      </c>
      <c r="BL97" s="422">
        <f>MIN(Thickness!BL97:BL99)</f>
        <v>0.311</v>
      </c>
      <c r="BM97" s="419">
        <f>MIN(Thickness!BM97:BM99)</f>
        <v>0.30399999999999999</v>
      </c>
      <c r="BN97" s="166">
        <f t="shared" ref="BN97:BN99" si="62">IFERROR(AVERAGE(D97:BM99),0)</f>
        <v>0.3057333333333333</v>
      </c>
      <c r="BO97" s="166">
        <f t="shared" ref="BO97:BO99" si="63">MIN(D97:BM99)</f>
        <v>0.27700000000000002</v>
      </c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65">
        <v>8.3000000000000004E-2</v>
      </c>
      <c r="B98" s="7" t="s">
        <v>46</v>
      </c>
      <c r="C98" s="396"/>
      <c r="D98" s="414"/>
      <c r="E98" s="417"/>
      <c r="F98" s="417"/>
      <c r="G98" s="417"/>
      <c r="H98" s="420"/>
      <c r="I98" s="423"/>
      <c r="J98" s="417"/>
      <c r="K98" s="417"/>
      <c r="L98" s="417"/>
      <c r="M98" s="420"/>
      <c r="N98" s="423"/>
      <c r="O98" s="417"/>
      <c r="P98" s="417"/>
      <c r="Q98" s="417"/>
      <c r="R98" s="420"/>
      <c r="S98" s="423"/>
      <c r="T98" s="417"/>
      <c r="U98" s="417"/>
      <c r="V98" s="417"/>
      <c r="W98" s="420"/>
      <c r="X98" s="423"/>
      <c r="Y98" s="417"/>
      <c r="Z98" s="417"/>
      <c r="AA98" s="417"/>
      <c r="AB98" s="420"/>
      <c r="AC98" s="423"/>
      <c r="AD98" s="417"/>
      <c r="AE98" s="417"/>
      <c r="AF98" s="417"/>
      <c r="AG98" s="420"/>
      <c r="AH98" s="423"/>
      <c r="AI98" s="417"/>
      <c r="AJ98" s="417"/>
      <c r="AK98" s="417"/>
      <c r="AL98" s="420"/>
      <c r="AM98" s="423"/>
      <c r="AN98" s="417"/>
      <c r="AO98" s="417"/>
      <c r="AP98" s="417"/>
      <c r="AQ98" s="420"/>
      <c r="AR98" s="423"/>
      <c r="AS98" s="417"/>
      <c r="AT98" s="417"/>
      <c r="AU98" s="417"/>
      <c r="AV98" s="420"/>
      <c r="AW98" s="423"/>
      <c r="AX98" s="417"/>
      <c r="AY98" s="417"/>
      <c r="AZ98" s="417"/>
      <c r="BA98" s="420"/>
      <c r="BB98" s="423" t="s">
        <v>20</v>
      </c>
      <c r="BC98" s="417"/>
      <c r="BD98" s="417"/>
      <c r="BE98" s="417"/>
      <c r="BF98" s="420"/>
      <c r="BG98" s="423"/>
      <c r="BH98" s="417"/>
      <c r="BI98" s="417"/>
      <c r="BJ98" s="417" t="s">
        <v>20</v>
      </c>
      <c r="BK98" s="420"/>
      <c r="BL98" s="423"/>
      <c r="BM98" s="420"/>
      <c r="BN98" s="167">
        <f t="shared" si="62"/>
        <v>0.30816666666666676</v>
      </c>
      <c r="BO98" s="167">
        <f t="shared" si="63"/>
        <v>0.28299999999999997</v>
      </c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65"/>
      <c r="B99" s="8"/>
      <c r="C99" s="396"/>
      <c r="D99" s="415"/>
      <c r="E99" s="418"/>
      <c r="F99" s="418"/>
      <c r="G99" s="418"/>
      <c r="H99" s="421"/>
      <c r="I99" s="424"/>
      <c r="J99" s="418"/>
      <c r="K99" s="418"/>
      <c r="L99" s="418"/>
      <c r="M99" s="421"/>
      <c r="N99" s="424"/>
      <c r="O99" s="418"/>
      <c r="P99" s="418"/>
      <c r="Q99" s="418"/>
      <c r="R99" s="421"/>
      <c r="S99" s="424"/>
      <c r="T99" s="418"/>
      <c r="U99" s="418"/>
      <c r="V99" s="418"/>
      <c r="W99" s="421"/>
      <c r="X99" s="424"/>
      <c r="Y99" s="418"/>
      <c r="Z99" s="418"/>
      <c r="AA99" s="418"/>
      <c r="AB99" s="421"/>
      <c r="AC99" s="424"/>
      <c r="AD99" s="418"/>
      <c r="AE99" s="418"/>
      <c r="AF99" s="418"/>
      <c r="AG99" s="421"/>
      <c r="AH99" s="424"/>
      <c r="AI99" s="418"/>
      <c r="AJ99" s="418"/>
      <c r="AK99" s="418"/>
      <c r="AL99" s="421"/>
      <c r="AM99" s="424"/>
      <c r="AN99" s="418"/>
      <c r="AO99" s="418"/>
      <c r="AP99" s="418"/>
      <c r="AQ99" s="421"/>
      <c r="AR99" s="424"/>
      <c r="AS99" s="418"/>
      <c r="AT99" s="418"/>
      <c r="AU99" s="418"/>
      <c r="AV99" s="421"/>
      <c r="AW99" s="424"/>
      <c r="AX99" s="418"/>
      <c r="AY99" s="418"/>
      <c r="AZ99" s="418"/>
      <c r="BA99" s="421"/>
      <c r="BB99" s="424" t="s">
        <v>20</v>
      </c>
      <c r="BC99" s="418"/>
      <c r="BD99" s="418"/>
      <c r="BE99" s="418"/>
      <c r="BF99" s="421"/>
      <c r="BG99" s="424"/>
      <c r="BH99" s="418"/>
      <c r="BI99" s="418"/>
      <c r="BJ99" s="418" t="s">
        <v>20</v>
      </c>
      <c r="BK99" s="421"/>
      <c r="BL99" s="424"/>
      <c r="BM99" s="421"/>
      <c r="BN99" s="168">
        <f t="shared" si="62"/>
        <v>0.30816666666666676</v>
      </c>
      <c r="BO99" s="168">
        <f t="shared" si="63"/>
        <v>0.28299999999999997</v>
      </c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43</v>
      </c>
      <c r="B100" s="6"/>
      <c r="C100" s="395" t="s">
        <v>305</v>
      </c>
      <c r="D100" s="413">
        <f>MIN(Thickness!D100:D102)</f>
        <v>0.32</v>
      </c>
      <c r="E100" s="416">
        <f>MIN(Thickness!E100:E102)</f>
        <v>0.316</v>
      </c>
      <c r="F100" s="416">
        <f>MIN(Thickness!F100:F102)</f>
        <v>0.316</v>
      </c>
      <c r="G100" s="416">
        <f>MIN(Thickness!G100:G102)</f>
        <v>0.31900000000000001</v>
      </c>
      <c r="H100" s="419">
        <f>MIN(Thickness!H100:H102)</f>
        <v>0.30099999999999999</v>
      </c>
      <c r="I100" s="422">
        <f>MIN(Thickness!I100:I102)</f>
        <v>0.317</v>
      </c>
      <c r="J100" s="416">
        <f>MIN(Thickness!J100:J102)</f>
        <v>0.315</v>
      </c>
      <c r="K100" s="416">
        <f>MIN(Thickness!K100:K102)</f>
        <v>0.313</v>
      </c>
      <c r="L100" s="416">
        <f>MIN(Thickness!L100:L102)</f>
        <v>0.30299999999999999</v>
      </c>
      <c r="M100" s="419">
        <f>MIN(Thickness!M100:M102)</f>
        <v>0.30199999999999999</v>
      </c>
      <c r="N100" s="422">
        <f>MIN(Thickness!N100:N102)</f>
        <v>0.29499999999999998</v>
      </c>
      <c r="O100" s="416">
        <f>MIN(Thickness!O100:O102)</f>
        <v>0.308</v>
      </c>
      <c r="P100" s="416">
        <f>MIN(Thickness!P100:P102)</f>
        <v>0.30099999999999999</v>
      </c>
      <c r="Q100" s="416">
        <f>MIN(Thickness!Q100:Q102)</f>
        <v>0.28999999999999998</v>
      </c>
      <c r="R100" s="419">
        <f>MIN(Thickness!R100:R102)</f>
        <v>0.311</v>
      </c>
      <c r="S100" s="422">
        <f>MIN(Thickness!S100:S102)</f>
        <v>0.314</v>
      </c>
      <c r="T100" s="416">
        <f>MIN(Thickness!T100:T102)</f>
        <v>0.309</v>
      </c>
      <c r="U100" s="416">
        <f>MIN(Thickness!U100:U102)</f>
        <v>0.312</v>
      </c>
      <c r="V100" s="416">
        <f>MIN(Thickness!V100:V102)</f>
        <v>0.28299999999999997</v>
      </c>
      <c r="W100" s="419">
        <f>MIN(Thickness!W100:W102)</f>
        <v>0.30099999999999999</v>
      </c>
      <c r="X100" s="422">
        <f>MIN(Thickness!X100:X102)</f>
        <v>0.314</v>
      </c>
      <c r="Y100" s="416">
        <f>MIN(Thickness!Y100:Y102)</f>
        <v>0.311</v>
      </c>
      <c r="Z100" s="416">
        <f>MIN(Thickness!Z100:Z102)</f>
        <v>0.307</v>
      </c>
      <c r="AA100" s="416">
        <f>MIN(Thickness!AA100:AA102)</f>
        <v>0.3</v>
      </c>
      <c r="AB100" s="419">
        <f>MIN(Thickness!AB100:AB102)</f>
        <v>0.311</v>
      </c>
      <c r="AC100" s="422">
        <f>MIN(Thickness!AC100:AC102)</f>
        <v>0.30599999999999999</v>
      </c>
      <c r="AD100" s="416">
        <f>MIN(Thickness!AD100:AD102)</f>
        <v>0.32500000000000001</v>
      </c>
      <c r="AE100" s="416">
        <f>MIN(Thickness!AE100:AE102)</f>
        <v>0.32300000000000001</v>
      </c>
      <c r="AF100" s="416">
        <f>MIN(Thickness!AF100:AF102)</f>
        <v>0.313</v>
      </c>
      <c r="AG100" s="419">
        <f>MIN(Thickness!AG100:AG102)</f>
        <v>0.31900000000000001</v>
      </c>
      <c r="AH100" s="422">
        <f>MIN(Thickness!AH100:AH102)</f>
        <v>0.32200000000000001</v>
      </c>
      <c r="AI100" s="416">
        <f>MIN(Thickness!AI100:AI102)</f>
        <v>0.31900000000000001</v>
      </c>
      <c r="AJ100" s="416">
        <f>MIN(Thickness!AJ100:AJ102)</f>
        <v>0.317</v>
      </c>
      <c r="AK100" s="416">
        <f>MIN(Thickness!AK100:AK102)</f>
        <v>0.315</v>
      </c>
      <c r="AL100" s="419">
        <f>MIN(Thickness!AL100:AL102)</f>
        <v>0.30399999999999999</v>
      </c>
      <c r="AM100" s="422">
        <f>MIN(Thickness!AM100:AM102)</f>
        <v>0.313</v>
      </c>
      <c r="AN100" s="416">
        <f>MIN(Thickness!AN100:AN102)</f>
        <v>0.29399999999999998</v>
      </c>
      <c r="AO100" s="416">
        <f>MIN(Thickness!AO100:AO102)</f>
        <v>0.30299999999999999</v>
      </c>
      <c r="AP100" s="416">
        <f>MIN(Thickness!AP100:AP102)</f>
        <v>0.30299999999999999</v>
      </c>
      <c r="AQ100" s="419">
        <f>MIN(Thickness!AQ100:AQ102)</f>
        <v>0.29899999999999999</v>
      </c>
      <c r="AR100" s="422">
        <f>MIN(Thickness!AR100:AR102)</f>
        <v>0.309</v>
      </c>
      <c r="AS100" s="416">
        <f>MIN(Thickness!AS100:AS102)</f>
        <v>0.30099999999999999</v>
      </c>
      <c r="AT100" s="416">
        <f>MIN(Thickness!AT100:AT102)</f>
        <v>0.30099999999999999</v>
      </c>
      <c r="AU100" s="416">
        <f>MIN(Thickness!AU100:AU102)</f>
        <v>0.29599999999999999</v>
      </c>
      <c r="AV100" s="419">
        <f>MIN(Thickness!AV100:AV102)</f>
        <v>0.29299999999999998</v>
      </c>
      <c r="AW100" s="422">
        <f>MIN(Thickness!AW100:AW102)</f>
        <v>0.30199999999999999</v>
      </c>
      <c r="AX100" s="416">
        <f>MIN(Thickness!AX100:AX102)</f>
        <v>0.3</v>
      </c>
      <c r="AY100" s="416">
        <f>MIN(Thickness!AY100:AY102)</f>
        <v>0.29199999999999998</v>
      </c>
      <c r="AZ100" s="416">
        <f>MIN(Thickness!AZ100:AZ102)</f>
        <v>0.29499999999999998</v>
      </c>
      <c r="BA100" s="419">
        <f>MIN(Thickness!BA100:BA102)</f>
        <v>0.29499999999999998</v>
      </c>
      <c r="BB100" s="422">
        <f>MIN(Thickness!BB100:BB102)</f>
        <v>0.29299999999999998</v>
      </c>
      <c r="BC100" s="416">
        <f>MIN(Thickness!BC100:BC102)</f>
        <v>0.307</v>
      </c>
      <c r="BD100" s="416">
        <f>MIN(Thickness!BD100:BD102)</f>
        <v>0.29699999999999999</v>
      </c>
      <c r="BE100" s="416">
        <f>MIN(Thickness!BE100:BE102)</f>
        <v>0.29199999999999998</v>
      </c>
      <c r="BF100" s="419">
        <f>MIN(Thickness!BF100:BF102)</f>
        <v>0.30099999999999999</v>
      </c>
      <c r="BG100" s="422">
        <f>MIN(Thickness!BG100:BG102)</f>
        <v>0.32400000000000001</v>
      </c>
      <c r="BH100" s="416">
        <f>MIN(Thickness!BH100:BH102)</f>
        <v>0.318</v>
      </c>
      <c r="BI100" s="416">
        <f>MIN(Thickness!BI100:BI102)</f>
        <v>0.316</v>
      </c>
      <c r="BJ100" s="416">
        <f>MIN(Thickness!BJ100:BJ102)</f>
        <v>0.373</v>
      </c>
      <c r="BK100" s="419" t="s">
        <v>20</v>
      </c>
      <c r="BL100" s="422" t="s">
        <v>20</v>
      </c>
      <c r="BM100" s="419">
        <f>MIN(Thickness!BM100:BM102)</f>
        <v>0.32100000000000001</v>
      </c>
      <c r="BN100" s="166">
        <f t="shared" ref="BN100:BN102" si="64">IFERROR(AVERAGE(D100:BM102),0)</f>
        <v>0.30816666666666676</v>
      </c>
      <c r="BO100" s="166">
        <f t="shared" ref="BO100:BO102" si="65">MIN(D100:BM102)</f>
        <v>0.28299999999999997</v>
      </c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65">
        <v>8.3000000000000004E-2</v>
      </c>
      <c r="B101" s="7" t="s">
        <v>47</v>
      </c>
      <c r="C101" s="396"/>
      <c r="D101" s="414"/>
      <c r="E101" s="417"/>
      <c r="F101" s="417"/>
      <c r="G101" s="417"/>
      <c r="H101" s="420"/>
      <c r="I101" s="423"/>
      <c r="J101" s="417"/>
      <c r="K101" s="417"/>
      <c r="L101" s="417"/>
      <c r="M101" s="420"/>
      <c r="N101" s="423"/>
      <c r="O101" s="417"/>
      <c r="P101" s="417"/>
      <c r="Q101" s="417"/>
      <c r="R101" s="420"/>
      <c r="S101" s="423"/>
      <c r="T101" s="417"/>
      <c r="U101" s="417"/>
      <c r="V101" s="417"/>
      <c r="W101" s="420"/>
      <c r="X101" s="423"/>
      <c r="Y101" s="417"/>
      <c r="Z101" s="417"/>
      <c r="AA101" s="417"/>
      <c r="AB101" s="420"/>
      <c r="AC101" s="423"/>
      <c r="AD101" s="417"/>
      <c r="AE101" s="417"/>
      <c r="AF101" s="417"/>
      <c r="AG101" s="420"/>
      <c r="AH101" s="423"/>
      <c r="AI101" s="417"/>
      <c r="AJ101" s="417"/>
      <c r="AK101" s="417"/>
      <c r="AL101" s="420"/>
      <c r="AM101" s="423"/>
      <c r="AN101" s="417"/>
      <c r="AO101" s="417"/>
      <c r="AP101" s="417"/>
      <c r="AQ101" s="420"/>
      <c r="AR101" s="423"/>
      <c r="AS101" s="417"/>
      <c r="AT101" s="417"/>
      <c r="AU101" s="417"/>
      <c r="AV101" s="420"/>
      <c r="AW101" s="423"/>
      <c r="AX101" s="417"/>
      <c r="AY101" s="417"/>
      <c r="AZ101" s="417"/>
      <c r="BA101" s="420"/>
      <c r="BB101" s="423"/>
      <c r="BC101" s="417"/>
      <c r="BD101" s="417"/>
      <c r="BE101" s="417"/>
      <c r="BF101" s="420"/>
      <c r="BG101" s="423"/>
      <c r="BH101" s="417"/>
      <c r="BI101" s="417"/>
      <c r="BJ101" s="417"/>
      <c r="BK101" s="420" t="s">
        <v>20</v>
      </c>
      <c r="BL101" s="423" t="s">
        <v>20</v>
      </c>
      <c r="BM101" s="420"/>
      <c r="BN101" s="167">
        <f t="shared" si="64"/>
        <v>0.31189473684210534</v>
      </c>
      <c r="BO101" s="167">
        <f t="shared" si="65"/>
        <v>0.29699999999999999</v>
      </c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65"/>
      <c r="B102" s="8"/>
      <c r="C102" s="396"/>
      <c r="D102" s="415"/>
      <c r="E102" s="418"/>
      <c r="F102" s="418"/>
      <c r="G102" s="418"/>
      <c r="H102" s="421"/>
      <c r="I102" s="424"/>
      <c r="J102" s="418"/>
      <c r="K102" s="418"/>
      <c r="L102" s="418"/>
      <c r="M102" s="421"/>
      <c r="N102" s="424"/>
      <c r="O102" s="418"/>
      <c r="P102" s="418"/>
      <c r="Q102" s="418"/>
      <c r="R102" s="421"/>
      <c r="S102" s="424"/>
      <c r="T102" s="418"/>
      <c r="U102" s="418"/>
      <c r="V102" s="418"/>
      <c r="W102" s="421"/>
      <c r="X102" s="424"/>
      <c r="Y102" s="418"/>
      <c r="Z102" s="418"/>
      <c r="AA102" s="418"/>
      <c r="AB102" s="421"/>
      <c r="AC102" s="424"/>
      <c r="AD102" s="418"/>
      <c r="AE102" s="418"/>
      <c r="AF102" s="418"/>
      <c r="AG102" s="421"/>
      <c r="AH102" s="424"/>
      <c r="AI102" s="418"/>
      <c r="AJ102" s="418"/>
      <c r="AK102" s="418"/>
      <c r="AL102" s="421"/>
      <c r="AM102" s="424"/>
      <c r="AN102" s="418"/>
      <c r="AO102" s="418"/>
      <c r="AP102" s="418"/>
      <c r="AQ102" s="421"/>
      <c r="AR102" s="424"/>
      <c r="AS102" s="418"/>
      <c r="AT102" s="418"/>
      <c r="AU102" s="418"/>
      <c r="AV102" s="421"/>
      <c r="AW102" s="424"/>
      <c r="AX102" s="418"/>
      <c r="AY102" s="418"/>
      <c r="AZ102" s="418"/>
      <c r="BA102" s="421"/>
      <c r="BB102" s="424"/>
      <c r="BC102" s="418"/>
      <c r="BD102" s="418"/>
      <c r="BE102" s="418"/>
      <c r="BF102" s="421"/>
      <c r="BG102" s="424"/>
      <c r="BH102" s="418"/>
      <c r="BI102" s="418"/>
      <c r="BJ102" s="418"/>
      <c r="BK102" s="421" t="s">
        <v>20</v>
      </c>
      <c r="BL102" s="424" t="s">
        <v>20</v>
      </c>
      <c r="BM102" s="421"/>
      <c r="BN102" s="168">
        <f t="shared" si="64"/>
        <v>0.31189473684210534</v>
      </c>
      <c r="BO102" s="168">
        <f t="shared" si="65"/>
        <v>0.29699999999999999</v>
      </c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43</v>
      </c>
      <c r="B103" s="6" t="s">
        <v>9</v>
      </c>
      <c r="C103" s="395" t="s">
        <v>305</v>
      </c>
      <c r="D103" s="413" t="s">
        <v>11</v>
      </c>
      <c r="E103" s="416" t="s">
        <v>11</v>
      </c>
      <c r="F103" s="416">
        <f>MIN(Thickness!F103:F105)</f>
        <v>0.32</v>
      </c>
      <c r="G103" s="416">
        <f>MIN(Thickness!G103:G105)</f>
        <v>0.32300000000000001</v>
      </c>
      <c r="H103" s="419" t="s">
        <v>11</v>
      </c>
      <c r="I103" s="422">
        <f>MIN(Thickness!I103:I105)</f>
        <v>0.32500000000000001</v>
      </c>
      <c r="J103" s="416">
        <f>MIN(Thickness!J103:J105)</f>
        <v>0.312</v>
      </c>
      <c r="K103" s="416" t="s">
        <v>11</v>
      </c>
      <c r="L103" s="416">
        <f>MIN(Thickness!L103:L105)</f>
        <v>0.307</v>
      </c>
      <c r="M103" s="419">
        <f>MIN(Thickness!M103:M105)</f>
        <v>0.30499999999999999</v>
      </c>
      <c r="N103" s="422" t="s">
        <v>11</v>
      </c>
      <c r="O103" s="416">
        <f>MIN(Thickness!O103:O105)</f>
        <v>0.29699999999999999</v>
      </c>
      <c r="P103" s="416">
        <f>MIN(Thickness!P103:P105)</f>
        <v>0.30399999999999999</v>
      </c>
      <c r="Q103" s="416" t="s">
        <v>11</v>
      </c>
      <c r="R103" s="419">
        <f>MIN(Thickness!R103:R105)</f>
        <v>0.317</v>
      </c>
      <c r="S103" s="422">
        <f>MIN(Thickness!S103:S105)</f>
        <v>0.313</v>
      </c>
      <c r="T103" s="416" t="s">
        <v>11</v>
      </c>
      <c r="U103" s="416">
        <f>MIN(Thickness!U103:U105)</f>
        <v>0.30599999999999999</v>
      </c>
      <c r="V103" s="416">
        <f>MIN(Thickness!V103:V105)</f>
        <v>0.314</v>
      </c>
      <c r="W103" s="419" t="s">
        <v>11</v>
      </c>
      <c r="X103" s="422">
        <f>MIN(Thickness!X103:X105)</f>
        <v>0.317</v>
      </c>
      <c r="Y103" s="416">
        <f>MIN(Thickness!Y103:Y105)</f>
        <v>0.31</v>
      </c>
      <c r="Z103" s="416" t="s">
        <v>11</v>
      </c>
      <c r="AA103" s="416">
        <f>MIN(Thickness!AA103:AA105)</f>
        <v>0.309</v>
      </c>
      <c r="AB103" s="419">
        <f>MIN(Thickness!AB103:AB105)</f>
        <v>0.318</v>
      </c>
      <c r="AC103" s="422" t="s">
        <v>11</v>
      </c>
      <c r="AD103" s="416" t="s">
        <v>11</v>
      </c>
      <c r="AE103" s="416">
        <f>MIN(Thickness!AE103:AE105)</f>
        <v>0.30399999999999999</v>
      </c>
      <c r="AF103" s="416">
        <f>MIN(Thickness!AF103:AF105)</f>
        <v>0.30599999999999999</v>
      </c>
      <c r="AG103" s="419" t="s">
        <v>11</v>
      </c>
      <c r="AH103" s="422">
        <f>MIN(Thickness!AH103:AH105)</f>
        <v>0.312</v>
      </c>
      <c r="AI103" s="416">
        <f>MIN(Thickness!AI103:AI105)</f>
        <v>0.32</v>
      </c>
      <c r="AJ103" s="416" t="s">
        <v>11</v>
      </c>
      <c r="AK103" s="416">
        <f>MIN(Thickness!AK103:AK105)</f>
        <v>0.29699999999999999</v>
      </c>
      <c r="AL103" s="419">
        <f>MIN(Thickness!AL103:AL105)</f>
        <v>0.307</v>
      </c>
      <c r="AM103" s="422" t="s">
        <v>11</v>
      </c>
      <c r="AN103" s="416" t="s">
        <v>11</v>
      </c>
      <c r="AO103" s="416">
        <f>MIN(Thickness!AO103:AO105)</f>
        <v>0.317</v>
      </c>
      <c r="AP103" s="416">
        <f>MIN(Thickness!AP103:AP105)</f>
        <v>0.31900000000000001</v>
      </c>
      <c r="AQ103" s="419" t="s">
        <v>11</v>
      </c>
      <c r="AR103" s="422">
        <f>MIN(Thickness!AR103:AR105)</f>
        <v>0.311</v>
      </c>
      <c r="AS103" s="416">
        <f>MIN(Thickness!AS103:AS105)</f>
        <v>0.313</v>
      </c>
      <c r="AT103" s="416" t="s">
        <v>11</v>
      </c>
      <c r="AU103" s="416">
        <f>MIN(Thickness!AU103:AU105)</f>
        <v>0.30099999999999999</v>
      </c>
      <c r="AV103" s="419">
        <f>MIN(Thickness!AV103:AV105)</f>
        <v>0.314</v>
      </c>
      <c r="AW103" s="422" t="s">
        <v>11</v>
      </c>
      <c r="AX103" s="416">
        <f>MIN(Thickness!AX103:AX105)</f>
        <v>0.29699999999999999</v>
      </c>
      <c r="AY103" s="416">
        <f>MIN(Thickness!AY103:AY105)</f>
        <v>0.30599999999999999</v>
      </c>
      <c r="AZ103" s="416" t="s">
        <v>11</v>
      </c>
      <c r="BA103" s="419">
        <f>MIN(Thickness!BA103:BA105)</f>
        <v>0.315</v>
      </c>
      <c r="BB103" s="422">
        <f>MIN(Thickness!BB103:BB105)</f>
        <v>0.314</v>
      </c>
      <c r="BC103" s="416" t="s">
        <v>11</v>
      </c>
      <c r="BD103" s="416">
        <f>MIN(Thickness!BD103:BD105)</f>
        <v>0.316</v>
      </c>
      <c r="BE103" s="416">
        <f>MIN(Thickness!BE103:BE105)</f>
        <v>0.308</v>
      </c>
      <c r="BF103" s="419" t="s">
        <v>11</v>
      </c>
      <c r="BG103" s="422">
        <f>MIN(Thickness!BG103:BG105)</f>
        <v>0.32600000000000001</v>
      </c>
      <c r="BH103" s="416">
        <f>MIN(Thickness!BH103:BH105)</f>
        <v>0.31900000000000001</v>
      </c>
      <c r="BI103" s="416" t="s">
        <v>11</v>
      </c>
      <c r="BJ103" s="416">
        <f>MIN(Thickness!BJ103:BJ105)</f>
        <v>0.318</v>
      </c>
      <c r="BK103" s="419">
        <f>MIN(Thickness!BK103:BK105)</f>
        <v>0.315</v>
      </c>
      <c r="BL103" s="422" t="s">
        <v>11</v>
      </c>
      <c r="BM103" s="419" t="s">
        <v>11</v>
      </c>
      <c r="BN103" s="166">
        <f t="shared" ref="BN103:BN105" si="66">IFERROR(AVERAGE(D103:BM105),0)</f>
        <v>0.31189473684210534</v>
      </c>
      <c r="BO103" s="166">
        <f t="shared" ref="BO103:BO105" si="67">MIN(D103:BM105)</f>
        <v>0.29699999999999999</v>
      </c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65">
        <v>8.3000000000000004E-2</v>
      </c>
      <c r="B104" s="7" t="s">
        <v>12</v>
      </c>
      <c r="C104" s="396"/>
      <c r="D104" s="414" t="s">
        <v>11</v>
      </c>
      <c r="E104" s="417" t="s">
        <v>11</v>
      </c>
      <c r="F104" s="417"/>
      <c r="G104" s="417"/>
      <c r="H104" s="420" t="s">
        <v>11</v>
      </c>
      <c r="I104" s="423"/>
      <c r="J104" s="417"/>
      <c r="K104" s="417" t="s">
        <v>11</v>
      </c>
      <c r="L104" s="417"/>
      <c r="M104" s="420"/>
      <c r="N104" s="423" t="s">
        <v>11</v>
      </c>
      <c r="O104" s="417"/>
      <c r="P104" s="417"/>
      <c r="Q104" s="417" t="s">
        <v>11</v>
      </c>
      <c r="R104" s="420"/>
      <c r="S104" s="423"/>
      <c r="T104" s="417" t="s">
        <v>11</v>
      </c>
      <c r="U104" s="417"/>
      <c r="V104" s="417"/>
      <c r="W104" s="420" t="s">
        <v>11</v>
      </c>
      <c r="X104" s="423"/>
      <c r="Y104" s="417"/>
      <c r="Z104" s="417" t="s">
        <v>11</v>
      </c>
      <c r="AA104" s="417"/>
      <c r="AB104" s="420"/>
      <c r="AC104" s="423" t="s">
        <v>11</v>
      </c>
      <c r="AD104" s="417" t="s">
        <v>11</v>
      </c>
      <c r="AE104" s="417"/>
      <c r="AF104" s="417"/>
      <c r="AG104" s="420" t="s">
        <v>11</v>
      </c>
      <c r="AH104" s="423"/>
      <c r="AI104" s="417"/>
      <c r="AJ104" s="417" t="s">
        <v>11</v>
      </c>
      <c r="AK104" s="417"/>
      <c r="AL104" s="420"/>
      <c r="AM104" s="423" t="s">
        <v>11</v>
      </c>
      <c r="AN104" s="417" t="s">
        <v>11</v>
      </c>
      <c r="AO104" s="417"/>
      <c r="AP104" s="417"/>
      <c r="AQ104" s="420" t="s">
        <v>11</v>
      </c>
      <c r="AR104" s="423"/>
      <c r="AS104" s="417"/>
      <c r="AT104" s="417" t="s">
        <v>11</v>
      </c>
      <c r="AU104" s="417"/>
      <c r="AV104" s="420"/>
      <c r="AW104" s="423" t="s">
        <v>11</v>
      </c>
      <c r="AX104" s="417"/>
      <c r="AY104" s="417"/>
      <c r="AZ104" s="417" t="s">
        <v>11</v>
      </c>
      <c r="BA104" s="420"/>
      <c r="BB104" s="423"/>
      <c r="BC104" s="417" t="s">
        <v>11</v>
      </c>
      <c r="BD104" s="417"/>
      <c r="BE104" s="417"/>
      <c r="BF104" s="420" t="s">
        <v>11</v>
      </c>
      <c r="BG104" s="423"/>
      <c r="BH104" s="417"/>
      <c r="BI104" s="417" t="s">
        <v>11</v>
      </c>
      <c r="BJ104" s="417"/>
      <c r="BK104" s="420"/>
      <c r="BL104" s="423" t="s">
        <v>11</v>
      </c>
      <c r="BM104" s="420" t="s">
        <v>11</v>
      </c>
      <c r="BN104" s="167">
        <f t="shared" si="66"/>
        <v>0.30857894736842101</v>
      </c>
      <c r="BO104" s="167">
        <f t="shared" si="67"/>
        <v>0.29499999999999998</v>
      </c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65"/>
      <c r="B105" s="8" t="s">
        <v>48</v>
      </c>
      <c r="C105" s="396"/>
      <c r="D105" s="415" t="s">
        <v>11</v>
      </c>
      <c r="E105" s="418" t="s">
        <v>11</v>
      </c>
      <c r="F105" s="418"/>
      <c r="G105" s="418"/>
      <c r="H105" s="421" t="s">
        <v>11</v>
      </c>
      <c r="I105" s="424"/>
      <c r="J105" s="418"/>
      <c r="K105" s="418" t="s">
        <v>11</v>
      </c>
      <c r="L105" s="418"/>
      <c r="M105" s="421"/>
      <c r="N105" s="424" t="s">
        <v>11</v>
      </c>
      <c r="O105" s="418"/>
      <c r="P105" s="418"/>
      <c r="Q105" s="418" t="s">
        <v>11</v>
      </c>
      <c r="R105" s="421"/>
      <c r="S105" s="424"/>
      <c r="T105" s="418" t="s">
        <v>11</v>
      </c>
      <c r="U105" s="418"/>
      <c r="V105" s="418"/>
      <c r="W105" s="421" t="s">
        <v>11</v>
      </c>
      <c r="X105" s="424"/>
      <c r="Y105" s="418"/>
      <c r="Z105" s="418" t="s">
        <v>11</v>
      </c>
      <c r="AA105" s="418"/>
      <c r="AB105" s="421"/>
      <c r="AC105" s="424" t="s">
        <v>11</v>
      </c>
      <c r="AD105" s="418" t="s">
        <v>11</v>
      </c>
      <c r="AE105" s="418"/>
      <c r="AF105" s="418"/>
      <c r="AG105" s="421" t="s">
        <v>11</v>
      </c>
      <c r="AH105" s="424"/>
      <c r="AI105" s="418"/>
      <c r="AJ105" s="418" t="s">
        <v>11</v>
      </c>
      <c r="AK105" s="418"/>
      <c r="AL105" s="421"/>
      <c r="AM105" s="424" t="s">
        <v>11</v>
      </c>
      <c r="AN105" s="418" t="s">
        <v>11</v>
      </c>
      <c r="AO105" s="418"/>
      <c r="AP105" s="418"/>
      <c r="AQ105" s="421" t="s">
        <v>11</v>
      </c>
      <c r="AR105" s="424"/>
      <c r="AS105" s="418"/>
      <c r="AT105" s="418" t="s">
        <v>11</v>
      </c>
      <c r="AU105" s="418"/>
      <c r="AV105" s="421"/>
      <c r="AW105" s="424" t="s">
        <v>11</v>
      </c>
      <c r="AX105" s="418"/>
      <c r="AY105" s="418"/>
      <c r="AZ105" s="418" t="s">
        <v>11</v>
      </c>
      <c r="BA105" s="421"/>
      <c r="BB105" s="424"/>
      <c r="BC105" s="418" t="s">
        <v>11</v>
      </c>
      <c r="BD105" s="418"/>
      <c r="BE105" s="418"/>
      <c r="BF105" s="421" t="s">
        <v>11</v>
      </c>
      <c r="BG105" s="424"/>
      <c r="BH105" s="418"/>
      <c r="BI105" s="418" t="s">
        <v>11</v>
      </c>
      <c r="BJ105" s="418"/>
      <c r="BK105" s="421"/>
      <c r="BL105" s="424" t="s">
        <v>11</v>
      </c>
      <c r="BM105" s="421" t="s">
        <v>11</v>
      </c>
      <c r="BN105" s="168">
        <f t="shared" si="66"/>
        <v>0.30857894736842101</v>
      </c>
      <c r="BO105" s="168">
        <f t="shared" si="67"/>
        <v>0.29499999999999998</v>
      </c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43</v>
      </c>
      <c r="B106" s="6" t="s">
        <v>15</v>
      </c>
      <c r="C106" s="395" t="s">
        <v>305</v>
      </c>
      <c r="D106" s="413" t="s">
        <v>11</v>
      </c>
      <c r="E106" s="416" t="s">
        <v>11</v>
      </c>
      <c r="F106" s="416">
        <f>MIN(Thickness!F106:F108)</f>
        <v>0.31</v>
      </c>
      <c r="G106" s="416">
        <f>MIN(Thickness!G106:G108)</f>
        <v>0.314</v>
      </c>
      <c r="H106" s="419" t="s">
        <v>11</v>
      </c>
      <c r="I106" s="422">
        <f>MIN(Thickness!I106:I108)</f>
        <v>0.313</v>
      </c>
      <c r="J106" s="416">
        <f>MIN(Thickness!J106:J108)</f>
        <v>0.315</v>
      </c>
      <c r="K106" s="416" t="s">
        <v>11</v>
      </c>
      <c r="L106" s="416">
        <f>MIN(Thickness!L106:L108)</f>
        <v>0.314</v>
      </c>
      <c r="M106" s="419">
        <f>MIN(Thickness!M106:M108)</f>
        <v>0.307</v>
      </c>
      <c r="N106" s="422" t="s">
        <v>11</v>
      </c>
      <c r="O106" s="416">
        <f>MIN(Thickness!O106:O108)</f>
        <v>0.3</v>
      </c>
      <c r="P106" s="416">
        <f>MIN(Thickness!P106:P108)</f>
        <v>0.30499999999999999</v>
      </c>
      <c r="Q106" s="416" t="s">
        <v>11</v>
      </c>
      <c r="R106" s="419">
        <f>MIN(Thickness!R106:R108)</f>
        <v>0.308</v>
      </c>
      <c r="S106" s="422">
        <f>MIN(Thickness!S106:S108)</f>
        <v>0.318</v>
      </c>
      <c r="T106" s="416" t="s">
        <v>11</v>
      </c>
      <c r="U106" s="416">
        <f>MIN(Thickness!U106:U108)</f>
        <v>0.307</v>
      </c>
      <c r="V106" s="416">
        <f>MIN(Thickness!V106:V108)</f>
        <v>0.30599999999999999</v>
      </c>
      <c r="W106" s="419" t="s">
        <v>11</v>
      </c>
      <c r="X106" s="422">
        <f>MIN(Thickness!X106:X108)</f>
        <v>0.30599999999999999</v>
      </c>
      <c r="Y106" s="416">
        <f>MIN(Thickness!Y106:Y108)</f>
        <v>0.317</v>
      </c>
      <c r="Z106" s="416" t="s">
        <v>11</v>
      </c>
      <c r="AA106" s="416">
        <f>MIN(Thickness!AA106:AA108)</f>
        <v>0.307</v>
      </c>
      <c r="AB106" s="419">
        <f>MIN(Thickness!AB106:AB108)</f>
        <v>0.308</v>
      </c>
      <c r="AC106" s="422" t="s">
        <v>11</v>
      </c>
      <c r="AD106" s="416" t="s">
        <v>11</v>
      </c>
      <c r="AE106" s="416">
        <f>MIN(Thickness!AE106:AE108)</f>
        <v>0.30299999999999999</v>
      </c>
      <c r="AF106" s="416">
        <f>MIN(Thickness!AF106:AF108)</f>
        <v>0.32300000000000001</v>
      </c>
      <c r="AG106" s="419" t="s">
        <v>11</v>
      </c>
      <c r="AH106" s="422">
        <f>MIN(Thickness!AH106:AH108)</f>
        <v>0.30599999999999999</v>
      </c>
      <c r="AI106" s="416">
        <f>MIN(Thickness!AI106:AI108)</f>
        <v>0.317</v>
      </c>
      <c r="AJ106" s="416" t="s">
        <v>11</v>
      </c>
      <c r="AK106" s="416">
        <f>MIN(Thickness!AK106:AK108)</f>
        <v>0.3</v>
      </c>
      <c r="AL106" s="419">
        <f>MIN(Thickness!AL106:AL108)</f>
        <v>0.317</v>
      </c>
      <c r="AM106" s="422" t="s">
        <v>11</v>
      </c>
      <c r="AN106" s="416" t="s">
        <v>11</v>
      </c>
      <c r="AO106" s="416">
        <f>MIN(Thickness!AO106:AO108)</f>
        <v>0.308</v>
      </c>
      <c r="AP106" s="416">
        <f>MIN(Thickness!AP106:AP108)</f>
        <v>0.309</v>
      </c>
      <c r="AQ106" s="419" t="s">
        <v>11</v>
      </c>
      <c r="AR106" s="422">
        <f>MIN(Thickness!AR106:AR108)</f>
        <v>0.312</v>
      </c>
      <c r="AS106" s="416">
        <f>MIN(Thickness!AS106:AS108)</f>
        <v>0.312</v>
      </c>
      <c r="AT106" s="416" t="s">
        <v>11</v>
      </c>
      <c r="AU106" s="416">
        <f>MIN(Thickness!AU106:AU108)</f>
        <v>0.30099999999999999</v>
      </c>
      <c r="AV106" s="419">
        <f>MIN(Thickness!AV106:AV108)</f>
        <v>0.312</v>
      </c>
      <c r="AW106" s="422" t="s">
        <v>11</v>
      </c>
      <c r="AX106" s="416">
        <f>MIN(Thickness!AX106:AX108)</f>
        <v>0.29499999999999998</v>
      </c>
      <c r="AY106" s="416">
        <f>MIN(Thickness!AY106:AY108)</f>
        <v>0.30199999999999999</v>
      </c>
      <c r="AZ106" s="416" t="s">
        <v>11</v>
      </c>
      <c r="BA106" s="419">
        <f>MIN(Thickness!BA106:BA108)</f>
        <v>0.29699999999999999</v>
      </c>
      <c r="BB106" s="422">
        <f>MIN(Thickness!BB106:BB108)</f>
        <v>0.30399999999999999</v>
      </c>
      <c r="BC106" s="416" t="s">
        <v>11</v>
      </c>
      <c r="BD106" s="416">
        <f>MIN(Thickness!BD106:BD108)</f>
        <v>0.308</v>
      </c>
      <c r="BE106" s="416">
        <f>MIN(Thickness!BE106:BE108)</f>
        <v>0.30499999999999999</v>
      </c>
      <c r="BF106" s="419" t="s">
        <v>11</v>
      </c>
      <c r="BG106" s="422">
        <f>MIN(Thickness!BG106:BG108)</f>
        <v>0.309</v>
      </c>
      <c r="BH106" s="416">
        <f>MIN(Thickness!BH106:BH108)</f>
        <v>0.311</v>
      </c>
      <c r="BI106" s="416" t="s">
        <v>11</v>
      </c>
      <c r="BJ106" s="416">
        <f>MIN(Thickness!BJ106:BJ108)</f>
        <v>0.314</v>
      </c>
      <c r="BK106" s="419">
        <f>MIN(Thickness!BK106:BK108)</f>
        <v>0.30599999999999999</v>
      </c>
      <c r="BL106" s="422" t="s">
        <v>11</v>
      </c>
      <c r="BM106" s="419" t="s">
        <v>11</v>
      </c>
      <c r="BN106" s="166">
        <f t="shared" ref="BN106:BN108" si="68">IFERROR(AVERAGE(D106:BM108),0)</f>
        <v>0.30857894736842101</v>
      </c>
      <c r="BO106" s="166">
        <f t="shared" ref="BO106:BO108" si="69">MIN(D106:BM108)</f>
        <v>0.29499999999999998</v>
      </c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65">
        <v>8.3000000000000004E-2</v>
      </c>
      <c r="B107" s="7" t="s">
        <v>12</v>
      </c>
      <c r="C107" s="396"/>
      <c r="D107" s="414" t="s">
        <v>11</v>
      </c>
      <c r="E107" s="417" t="s">
        <v>11</v>
      </c>
      <c r="F107" s="417"/>
      <c r="G107" s="417"/>
      <c r="H107" s="420" t="s">
        <v>11</v>
      </c>
      <c r="I107" s="423"/>
      <c r="J107" s="417"/>
      <c r="K107" s="417" t="s">
        <v>11</v>
      </c>
      <c r="L107" s="417"/>
      <c r="M107" s="420"/>
      <c r="N107" s="423" t="s">
        <v>11</v>
      </c>
      <c r="O107" s="417"/>
      <c r="P107" s="417"/>
      <c r="Q107" s="417" t="s">
        <v>11</v>
      </c>
      <c r="R107" s="420"/>
      <c r="S107" s="423"/>
      <c r="T107" s="417" t="s">
        <v>11</v>
      </c>
      <c r="U107" s="417"/>
      <c r="V107" s="417"/>
      <c r="W107" s="420" t="s">
        <v>11</v>
      </c>
      <c r="X107" s="423"/>
      <c r="Y107" s="417"/>
      <c r="Z107" s="417" t="s">
        <v>11</v>
      </c>
      <c r="AA107" s="417"/>
      <c r="AB107" s="420"/>
      <c r="AC107" s="423" t="s">
        <v>11</v>
      </c>
      <c r="AD107" s="417" t="s">
        <v>11</v>
      </c>
      <c r="AE107" s="417"/>
      <c r="AF107" s="417"/>
      <c r="AG107" s="420" t="s">
        <v>11</v>
      </c>
      <c r="AH107" s="423"/>
      <c r="AI107" s="417"/>
      <c r="AJ107" s="417" t="s">
        <v>11</v>
      </c>
      <c r="AK107" s="417"/>
      <c r="AL107" s="420"/>
      <c r="AM107" s="423" t="s">
        <v>11</v>
      </c>
      <c r="AN107" s="417" t="s">
        <v>11</v>
      </c>
      <c r="AO107" s="417"/>
      <c r="AP107" s="417"/>
      <c r="AQ107" s="420" t="s">
        <v>11</v>
      </c>
      <c r="AR107" s="423"/>
      <c r="AS107" s="417"/>
      <c r="AT107" s="417" t="s">
        <v>11</v>
      </c>
      <c r="AU107" s="417"/>
      <c r="AV107" s="420"/>
      <c r="AW107" s="423" t="s">
        <v>11</v>
      </c>
      <c r="AX107" s="417"/>
      <c r="AY107" s="417"/>
      <c r="AZ107" s="417" t="s">
        <v>11</v>
      </c>
      <c r="BA107" s="420"/>
      <c r="BB107" s="423"/>
      <c r="BC107" s="417" t="s">
        <v>11</v>
      </c>
      <c r="BD107" s="417"/>
      <c r="BE107" s="417"/>
      <c r="BF107" s="420" t="s">
        <v>11</v>
      </c>
      <c r="BG107" s="423"/>
      <c r="BH107" s="417"/>
      <c r="BI107" s="417" t="s">
        <v>11</v>
      </c>
      <c r="BJ107" s="417"/>
      <c r="BK107" s="420"/>
      <c r="BL107" s="423" t="s">
        <v>11</v>
      </c>
      <c r="BM107" s="420" t="s">
        <v>11</v>
      </c>
      <c r="BN107" s="167">
        <f t="shared" si="68"/>
        <v>0.30992105263157887</v>
      </c>
      <c r="BO107" s="167">
        <f t="shared" si="69"/>
        <v>0.29499999999999998</v>
      </c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65"/>
      <c r="B108" s="8" t="s">
        <v>48</v>
      </c>
      <c r="C108" s="396"/>
      <c r="D108" s="415" t="s">
        <v>11</v>
      </c>
      <c r="E108" s="418" t="s">
        <v>11</v>
      </c>
      <c r="F108" s="418"/>
      <c r="G108" s="418"/>
      <c r="H108" s="421" t="s">
        <v>11</v>
      </c>
      <c r="I108" s="424"/>
      <c r="J108" s="418"/>
      <c r="K108" s="418" t="s">
        <v>11</v>
      </c>
      <c r="L108" s="418"/>
      <c r="M108" s="421"/>
      <c r="N108" s="424" t="s">
        <v>11</v>
      </c>
      <c r="O108" s="418"/>
      <c r="P108" s="418"/>
      <c r="Q108" s="418" t="s">
        <v>11</v>
      </c>
      <c r="R108" s="421"/>
      <c r="S108" s="424"/>
      <c r="T108" s="418" t="s">
        <v>11</v>
      </c>
      <c r="U108" s="418"/>
      <c r="V108" s="418"/>
      <c r="W108" s="421" t="s">
        <v>11</v>
      </c>
      <c r="X108" s="424"/>
      <c r="Y108" s="418"/>
      <c r="Z108" s="418" t="s">
        <v>11</v>
      </c>
      <c r="AA108" s="418"/>
      <c r="AB108" s="421"/>
      <c r="AC108" s="424" t="s">
        <v>11</v>
      </c>
      <c r="AD108" s="418" t="s">
        <v>11</v>
      </c>
      <c r="AE108" s="418"/>
      <c r="AF108" s="418"/>
      <c r="AG108" s="421" t="s">
        <v>11</v>
      </c>
      <c r="AH108" s="424"/>
      <c r="AI108" s="418"/>
      <c r="AJ108" s="418" t="s">
        <v>11</v>
      </c>
      <c r="AK108" s="418"/>
      <c r="AL108" s="421"/>
      <c r="AM108" s="424" t="s">
        <v>11</v>
      </c>
      <c r="AN108" s="418" t="s">
        <v>11</v>
      </c>
      <c r="AO108" s="418"/>
      <c r="AP108" s="418"/>
      <c r="AQ108" s="421" t="s">
        <v>11</v>
      </c>
      <c r="AR108" s="424"/>
      <c r="AS108" s="418"/>
      <c r="AT108" s="418" t="s">
        <v>11</v>
      </c>
      <c r="AU108" s="418"/>
      <c r="AV108" s="421"/>
      <c r="AW108" s="424" t="s">
        <v>11</v>
      </c>
      <c r="AX108" s="418"/>
      <c r="AY108" s="418"/>
      <c r="AZ108" s="418" t="s">
        <v>11</v>
      </c>
      <c r="BA108" s="421"/>
      <c r="BB108" s="424"/>
      <c r="BC108" s="418" t="s">
        <v>11</v>
      </c>
      <c r="BD108" s="418"/>
      <c r="BE108" s="418"/>
      <c r="BF108" s="421" t="s">
        <v>11</v>
      </c>
      <c r="BG108" s="424"/>
      <c r="BH108" s="418"/>
      <c r="BI108" s="418" t="s">
        <v>11</v>
      </c>
      <c r="BJ108" s="418"/>
      <c r="BK108" s="421"/>
      <c r="BL108" s="424" t="s">
        <v>11</v>
      </c>
      <c r="BM108" s="421" t="s">
        <v>11</v>
      </c>
      <c r="BN108" s="168">
        <f t="shared" si="68"/>
        <v>0.30992105263157887</v>
      </c>
      <c r="BO108" s="168">
        <f t="shared" si="69"/>
        <v>0.29499999999999998</v>
      </c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43</v>
      </c>
      <c r="B109" s="6" t="s">
        <v>17</v>
      </c>
      <c r="C109" s="395" t="s">
        <v>305</v>
      </c>
      <c r="D109" s="413" t="s">
        <v>11</v>
      </c>
      <c r="E109" s="416" t="s">
        <v>11</v>
      </c>
      <c r="F109" s="416">
        <f>MIN(Thickness!F109:F111)</f>
        <v>0.30299999999999999</v>
      </c>
      <c r="G109" s="416">
        <f>MIN(Thickness!G109:G111)</f>
        <v>0.31</v>
      </c>
      <c r="H109" s="419" t="s">
        <v>11</v>
      </c>
      <c r="I109" s="422">
        <f>MIN(Thickness!I109:I111)</f>
        <v>0.32200000000000001</v>
      </c>
      <c r="J109" s="416">
        <f>MIN(Thickness!J109:J111)</f>
        <v>0.30299999999999999</v>
      </c>
      <c r="K109" s="416" t="s">
        <v>11</v>
      </c>
      <c r="L109" s="416">
        <f>MIN(Thickness!L109:L111)</f>
        <v>0.307</v>
      </c>
      <c r="M109" s="419">
        <f>MIN(Thickness!M109:M111)</f>
        <v>0.308</v>
      </c>
      <c r="N109" s="422" t="s">
        <v>11</v>
      </c>
      <c r="O109" s="416">
        <f>MIN(Thickness!O109:O111)</f>
        <v>0.316</v>
      </c>
      <c r="P109" s="416">
        <f>MIN(Thickness!P109:P111)</f>
        <v>0.29899999999999999</v>
      </c>
      <c r="Q109" s="416" t="s">
        <v>11</v>
      </c>
      <c r="R109" s="419">
        <f>MIN(Thickness!R109:R111)</f>
        <v>0.317</v>
      </c>
      <c r="S109" s="422">
        <f>MIN(Thickness!S109:S111)</f>
        <v>0.30499999999999999</v>
      </c>
      <c r="T109" s="416" t="s">
        <v>11</v>
      </c>
      <c r="U109" s="416">
        <f>MIN(Thickness!U109:U111)</f>
        <v>0.30199999999999999</v>
      </c>
      <c r="V109" s="416">
        <f>MIN(Thickness!V109:V111)</f>
        <v>0.309</v>
      </c>
      <c r="W109" s="419" t="s">
        <v>11</v>
      </c>
      <c r="X109" s="422">
        <f>MIN(Thickness!X109:X111)</f>
        <v>0.30199999999999999</v>
      </c>
      <c r="Y109" s="416">
        <f>MIN(Thickness!Y109:Y111)</f>
        <v>0.31</v>
      </c>
      <c r="Z109" s="416" t="s">
        <v>11</v>
      </c>
      <c r="AA109" s="416">
        <f>MIN(Thickness!AA109:AA111)</f>
        <v>0.31</v>
      </c>
      <c r="AB109" s="419">
        <f>MIN(Thickness!AB109:AB111)</f>
        <v>0.29499999999999998</v>
      </c>
      <c r="AC109" s="422" t="s">
        <v>11</v>
      </c>
      <c r="AD109" s="416" t="s">
        <v>11</v>
      </c>
      <c r="AE109" s="416">
        <f>MIN(Thickness!AE109:AE111)</f>
        <v>0.315</v>
      </c>
      <c r="AF109" s="416">
        <f>MIN(Thickness!AF109:AF111)</f>
        <v>0.318</v>
      </c>
      <c r="AG109" s="419" t="s">
        <v>11</v>
      </c>
      <c r="AH109" s="422">
        <f>MIN(Thickness!AH109:AH111)</f>
        <v>0.32100000000000001</v>
      </c>
      <c r="AI109" s="416">
        <f>MIN(Thickness!AI109:AI111)</f>
        <v>0.309</v>
      </c>
      <c r="AJ109" s="416" t="s">
        <v>11</v>
      </c>
      <c r="AK109" s="416">
        <f>MIN(Thickness!AK109:AK111)</f>
        <v>0.313</v>
      </c>
      <c r="AL109" s="419">
        <f>MIN(Thickness!AL109:AL111)</f>
        <v>0.316</v>
      </c>
      <c r="AM109" s="422" t="s">
        <v>11</v>
      </c>
      <c r="AN109" s="416" t="s">
        <v>11</v>
      </c>
      <c r="AO109" s="416">
        <f>MIN(Thickness!AO109:AO111)</f>
        <v>0.31900000000000001</v>
      </c>
      <c r="AP109" s="416">
        <f>MIN(Thickness!AP109:AP111)</f>
        <v>0.32200000000000001</v>
      </c>
      <c r="AQ109" s="419" t="s">
        <v>11</v>
      </c>
      <c r="AR109" s="422">
        <f>MIN(Thickness!AR109:AR111)</f>
        <v>0.30499999999999999</v>
      </c>
      <c r="AS109" s="416">
        <f>MIN(Thickness!AS109:AS111)</f>
        <v>0.30499999999999999</v>
      </c>
      <c r="AT109" s="416" t="s">
        <v>11</v>
      </c>
      <c r="AU109" s="416">
        <f>MIN(Thickness!AU109:AU111)</f>
        <v>0.32200000000000001</v>
      </c>
      <c r="AV109" s="419">
        <f>MIN(Thickness!AV109:AV111)</f>
        <v>0.30499999999999999</v>
      </c>
      <c r="AW109" s="422" t="s">
        <v>11</v>
      </c>
      <c r="AX109" s="416">
        <f>MIN(Thickness!AX109:AX111)</f>
        <v>0.30199999999999999</v>
      </c>
      <c r="AY109" s="416">
        <f>MIN(Thickness!AY109:AY111)</f>
        <v>0.308</v>
      </c>
      <c r="AZ109" s="416" t="s">
        <v>11</v>
      </c>
      <c r="BA109" s="419">
        <f>MIN(Thickness!BA109:BA111)</f>
        <v>0.307</v>
      </c>
      <c r="BB109" s="422">
        <f>MIN(Thickness!BB109:BB111)</f>
        <v>0.30499999999999999</v>
      </c>
      <c r="BC109" s="416" t="s">
        <v>11</v>
      </c>
      <c r="BD109" s="416">
        <f>MIN(Thickness!BD109:BD111)</f>
        <v>0.30099999999999999</v>
      </c>
      <c r="BE109" s="416">
        <f>MIN(Thickness!BE109:BE111)</f>
        <v>0.30399999999999999</v>
      </c>
      <c r="BF109" s="419" t="s">
        <v>11</v>
      </c>
      <c r="BG109" s="422">
        <f>MIN(Thickness!BG109:BG111)</f>
        <v>0.32</v>
      </c>
      <c r="BH109" s="416">
        <f>MIN(Thickness!BH109:BH111)</f>
        <v>0.317</v>
      </c>
      <c r="BI109" s="416" t="s">
        <v>11</v>
      </c>
      <c r="BJ109" s="416">
        <f>MIN(Thickness!BJ109:BJ111)</f>
        <v>0.307</v>
      </c>
      <c r="BK109" s="419">
        <f>MIN(Thickness!BK109:BK111)</f>
        <v>0.318</v>
      </c>
      <c r="BL109" s="422" t="s">
        <v>11</v>
      </c>
      <c r="BM109" s="419" t="s">
        <v>11</v>
      </c>
      <c r="BN109" s="166">
        <f t="shared" ref="BN109:BN111" si="70">IFERROR(AVERAGE(D109:BM111),0)</f>
        <v>0.30992105263157887</v>
      </c>
      <c r="BO109" s="166">
        <f t="shared" ref="BO109:BO111" si="71">MIN(D109:BM111)</f>
        <v>0.29499999999999998</v>
      </c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65">
        <v>8.3000000000000004E-2</v>
      </c>
      <c r="B110" s="7" t="s">
        <v>12</v>
      </c>
      <c r="C110" s="396"/>
      <c r="D110" s="414" t="s">
        <v>11</v>
      </c>
      <c r="E110" s="417" t="s">
        <v>11</v>
      </c>
      <c r="F110" s="417"/>
      <c r="G110" s="417"/>
      <c r="H110" s="420" t="s">
        <v>11</v>
      </c>
      <c r="I110" s="423"/>
      <c r="J110" s="417"/>
      <c r="K110" s="417" t="s">
        <v>11</v>
      </c>
      <c r="L110" s="417"/>
      <c r="M110" s="420"/>
      <c r="N110" s="423" t="s">
        <v>11</v>
      </c>
      <c r="O110" s="417"/>
      <c r="P110" s="417"/>
      <c r="Q110" s="417" t="s">
        <v>11</v>
      </c>
      <c r="R110" s="420"/>
      <c r="S110" s="423"/>
      <c r="T110" s="417" t="s">
        <v>11</v>
      </c>
      <c r="U110" s="417"/>
      <c r="V110" s="417"/>
      <c r="W110" s="420" t="s">
        <v>11</v>
      </c>
      <c r="X110" s="423"/>
      <c r="Y110" s="417"/>
      <c r="Z110" s="417" t="s">
        <v>11</v>
      </c>
      <c r="AA110" s="417"/>
      <c r="AB110" s="420"/>
      <c r="AC110" s="423" t="s">
        <v>11</v>
      </c>
      <c r="AD110" s="417" t="s">
        <v>11</v>
      </c>
      <c r="AE110" s="417"/>
      <c r="AF110" s="417"/>
      <c r="AG110" s="420" t="s">
        <v>11</v>
      </c>
      <c r="AH110" s="423"/>
      <c r="AI110" s="417"/>
      <c r="AJ110" s="417" t="s">
        <v>11</v>
      </c>
      <c r="AK110" s="417"/>
      <c r="AL110" s="420"/>
      <c r="AM110" s="423" t="s">
        <v>11</v>
      </c>
      <c r="AN110" s="417" t="s">
        <v>11</v>
      </c>
      <c r="AO110" s="417"/>
      <c r="AP110" s="417"/>
      <c r="AQ110" s="420" t="s">
        <v>11</v>
      </c>
      <c r="AR110" s="423"/>
      <c r="AS110" s="417"/>
      <c r="AT110" s="417" t="s">
        <v>11</v>
      </c>
      <c r="AU110" s="417"/>
      <c r="AV110" s="420"/>
      <c r="AW110" s="423" t="s">
        <v>11</v>
      </c>
      <c r="AX110" s="417"/>
      <c r="AY110" s="417"/>
      <c r="AZ110" s="417" t="s">
        <v>11</v>
      </c>
      <c r="BA110" s="420"/>
      <c r="BB110" s="423"/>
      <c r="BC110" s="417" t="s">
        <v>11</v>
      </c>
      <c r="BD110" s="417"/>
      <c r="BE110" s="417"/>
      <c r="BF110" s="420" t="s">
        <v>11</v>
      </c>
      <c r="BG110" s="423"/>
      <c r="BH110" s="417"/>
      <c r="BI110" s="417" t="s">
        <v>11</v>
      </c>
      <c r="BJ110" s="417"/>
      <c r="BK110" s="420"/>
      <c r="BL110" s="423" t="s">
        <v>11</v>
      </c>
      <c r="BM110" s="420" t="s">
        <v>11</v>
      </c>
      <c r="BN110" s="167">
        <f t="shared" si="70"/>
        <v>0.32796610169491519</v>
      </c>
      <c r="BO110" s="167">
        <f t="shared" si="71"/>
        <v>0.312</v>
      </c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65"/>
      <c r="B111" s="8" t="s">
        <v>48</v>
      </c>
      <c r="C111" s="396"/>
      <c r="D111" s="415" t="s">
        <v>11</v>
      </c>
      <c r="E111" s="418" t="s">
        <v>11</v>
      </c>
      <c r="F111" s="418"/>
      <c r="G111" s="418"/>
      <c r="H111" s="421" t="s">
        <v>11</v>
      </c>
      <c r="I111" s="424"/>
      <c r="J111" s="418"/>
      <c r="K111" s="418" t="s">
        <v>11</v>
      </c>
      <c r="L111" s="418"/>
      <c r="M111" s="421"/>
      <c r="N111" s="424" t="s">
        <v>11</v>
      </c>
      <c r="O111" s="418"/>
      <c r="P111" s="418"/>
      <c r="Q111" s="418" t="s">
        <v>11</v>
      </c>
      <c r="R111" s="421"/>
      <c r="S111" s="424"/>
      <c r="T111" s="418" t="s">
        <v>11</v>
      </c>
      <c r="U111" s="418"/>
      <c r="V111" s="418"/>
      <c r="W111" s="421" t="s">
        <v>11</v>
      </c>
      <c r="X111" s="424"/>
      <c r="Y111" s="418"/>
      <c r="Z111" s="418" t="s">
        <v>11</v>
      </c>
      <c r="AA111" s="418"/>
      <c r="AB111" s="421"/>
      <c r="AC111" s="424" t="s">
        <v>11</v>
      </c>
      <c r="AD111" s="418" t="s">
        <v>11</v>
      </c>
      <c r="AE111" s="418"/>
      <c r="AF111" s="418"/>
      <c r="AG111" s="421" t="s">
        <v>11</v>
      </c>
      <c r="AH111" s="424"/>
      <c r="AI111" s="418"/>
      <c r="AJ111" s="418" t="s">
        <v>11</v>
      </c>
      <c r="AK111" s="418"/>
      <c r="AL111" s="421"/>
      <c r="AM111" s="424" t="s">
        <v>11</v>
      </c>
      <c r="AN111" s="418" t="s">
        <v>11</v>
      </c>
      <c r="AO111" s="418"/>
      <c r="AP111" s="418"/>
      <c r="AQ111" s="421" t="s">
        <v>11</v>
      </c>
      <c r="AR111" s="424"/>
      <c r="AS111" s="418"/>
      <c r="AT111" s="418" t="s">
        <v>11</v>
      </c>
      <c r="AU111" s="418"/>
      <c r="AV111" s="421"/>
      <c r="AW111" s="424" t="s">
        <v>11</v>
      </c>
      <c r="AX111" s="418"/>
      <c r="AY111" s="418"/>
      <c r="AZ111" s="418" t="s">
        <v>11</v>
      </c>
      <c r="BA111" s="421"/>
      <c r="BB111" s="424"/>
      <c r="BC111" s="418" t="s">
        <v>11</v>
      </c>
      <c r="BD111" s="418"/>
      <c r="BE111" s="418"/>
      <c r="BF111" s="421" t="s">
        <v>11</v>
      </c>
      <c r="BG111" s="424"/>
      <c r="BH111" s="418"/>
      <c r="BI111" s="418" t="s">
        <v>11</v>
      </c>
      <c r="BJ111" s="418"/>
      <c r="BK111" s="421"/>
      <c r="BL111" s="424" t="s">
        <v>11</v>
      </c>
      <c r="BM111" s="421" t="s">
        <v>11</v>
      </c>
      <c r="BN111" s="168">
        <f t="shared" si="70"/>
        <v>0.32796610169491519</v>
      </c>
      <c r="BO111" s="168">
        <f t="shared" si="71"/>
        <v>0.312</v>
      </c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43</v>
      </c>
      <c r="B112" s="6"/>
      <c r="C112" s="395" t="s">
        <v>305</v>
      </c>
      <c r="D112" s="413">
        <f>MIN(Thickness!D112:D114)</f>
        <v>0.35399999999999998</v>
      </c>
      <c r="E112" s="416" t="s">
        <v>20</v>
      </c>
      <c r="F112" s="416">
        <f>MIN(Thickness!F112:F114)</f>
        <v>0.33500000000000002</v>
      </c>
      <c r="G112" s="416">
        <f>MIN(Thickness!G112:G114)</f>
        <v>0.34200000000000003</v>
      </c>
      <c r="H112" s="419">
        <f>MIN(Thickness!H112:H114)</f>
        <v>0.33200000000000002</v>
      </c>
      <c r="I112" s="422">
        <f>MIN(Thickness!I112:I114)</f>
        <v>0.32400000000000001</v>
      </c>
      <c r="J112" s="416">
        <f>MIN(Thickness!J112:J114)</f>
        <v>0.32100000000000001</v>
      </c>
      <c r="K112" s="416">
        <f>MIN(Thickness!K112:K114)</f>
        <v>0.32900000000000001</v>
      </c>
      <c r="L112" s="416">
        <f>MIN(Thickness!L112:L114)</f>
        <v>0.32200000000000001</v>
      </c>
      <c r="M112" s="419">
        <f>MIN(Thickness!M112:M114)</f>
        <v>0.32500000000000001</v>
      </c>
      <c r="N112" s="422">
        <f>MIN(Thickness!N112:N114)</f>
        <v>0.33100000000000002</v>
      </c>
      <c r="O112" s="416">
        <f>MIN(Thickness!O112:O114)</f>
        <v>0.32100000000000001</v>
      </c>
      <c r="P112" s="416">
        <f>MIN(Thickness!P112:P114)</f>
        <v>0.32200000000000001</v>
      </c>
      <c r="Q112" s="416">
        <f>MIN(Thickness!Q112:Q114)</f>
        <v>0.32900000000000001</v>
      </c>
      <c r="R112" s="419">
        <f>MIN(Thickness!R112:R114)</f>
        <v>0.32300000000000001</v>
      </c>
      <c r="S112" s="422">
        <f>MIN(Thickness!S112:S114)</f>
        <v>0.32500000000000001</v>
      </c>
      <c r="T112" s="416">
        <f>MIN(Thickness!T112:T114)</f>
        <v>0.33200000000000002</v>
      </c>
      <c r="U112" s="416">
        <f>MIN(Thickness!U112:U114)</f>
        <v>0.32200000000000001</v>
      </c>
      <c r="V112" s="416">
        <f>MIN(Thickness!V112:V114)</f>
        <v>0.313</v>
      </c>
      <c r="W112" s="419">
        <f>MIN(Thickness!W112:W114)</f>
        <v>0.316</v>
      </c>
      <c r="X112" s="422">
        <f>MIN(Thickness!X112:X114)</f>
        <v>0.33200000000000002</v>
      </c>
      <c r="Y112" s="416">
        <f>MIN(Thickness!Y112:Y114)</f>
        <v>0.33300000000000002</v>
      </c>
      <c r="Z112" s="416">
        <f>MIN(Thickness!Z112:Z114)</f>
        <v>0.33</v>
      </c>
      <c r="AA112" s="416" t="s">
        <v>20</v>
      </c>
      <c r="AB112" s="419" t="s">
        <v>20</v>
      </c>
      <c r="AC112" s="422">
        <f>MIN(Thickness!AC112:AC114)</f>
        <v>0.32500000000000001</v>
      </c>
      <c r="AD112" s="416">
        <f>MIN(Thickness!AD112:AD114)</f>
        <v>0.32600000000000001</v>
      </c>
      <c r="AE112" s="416">
        <f>MIN(Thickness!AE112:AE114)</f>
        <v>0.33400000000000002</v>
      </c>
      <c r="AF112" s="416">
        <f>MIN(Thickness!AF112:AF114)</f>
        <v>0.34799999999999998</v>
      </c>
      <c r="AG112" s="419">
        <f>MIN(Thickness!AG112:AG114)</f>
        <v>0.32800000000000001</v>
      </c>
      <c r="AH112" s="422">
        <f>MIN(Thickness!AH112:AH114)</f>
        <v>0.32400000000000001</v>
      </c>
      <c r="AI112" s="416">
        <f>MIN(Thickness!AI112:AI114)</f>
        <v>0.316</v>
      </c>
      <c r="AJ112" s="416">
        <f>MIN(Thickness!AJ112:AJ114)</f>
        <v>0.32400000000000001</v>
      </c>
      <c r="AK112" s="416">
        <f>MIN(Thickness!AK112:AK114)</f>
        <v>0.33100000000000002</v>
      </c>
      <c r="AL112" s="419">
        <f>MIN(Thickness!AL112:AL114)</f>
        <v>0.33200000000000002</v>
      </c>
      <c r="AM112" s="422">
        <f>MIN(Thickness!AM112:AM114)</f>
        <v>0.33600000000000002</v>
      </c>
      <c r="AN112" s="416">
        <f>MIN(Thickness!AN112:AN114)</f>
        <v>0.32700000000000001</v>
      </c>
      <c r="AO112" s="416">
        <f>MIN(Thickness!AO112:AO114)</f>
        <v>0.32700000000000001</v>
      </c>
      <c r="AP112" s="416">
        <f>MIN(Thickness!AP112:AP114)</f>
        <v>0.32700000000000001</v>
      </c>
      <c r="AQ112" s="419">
        <f>MIN(Thickness!AQ112:AQ114)</f>
        <v>0.318</v>
      </c>
      <c r="AR112" s="422">
        <f>MIN(Thickness!AR112:AR114)</f>
        <v>0.32500000000000001</v>
      </c>
      <c r="AS112" s="416">
        <f>MIN(Thickness!AS112:AS114)</f>
        <v>0.317</v>
      </c>
      <c r="AT112" s="416">
        <f>MIN(Thickness!AT112:AT114)</f>
        <v>0.32500000000000001</v>
      </c>
      <c r="AU112" s="416">
        <f>MIN(Thickness!AU112:AU114)</f>
        <v>0.31900000000000001</v>
      </c>
      <c r="AV112" s="419">
        <f>MIN(Thickness!AV112:AV114)</f>
        <v>0.33</v>
      </c>
      <c r="AW112" s="422">
        <f>MIN(Thickness!AW112:AW114)</f>
        <v>0.312</v>
      </c>
      <c r="AX112" s="416">
        <f>MIN(Thickness!AX112:AX114)</f>
        <v>0.317</v>
      </c>
      <c r="AY112" s="416">
        <f>MIN(Thickness!AY112:AY114)</f>
        <v>0.32100000000000001</v>
      </c>
      <c r="AZ112" s="416">
        <f>MIN(Thickness!AZ112:AZ114)</f>
        <v>0.318</v>
      </c>
      <c r="BA112" s="419">
        <f>MIN(Thickness!BA112:BA114)</f>
        <v>0.32400000000000001</v>
      </c>
      <c r="BB112" s="422">
        <f>MIN(Thickness!BB112:BB114)</f>
        <v>0.32400000000000001</v>
      </c>
      <c r="BC112" s="416">
        <f>MIN(Thickness!BC112:BC114)</f>
        <v>0.31900000000000001</v>
      </c>
      <c r="BD112" s="416">
        <f>MIN(Thickness!BD112:BD114)</f>
        <v>0.317</v>
      </c>
      <c r="BE112" s="416">
        <f>MIN(Thickness!BE112:BE114)</f>
        <v>0.32200000000000001</v>
      </c>
      <c r="BF112" s="419">
        <f>MIN(Thickness!BF112:BF114)</f>
        <v>0.33100000000000002</v>
      </c>
      <c r="BG112" s="422">
        <f>MIN(Thickness!BG112:BG114)</f>
        <v>0.33400000000000002</v>
      </c>
      <c r="BH112" s="416">
        <f>MIN(Thickness!BH112:BH114)</f>
        <v>0.33200000000000002</v>
      </c>
      <c r="BI112" s="416">
        <f>MIN(Thickness!BI112:BI114)</f>
        <v>0.34399999999999997</v>
      </c>
      <c r="BJ112" s="416">
        <f>MIN(Thickness!BJ112:BJ114)</f>
        <v>0.33800000000000002</v>
      </c>
      <c r="BK112" s="419">
        <f>MIN(Thickness!BK112:BK114)</f>
        <v>0.33900000000000002</v>
      </c>
      <c r="BL112" s="422">
        <f>MIN(Thickness!BL112:BL114)</f>
        <v>0.35199999999999998</v>
      </c>
      <c r="BM112" s="419">
        <f>MIN(Thickness!BM112:BM114)</f>
        <v>0.35399999999999998</v>
      </c>
      <c r="BN112" s="166">
        <f t="shared" ref="BN112:BN114" si="72">IFERROR(AVERAGE(D112:BM114),0)</f>
        <v>0.32796610169491519</v>
      </c>
      <c r="BO112" s="166">
        <f t="shared" ref="BO112:BO114" si="73">MIN(D112:BM114)</f>
        <v>0.312</v>
      </c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65">
        <v>8.3000000000000004E-2</v>
      </c>
      <c r="B113" s="7" t="s">
        <v>49</v>
      </c>
      <c r="C113" s="396"/>
      <c r="D113" s="414"/>
      <c r="E113" s="417" t="s">
        <v>20</v>
      </c>
      <c r="F113" s="417"/>
      <c r="G113" s="417"/>
      <c r="H113" s="420"/>
      <c r="I113" s="423"/>
      <c r="J113" s="417"/>
      <c r="K113" s="417"/>
      <c r="L113" s="417"/>
      <c r="M113" s="420"/>
      <c r="N113" s="423"/>
      <c r="O113" s="417"/>
      <c r="P113" s="417"/>
      <c r="Q113" s="417"/>
      <c r="R113" s="420"/>
      <c r="S113" s="423"/>
      <c r="T113" s="417"/>
      <c r="U113" s="417"/>
      <c r="V113" s="417"/>
      <c r="W113" s="420"/>
      <c r="X113" s="423"/>
      <c r="Y113" s="417"/>
      <c r="Z113" s="417"/>
      <c r="AA113" s="417" t="s">
        <v>20</v>
      </c>
      <c r="AB113" s="420" t="s">
        <v>20</v>
      </c>
      <c r="AC113" s="423"/>
      <c r="AD113" s="417"/>
      <c r="AE113" s="417"/>
      <c r="AF113" s="417"/>
      <c r="AG113" s="420"/>
      <c r="AH113" s="423"/>
      <c r="AI113" s="417"/>
      <c r="AJ113" s="417"/>
      <c r="AK113" s="417"/>
      <c r="AL113" s="420"/>
      <c r="AM113" s="423"/>
      <c r="AN113" s="417"/>
      <c r="AO113" s="417"/>
      <c r="AP113" s="417"/>
      <c r="AQ113" s="420"/>
      <c r="AR113" s="423"/>
      <c r="AS113" s="417"/>
      <c r="AT113" s="417"/>
      <c r="AU113" s="417"/>
      <c r="AV113" s="420"/>
      <c r="AW113" s="423"/>
      <c r="AX113" s="417"/>
      <c r="AY113" s="417"/>
      <c r="AZ113" s="417"/>
      <c r="BA113" s="420"/>
      <c r="BB113" s="423"/>
      <c r="BC113" s="417"/>
      <c r="BD113" s="417"/>
      <c r="BE113" s="417"/>
      <c r="BF113" s="420"/>
      <c r="BG113" s="423"/>
      <c r="BH113" s="417"/>
      <c r="BI113" s="417"/>
      <c r="BJ113" s="417"/>
      <c r="BK113" s="420"/>
      <c r="BL113" s="423"/>
      <c r="BM113" s="420"/>
      <c r="BN113" s="167">
        <f t="shared" si="72"/>
        <v>31.5</v>
      </c>
      <c r="BO113" s="167">
        <f t="shared" si="73"/>
        <v>1</v>
      </c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65"/>
      <c r="B114" s="8"/>
      <c r="C114" s="396"/>
      <c r="D114" s="415"/>
      <c r="E114" s="418" t="s">
        <v>20</v>
      </c>
      <c r="F114" s="418"/>
      <c r="G114" s="418"/>
      <c r="H114" s="421"/>
      <c r="I114" s="424"/>
      <c r="J114" s="418"/>
      <c r="K114" s="418"/>
      <c r="L114" s="418"/>
      <c r="M114" s="421"/>
      <c r="N114" s="424"/>
      <c r="O114" s="418"/>
      <c r="P114" s="418"/>
      <c r="Q114" s="418"/>
      <c r="R114" s="421"/>
      <c r="S114" s="424"/>
      <c r="T114" s="418"/>
      <c r="U114" s="418"/>
      <c r="V114" s="418"/>
      <c r="W114" s="421"/>
      <c r="X114" s="424"/>
      <c r="Y114" s="418"/>
      <c r="Z114" s="418"/>
      <c r="AA114" s="418" t="s">
        <v>20</v>
      </c>
      <c r="AB114" s="421" t="s">
        <v>20</v>
      </c>
      <c r="AC114" s="424"/>
      <c r="AD114" s="418"/>
      <c r="AE114" s="418"/>
      <c r="AF114" s="418"/>
      <c r="AG114" s="421"/>
      <c r="AH114" s="424"/>
      <c r="AI114" s="418"/>
      <c r="AJ114" s="418"/>
      <c r="AK114" s="418"/>
      <c r="AL114" s="421"/>
      <c r="AM114" s="424"/>
      <c r="AN114" s="418"/>
      <c r="AO114" s="418"/>
      <c r="AP114" s="418"/>
      <c r="AQ114" s="421"/>
      <c r="AR114" s="424"/>
      <c r="AS114" s="418"/>
      <c r="AT114" s="418"/>
      <c r="AU114" s="418"/>
      <c r="AV114" s="421"/>
      <c r="AW114" s="424"/>
      <c r="AX114" s="418"/>
      <c r="AY114" s="418"/>
      <c r="AZ114" s="418"/>
      <c r="BA114" s="421"/>
      <c r="BB114" s="424"/>
      <c r="BC114" s="418"/>
      <c r="BD114" s="418"/>
      <c r="BE114" s="418"/>
      <c r="BF114" s="421"/>
      <c r="BG114" s="424"/>
      <c r="BH114" s="418"/>
      <c r="BI114" s="418"/>
      <c r="BJ114" s="418"/>
      <c r="BK114" s="421"/>
      <c r="BL114" s="424"/>
      <c r="BM114" s="421"/>
      <c r="BN114" s="168">
        <f t="shared" si="72"/>
        <v>31.5</v>
      </c>
      <c r="BO114" s="168">
        <f t="shared" si="73"/>
        <v>1</v>
      </c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customHeight="1" x14ac:dyDescent="0.2">
      <c r="A115" s="163" t="s">
        <v>4</v>
      </c>
      <c r="B115" s="164"/>
      <c r="C115" s="18" t="s">
        <v>5</v>
      </c>
      <c r="D115" s="89">
        <v>1</v>
      </c>
      <c r="E115" s="90">
        <v>2</v>
      </c>
      <c r="F115" s="90">
        <v>3</v>
      </c>
      <c r="G115" s="90">
        <v>4</v>
      </c>
      <c r="H115" s="90">
        <v>5</v>
      </c>
      <c r="I115" s="90">
        <v>6</v>
      </c>
      <c r="J115" s="90">
        <v>7</v>
      </c>
      <c r="K115" s="90">
        <v>8</v>
      </c>
      <c r="L115" s="90">
        <v>9</v>
      </c>
      <c r="M115" s="90">
        <v>10</v>
      </c>
      <c r="N115" s="90">
        <v>11</v>
      </c>
      <c r="O115" s="90">
        <v>12</v>
      </c>
      <c r="P115" s="90">
        <v>13</v>
      </c>
      <c r="Q115" s="90">
        <v>14</v>
      </c>
      <c r="R115" s="90">
        <v>15</v>
      </c>
      <c r="S115" s="90">
        <v>16</v>
      </c>
      <c r="T115" s="90">
        <v>17</v>
      </c>
      <c r="U115" s="90">
        <v>18</v>
      </c>
      <c r="V115" s="90">
        <v>19</v>
      </c>
      <c r="W115" s="90">
        <v>20</v>
      </c>
      <c r="X115" s="90">
        <v>21</v>
      </c>
      <c r="Y115" s="90">
        <v>22</v>
      </c>
      <c r="Z115" s="90">
        <v>23</v>
      </c>
      <c r="AA115" s="90">
        <v>24</v>
      </c>
      <c r="AB115" s="90">
        <v>25</v>
      </c>
      <c r="AC115" s="90">
        <v>26</v>
      </c>
      <c r="AD115" s="90">
        <v>27</v>
      </c>
      <c r="AE115" s="90">
        <v>28</v>
      </c>
      <c r="AF115" s="90">
        <v>29</v>
      </c>
      <c r="AG115" s="90">
        <v>30</v>
      </c>
      <c r="AH115" s="90">
        <v>31</v>
      </c>
      <c r="AI115" s="90">
        <v>32</v>
      </c>
      <c r="AJ115" s="90">
        <v>33</v>
      </c>
      <c r="AK115" s="90">
        <v>34</v>
      </c>
      <c r="AL115" s="90">
        <v>35</v>
      </c>
      <c r="AM115" s="90">
        <v>36</v>
      </c>
      <c r="AN115" s="90">
        <v>37</v>
      </c>
      <c r="AO115" s="90">
        <v>38</v>
      </c>
      <c r="AP115" s="90">
        <v>39</v>
      </c>
      <c r="AQ115" s="90">
        <v>40</v>
      </c>
      <c r="AR115" s="90">
        <v>41</v>
      </c>
      <c r="AS115" s="90">
        <v>42</v>
      </c>
      <c r="AT115" s="90">
        <v>43</v>
      </c>
      <c r="AU115" s="90">
        <v>44</v>
      </c>
      <c r="AV115" s="90">
        <v>45</v>
      </c>
      <c r="AW115" s="90">
        <v>46</v>
      </c>
      <c r="AX115" s="90">
        <v>47</v>
      </c>
      <c r="AY115" s="90">
        <v>48</v>
      </c>
      <c r="AZ115" s="90">
        <v>49</v>
      </c>
      <c r="BA115" s="90">
        <v>50</v>
      </c>
      <c r="BB115" s="90">
        <v>51</v>
      </c>
      <c r="BC115" s="90">
        <v>52</v>
      </c>
      <c r="BD115" s="90">
        <v>53</v>
      </c>
      <c r="BE115" s="90">
        <v>54</v>
      </c>
      <c r="BF115" s="90">
        <v>55</v>
      </c>
      <c r="BG115" s="90">
        <v>56</v>
      </c>
      <c r="BH115" s="90">
        <v>57</v>
      </c>
      <c r="BI115" s="90">
        <v>58</v>
      </c>
      <c r="BJ115" s="90">
        <v>59</v>
      </c>
      <c r="BK115" s="90">
        <v>60</v>
      </c>
      <c r="BL115" s="90">
        <v>61</v>
      </c>
      <c r="BM115" s="91">
        <v>62</v>
      </c>
      <c r="BN115" s="29" t="s">
        <v>6</v>
      </c>
      <c r="BO115" s="30" t="s">
        <v>7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customHeight="1" x14ac:dyDescent="0.2">
      <c r="A118" s="9" t="s">
        <v>8</v>
      </c>
      <c r="B118" s="83" t="s">
        <v>50</v>
      </c>
      <c r="C118" s="208" t="s">
        <v>51</v>
      </c>
      <c r="D118" s="209"/>
      <c r="E118" s="209"/>
      <c r="F118" s="209"/>
      <c r="G118" s="209"/>
      <c r="H118" s="209"/>
      <c r="I118" s="209"/>
      <c r="J118" s="209"/>
      <c r="K118" s="209"/>
      <c r="L118" s="209"/>
      <c r="M118" s="210" t="s">
        <v>52</v>
      </c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2">
        <v>2.9689999999999999</v>
      </c>
      <c r="AA118" s="212"/>
      <c r="AB118" s="212"/>
      <c r="AC118" s="212"/>
      <c r="AD118" s="212"/>
      <c r="AE118" s="212"/>
      <c r="AF118" s="213"/>
      <c r="AG118" s="214" t="s">
        <v>53</v>
      </c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6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customHeight="1" x14ac:dyDescent="0.2">
      <c r="A119" s="217" t="s">
        <v>54</v>
      </c>
      <c r="B119" s="84" t="s">
        <v>55</v>
      </c>
      <c r="C119" s="218" t="s">
        <v>56</v>
      </c>
      <c r="D119" s="219"/>
      <c r="E119" s="219"/>
      <c r="F119" s="219"/>
      <c r="G119" s="219"/>
      <c r="H119" s="219"/>
      <c r="I119" s="219"/>
      <c r="J119" s="219"/>
      <c r="K119" s="219"/>
      <c r="L119" s="219"/>
      <c r="M119" s="220" t="s">
        <v>57</v>
      </c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2" t="s">
        <v>58</v>
      </c>
      <c r="AA119" s="222"/>
      <c r="AB119" s="222"/>
      <c r="AC119" s="222"/>
      <c r="AD119" s="222"/>
      <c r="AE119" s="222"/>
      <c r="AF119" s="222"/>
      <c r="AG119" s="223">
        <f>TRUNC(MAX(D4:BM6,D7:BM9,D10:BM12),3)</f>
        <v>0.182</v>
      </c>
      <c r="AH119" s="224"/>
      <c r="AI119" s="224"/>
      <c r="AJ119" s="224"/>
      <c r="AK119" s="224"/>
      <c r="AL119" s="225" t="s">
        <v>59</v>
      </c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customHeight="1" x14ac:dyDescent="0.2">
      <c r="A120" s="217"/>
      <c r="B120" s="85" t="s">
        <v>60</v>
      </c>
      <c r="C120" s="228" t="s">
        <v>61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0" t="s">
        <v>62</v>
      </c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30">
        <v>0.18</v>
      </c>
      <c r="AA120" s="230"/>
      <c r="AB120" s="230"/>
      <c r="AC120" s="230"/>
      <c r="AD120" s="230"/>
      <c r="AE120" s="230"/>
      <c r="AF120" s="230"/>
      <c r="AG120" s="231">
        <f>TRUNC(AVERAGE(D4:BM6,D7:BM9,D10:BM12),3)</f>
        <v>0.17299999999999999</v>
      </c>
      <c r="AH120" s="232"/>
      <c r="AI120" s="232"/>
      <c r="AJ120" s="232"/>
      <c r="AK120" s="232"/>
      <c r="AL120" s="233" t="s">
        <v>63</v>
      </c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5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customHeight="1" x14ac:dyDescent="0.2">
      <c r="A121" s="217"/>
      <c r="B121" s="86" t="s">
        <v>64</v>
      </c>
      <c r="C121" s="236" t="s">
        <v>65</v>
      </c>
      <c r="D121" s="237"/>
      <c r="E121" s="237"/>
      <c r="F121" s="237"/>
      <c r="G121" s="237"/>
      <c r="H121" s="237"/>
      <c r="I121" s="237"/>
      <c r="J121" s="237"/>
      <c r="K121" s="237"/>
      <c r="L121" s="237"/>
      <c r="M121" s="220" t="s">
        <v>66</v>
      </c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38">
        <v>9.9000000000000005E-2</v>
      </c>
      <c r="AA121" s="238"/>
      <c r="AB121" s="238"/>
      <c r="AC121" s="238"/>
      <c r="AD121" s="238"/>
      <c r="AE121" s="238"/>
      <c r="AF121" s="238"/>
      <c r="AG121" s="239">
        <f>TRUNC(MIN(D4:BM6,D7:BM9,D10:BM12),3)</f>
        <v>0.159</v>
      </c>
      <c r="AH121" s="232"/>
      <c r="AI121" s="232"/>
      <c r="AJ121" s="232"/>
      <c r="AK121" s="232"/>
      <c r="AL121" s="233" t="s">
        <v>67</v>
      </c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5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customHeight="1" x14ac:dyDescent="0.2">
      <c r="A122" s="217"/>
      <c r="B122" s="87" t="s">
        <v>68</v>
      </c>
      <c r="C122" s="240" t="s">
        <v>69</v>
      </c>
      <c r="D122" s="237"/>
      <c r="E122" s="237"/>
      <c r="F122" s="237"/>
      <c r="G122" s="237"/>
      <c r="H122" s="237"/>
      <c r="I122" s="237"/>
      <c r="J122" s="237"/>
      <c r="K122" s="237"/>
      <c r="L122" s="237"/>
      <c r="M122" s="241" t="s">
        <v>70</v>
      </c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3">
        <v>0.11</v>
      </c>
      <c r="AA122" s="243"/>
      <c r="AB122" s="243"/>
      <c r="AC122" s="243"/>
      <c r="AD122" s="243"/>
      <c r="AE122" s="243"/>
      <c r="AF122" s="243"/>
      <c r="AG122" s="244">
        <f>STDEV(D4:BM6,D7:BM9,D10:BM12)</f>
        <v>5.0396387949607473E-3</v>
      </c>
      <c r="AH122" s="245"/>
      <c r="AI122" s="245"/>
      <c r="AJ122" s="245"/>
      <c r="AK122" s="245"/>
      <c r="AL122" s="246" t="s">
        <v>71</v>
      </c>
      <c r="AM122" s="247"/>
      <c r="AN122" s="247"/>
      <c r="AO122" s="247"/>
      <c r="AP122" s="247"/>
      <c r="AQ122" s="247"/>
      <c r="AR122" s="247"/>
      <c r="AS122" s="247"/>
      <c r="AT122" s="247"/>
      <c r="AU122" s="247"/>
      <c r="AV122" s="248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customHeight="1" x14ac:dyDescent="0.2">
      <c r="A123" s="82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customHeight="1" x14ac:dyDescent="0.2">
      <c r="A124" s="9" t="s">
        <v>19</v>
      </c>
      <c r="B124" s="83" t="s">
        <v>72</v>
      </c>
      <c r="C124" s="208" t="s">
        <v>73</v>
      </c>
      <c r="D124" s="209"/>
      <c r="E124" s="209"/>
      <c r="F124" s="209"/>
      <c r="G124" s="209"/>
      <c r="H124" s="209"/>
      <c r="I124" s="209"/>
      <c r="J124" s="209"/>
      <c r="K124" s="209"/>
      <c r="L124" s="209"/>
      <c r="M124" s="210" t="s">
        <v>52</v>
      </c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2">
        <v>3</v>
      </c>
      <c r="AA124" s="212"/>
      <c r="AB124" s="212"/>
      <c r="AC124" s="212"/>
      <c r="AD124" s="212"/>
      <c r="AE124" s="212"/>
      <c r="AF124" s="213"/>
      <c r="AG124" s="214" t="s">
        <v>53</v>
      </c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6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customHeight="1" x14ac:dyDescent="0.2">
      <c r="A125" s="217" t="s">
        <v>54</v>
      </c>
      <c r="B125" s="84" t="s">
        <v>74</v>
      </c>
      <c r="C125" s="218" t="s">
        <v>75</v>
      </c>
      <c r="D125" s="219"/>
      <c r="E125" s="219"/>
      <c r="F125" s="219"/>
      <c r="G125" s="219"/>
      <c r="H125" s="219"/>
      <c r="I125" s="219"/>
      <c r="J125" s="219"/>
      <c r="K125" s="219"/>
      <c r="L125" s="219"/>
      <c r="M125" s="220" t="s">
        <v>57</v>
      </c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2" t="s">
        <v>76</v>
      </c>
      <c r="AA125" s="222"/>
      <c r="AB125" s="222"/>
      <c r="AC125" s="222"/>
      <c r="AD125" s="222"/>
      <c r="AE125" s="222"/>
      <c r="AF125" s="222"/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>0.32900000000000001</v>
      </c>
      <c r="AH125" s="224"/>
      <c r="AI125" s="224"/>
      <c r="AJ125" s="224"/>
      <c r="AK125" s="224"/>
      <c r="AL125" s="225" t="s">
        <v>59</v>
      </c>
      <c r="AM125" s="226"/>
      <c r="AN125" s="226"/>
      <c r="AO125" s="226"/>
      <c r="AP125" s="226"/>
      <c r="AQ125" s="226"/>
      <c r="AR125" s="226"/>
      <c r="AS125" s="226"/>
      <c r="AT125" s="226"/>
      <c r="AU125" s="226"/>
      <c r="AV125" s="22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217"/>
      <c r="B126" s="85" t="s">
        <v>77</v>
      </c>
      <c r="C126" s="228" t="s">
        <v>78</v>
      </c>
      <c r="D126" s="229"/>
      <c r="E126" s="229"/>
      <c r="F126" s="229"/>
      <c r="G126" s="229"/>
      <c r="H126" s="229"/>
      <c r="I126" s="229"/>
      <c r="J126" s="229"/>
      <c r="K126" s="229"/>
      <c r="L126" s="229"/>
      <c r="M126" s="220" t="s">
        <v>62</v>
      </c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30">
        <v>0.20300000000000001</v>
      </c>
      <c r="AA126" s="230"/>
      <c r="AB126" s="230"/>
      <c r="AC126" s="230"/>
      <c r="AD126" s="230"/>
      <c r="AE126" s="230"/>
      <c r="AF126" s="230"/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>0.21199999999999999</v>
      </c>
      <c r="AH126" s="232"/>
      <c r="AI126" s="232"/>
      <c r="AJ126" s="232"/>
      <c r="AK126" s="232"/>
      <c r="AL126" s="233" t="s">
        <v>63</v>
      </c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5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217"/>
      <c r="B127" s="86" t="s">
        <v>79</v>
      </c>
      <c r="C127" s="236" t="s">
        <v>80</v>
      </c>
      <c r="D127" s="237"/>
      <c r="E127" s="237"/>
      <c r="F127" s="237"/>
      <c r="G127" s="237"/>
      <c r="H127" s="237"/>
      <c r="I127" s="237"/>
      <c r="J127" s="237"/>
      <c r="K127" s="237"/>
      <c r="L127" s="237"/>
      <c r="M127" s="220" t="s">
        <v>66</v>
      </c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38">
        <v>8.3000000000000004E-2</v>
      </c>
      <c r="AA127" s="238"/>
      <c r="AB127" s="238"/>
      <c r="AC127" s="238"/>
      <c r="AD127" s="238"/>
      <c r="AE127" s="238"/>
      <c r="AF127" s="238"/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>0.152</v>
      </c>
      <c r="AH127" s="232"/>
      <c r="AI127" s="232"/>
      <c r="AJ127" s="232"/>
      <c r="AK127" s="232"/>
      <c r="AL127" s="233" t="s">
        <v>67</v>
      </c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5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17"/>
      <c r="B128" s="87" t="s">
        <v>81</v>
      </c>
      <c r="C128" s="240" t="s">
        <v>82</v>
      </c>
      <c r="D128" s="237"/>
      <c r="E128" s="237"/>
      <c r="F128" s="237"/>
      <c r="G128" s="237"/>
      <c r="H128" s="237"/>
      <c r="I128" s="237"/>
      <c r="J128" s="237"/>
      <c r="K128" s="237"/>
      <c r="L128" s="237"/>
      <c r="M128" s="241" t="s">
        <v>70</v>
      </c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3">
        <v>0.1</v>
      </c>
      <c r="AA128" s="243"/>
      <c r="AB128" s="243"/>
      <c r="AC128" s="243"/>
      <c r="AD128" s="243"/>
      <c r="AE128" s="243"/>
      <c r="AF128" s="243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>2.8486400948300843E-2</v>
      </c>
      <c r="AH128" s="245"/>
      <c r="AI128" s="245"/>
      <c r="AJ128" s="245"/>
      <c r="AK128" s="245"/>
      <c r="AL128" s="246" t="s">
        <v>71</v>
      </c>
      <c r="AM128" s="247"/>
      <c r="AN128" s="247"/>
      <c r="AO128" s="247"/>
      <c r="AP128" s="247"/>
      <c r="AQ128" s="247"/>
      <c r="AR128" s="247"/>
      <c r="AS128" s="247"/>
      <c r="AT128" s="247"/>
      <c r="AU128" s="247"/>
      <c r="AV128" s="248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6" customHeight="1" x14ac:dyDescent="0.2">
      <c r="A129" s="1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24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6" customHeight="1" x14ac:dyDescent="0.2">
      <c r="A130" s="9" t="s">
        <v>43</v>
      </c>
      <c r="B130" s="83" t="s">
        <v>72</v>
      </c>
      <c r="C130" s="208" t="s">
        <v>83</v>
      </c>
      <c r="D130" s="209"/>
      <c r="E130" s="209"/>
      <c r="F130" s="209"/>
      <c r="G130" s="209"/>
      <c r="H130" s="209"/>
      <c r="I130" s="209"/>
      <c r="J130" s="209"/>
      <c r="K130" s="209"/>
      <c r="L130" s="209"/>
      <c r="M130" s="210" t="s">
        <v>52</v>
      </c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2">
        <v>3</v>
      </c>
      <c r="AA130" s="212"/>
      <c r="AB130" s="212"/>
      <c r="AC130" s="212"/>
      <c r="AD130" s="212"/>
      <c r="AE130" s="212"/>
      <c r="AF130" s="213"/>
      <c r="AG130" s="214" t="s">
        <v>53</v>
      </c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6"/>
      <c r="AW130" s="192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  <c r="BI130" s="193"/>
      <c r="BJ130" s="193"/>
      <c r="BK130" s="193"/>
      <c r="BL130" s="193"/>
      <c r="BM130" s="193"/>
      <c r="BN130" s="193"/>
      <c r="BO130" s="193"/>
      <c r="BP130" s="193"/>
      <c r="BQ130" s="193"/>
      <c r="BR130" s="184" t="s">
        <v>84</v>
      </c>
      <c r="BS130" s="184"/>
      <c r="BT130" s="184"/>
      <c r="BU130" s="184"/>
      <c r="BV130" s="184"/>
      <c r="BW130" s="184"/>
      <c r="BX130" s="184"/>
      <c r="BY130" s="184"/>
      <c r="BZ130" s="184"/>
      <c r="CA130" s="184"/>
      <c r="CB130" s="184"/>
      <c r="CC130" s="184"/>
      <c r="CD130" s="184"/>
      <c r="CE130" s="184"/>
      <c r="CF130" s="184"/>
      <c r="CG130" s="184"/>
      <c r="CH130" s="184"/>
      <c r="CI130" s="184"/>
      <c r="CJ130" s="184"/>
      <c r="CK130" s="185"/>
      <c r="CL130" s="400" t="str">
        <f>Thickness!CL130</f>
        <v xml:space="preserve">INTERNATIONAL PAPER </v>
      </c>
      <c r="CM130" s="401"/>
      <c r="CN130" s="401"/>
      <c r="CO130" s="401"/>
      <c r="CP130" s="401"/>
      <c r="CQ130" s="401"/>
      <c r="CR130" s="401"/>
      <c r="CS130" s="401"/>
      <c r="CT130" s="401"/>
      <c r="CU130" s="401"/>
      <c r="CV130" s="401"/>
      <c r="CW130" s="401"/>
      <c r="CX130" s="401"/>
      <c r="CY130" s="401"/>
      <c r="CZ130" s="401"/>
      <c r="DA130" s="401"/>
      <c r="DB130" s="401"/>
      <c r="DC130" s="401"/>
      <c r="DD130" s="401"/>
      <c r="DE130" s="401"/>
      <c r="DF130" s="401"/>
      <c r="DG130" s="401"/>
      <c r="DH130" s="401"/>
      <c r="DI130" s="401"/>
      <c r="DJ130" s="401"/>
      <c r="DK130" s="401"/>
      <c r="DL130" s="401"/>
      <c r="DM130" s="401"/>
      <c r="DN130" s="401"/>
      <c r="DO130" s="401"/>
      <c r="DP130" s="401"/>
      <c r="DQ130" s="401"/>
      <c r="DR130" s="401"/>
      <c r="DS130" s="401"/>
      <c r="DT130" s="401"/>
      <c r="DU130" s="401"/>
      <c r="DV130" s="401"/>
      <c r="DW130" s="401"/>
      <c r="DX130" s="401"/>
      <c r="DY130" s="401"/>
      <c r="DZ130" s="402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6" customHeight="1" x14ac:dyDescent="0.2">
      <c r="A131" s="217" t="s">
        <v>54</v>
      </c>
      <c r="B131" s="84" t="s">
        <v>86</v>
      </c>
      <c r="C131" s="218" t="s">
        <v>87</v>
      </c>
      <c r="D131" s="219"/>
      <c r="E131" s="219"/>
      <c r="F131" s="219"/>
      <c r="G131" s="219"/>
      <c r="H131" s="219"/>
      <c r="I131" s="219"/>
      <c r="J131" s="219"/>
      <c r="K131" s="219"/>
      <c r="L131" s="219"/>
      <c r="M131" s="220" t="s">
        <v>57</v>
      </c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2" t="s">
        <v>88</v>
      </c>
      <c r="AA131" s="222"/>
      <c r="AB131" s="222"/>
      <c r="AC131" s="222"/>
      <c r="AD131" s="222"/>
      <c r="AE131" s="222"/>
      <c r="AF131" s="222"/>
      <c r="AG131" s="223">
        <f>TRUNC(MAX(D91:BM93,D94:BM96,D97:BM99,D100:BM102,D103:BM105,D106:BM108,D109:BM111,D112:BM114),3)</f>
        <v>0.373</v>
      </c>
      <c r="AH131" s="224"/>
      <c r="AI131" s="224"/>
      <c r="AJ131" s="224"/>
      <c r="AK131" s="224"/>
      <c r="AL131" s="225" t="s">
        <v>59</v>
      </c>
      <c r="AM131" s="226"/>
      <c r="AN131" s="226"/>
      <c r="AO131" s="226"/>
      <c r="AP131" s="226"/>
      <c r="AQ131" s="226"/>
      <c r="AR131" s="226"/>
      <c r="AS131" s="226"/>
      <c r="AT131" s="226"/>
      <c r="AU131" s="226"/>
      <c r="AV131" s="227"/>
      <c r="AW131" s="194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86"/>
      <c r="BS131" s="186"/>
      <c r="BT131" s="186"/>
      <c r="BU131" s="186"/>
      <c r="BV131" s="186"/>
      <c r="BW131" s="186"/>
      <c r="BX131" s="186"/>
      <c r="BY131" s="186"/>
      <c r="BZ131" s="18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7"/>
      <c r="CL131" s="403" t="str">
        <f>Thickness!CL131</f>
        <v>RIVERDALE MILL</v>
      </c>
      <c r="CM131" s="404"/>
      <c r="CN131" s="404"/>
      <c r="CO131" s="404"/>
      <c r="CP131" s="404"/>
      <c r="CQ131" s="404"/>
      <c r="CR131" s="404"/>
      <c r="CS131" s="404"/>
      <c r="CT131" s="404"/>
      <c r="CU131" s="404"/>
      <c r="CV131" s="404"/>
      <c r="CW131" s="404"/>
      <c r="CX131" s="404"/>
      <c r="CY131" s="404"/>
      <c r="CZ131" s="404"/>
      <c r="DA131" s="404"/>
      <c r="DB131" s="404"/>
      <c r="DC131" s="404"/>
      <c r="DD131" s="404"/>
      <c r="DE131" s="404"/>
      <c r="DF131" s="404"/>
      <c r="DG131" s="404"/>
      <c r="DH131" s="404"/>
      <c r="DI131" s="404"/>
      <c r="DJ131" s="404"/>
      <c r="DK131" s="404"/>
      <c r="DL131" s="404"/>
      <c r="DM131" s="404"/>
      <c r="DN131" s="404"/>
      <c r="DO131" s="404"/>
      <c r="DP131" s="404"/>
      <c r="DQ131" s="404"/>
      <c r="DR131" s="404"/>
      <c r="DS131" s="404"/>
      <c r="DT131" s="404"/>
      <c r="DU131" s="404"/>
      <c r="DV131" s="404"/>
      <c r="DW131" s="404"/>
      <c r="DX131" s="404"/>
      <c r="DY131" s="404"/>
      <c r="DZ131" s="405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ht="36" customHeight="1" x14ac:dyDescent="0.2">
      <c r="A132" s="217"/>
      <c r="B132" s="85" t="s">
        <v>90</v>
      </c>
      <c r="C132" s="228" t="s">
        <v>91</v>
      </c>
      <c r="D132" s="229"/>
      <c r="E132" s="229"/>
      <c r="F132" s="229"/>
      <c r="G132" s="229"/>
      <c r="H132" s="229"/>
      <c r="I132" s="229"/>
      <c r="J132" s="229"/>
      <c r="K132" s="229"/>
      <c r="L132" s="229"/>
      <c r="M132" s="220" t="s">
        <v>62</v>
      </c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30">
        <v>0.3</v>
      </c>
      <c r="AA132" s="230"/>
      <c r="AB132" s="230"/>
      <c r="AC132" s="230"/>
      <c r="AD132" s="230"/>
      <c r="AE132" s="230"/>
      <c r="AF132" s="230"/>
      <c r="AG132" s="231">
        <f>TRUNC(AVERAGE(D91:BM93,D94:BM96,D97:BM99,D100:BM102,D103:BM105,D106:BM108,D109:BM111,D112:BM114),3)</f>
        <v>0.313</v>
      </c>
      <c r="AH132" s="232"/>
      <c r="AI132" s="232"/>
      <c r="AJ132" s="232"/>
      <c r="AK132" s="232"/>
      <c r="AL132" s="233" t="s">
        <v>63</v>
      </c>
      <c r="AM132" s="234"/>
      <c r="AN132" s="234"/>
      <c r="AO132" s="234"/>
      <c r="AP132" s="234"/>
      <c r="AQ132" s="234"/>
      <c r="AR132" s="234"/>
      <c r="AS132" s="234"/>
      <c r="AT132" s="234"/>
      <c r="AU132" s="234"/>
      <c r="AV132" s="235"/>
      <c r="AW132" s="194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86"/>
      <c r="BS132" s="186"/>
      <c r="BT132" s="186"/>
      <c r="BU132" s="186"/>
      <c r="BV132" s="186"/>
      <c r="BW132" s="186"/>
      <c r="BX132" s="186"/>
      <c r="BY132" s="186"/>
      <c r="BZ132" s="18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7"/>
      <c r="CL132" s="397" t="s">
        <v>306</v>
      </c>
      <c r="CM132" s="398"/>
      <c r="CN132" s="398"/>
      <c r="CO132" s="398"/>
      <c r="CP132" s="398"/>
      <c r="CQ132" s="398"/>
      <c r="CR132" s="398"/>
      <c r="CS132" s="398"/>
      <c r="CT132" s="398"/>
      <c r="CU132" s="398"/>
      <c r="CV132" s="398"/>
      <c r="CW132" s="398"/>
      <c r="CX132" s="398"/>
      <c r="CY132" s="398"/>
      <c r="CZ132" s="398"/>
      <c r="DA132" s="398"/>
      <c r="DB132" s="398"/>
      <c r="DC132" s="398"/>
      <c r="DD132" s="398"/>
      <c r="DE132" s="398"/>
      <c r="DF132" s="398"/>
      <c r="DG132" s="398"/>
      <c r="DH132" s="398"/>
      <c r="DI132" s="398"/>
      <c r="DJ132" s="398"/>
      <c r="DK132" s="398"/>
      <c r="DL132" s="398"/>
      <c r="DM132" s="398"/>
      <c r="DN132" s="398"/>
      <c r="DO132" s="398"/>
      <c r="DP132" s="398"/>
      <c r="DQ132" s="398"/>
      <c r="DR132" s="398"/>
      <c r="DS132" s="398"/>
      <c r="DT132" s="398"/>
      <c r="DU132" s="398"/>
      <c r="DV132" s="398"/>
      <c r="DW132" s="398"/>
      <c r="DX132" s="398"/>
      <c r="DY132" s="398"/>
      <c r="DZ132" s="399"/>
    </row>
    <row r="133" spans="1:182" ht="36" customHeight="1" x14ac:dyDescent="0.2">
      <c r="A133" s="217"/>
      <c r="B133" s="86" t="s">
        <v>93</v>
      </c>
      <c r="C133" s="236" t="s">
        <v>94</v>
      </c>
      <c r="D133" s="237"/>
      <c r="E133" s="237"/>
      <c r="F133" s="237"/>
      <c r="G133" s="237"/>
      <c r="H133" s="237"/>
      <c r="I133" s="237"/>
      <c r="J133" s="237"/>
      <c r="K133" s="237"/>
      <c r="L133" s="237"/>
      <c r="M133" s="220" t="s">
        <v>66</v>
      </c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38">
        <v>8.3000000000000004E-2</v>
      </c>
      <c r="AA133" s="238"/>
      <c r="AB133" s="238"/>
      <c r="AC133" s="238"/>
      <c r="AD133" s="238"/>
      <c r="AE133" s="238"/>
      <c r="AF133" s="238"/>
      <c r="AG133" s="239">
        <f>TRUNC(MIN(D91:BM93,D94:BM96,D97:BM99,D100:BM102,D103:BM105,D106:BM108,D109:BM111,D112:BM114),3)</f>
        <v>0.27700000000000002</v>
      </c>
      <c r="AH133" s="232"/>
      <c r="AI133" s="232"/>
      <c r="AJ133" s="232"/>
      <c r="AK133" s="232"/>
      <c r="AL133" s="233" t="s">
        <v>67</v>
      </c>
      <c r="AM133" s="234"/>
      <c r="AN133" s="234"/>
      <c r="AO133" s="234"/>
      <c r="AP133" s="234"/>
      <c r="AQ133" s="234"/>
      <c r="AR133" s="234"/>
      <c r="AS133" s="234"/>
      <c r="AT133" s="234"/>
      <c r="AU133" s="234"/>
      <c r="AV133" s="235"/>
      <c r="AW133" s="196"/>
      <c r="AX133" s="197"/>
      <c r="AY133" s="197"/>
      <c r="AZ133" s="197"/>
      <c r="BA133" s="197"/>
      <c r="BB133" s="197"/>
      <c r="BC133" s="197"/>
      <c r="BD133" s="197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9"/>
      <c r="CL133" s="397" t="str">
        <f>Thickness!CL133</f>
        <v>NO. 1 RECOVERY BOILER</v>
      </c>
      <c r="CM133" s="398"/>
      <c r="CN133" s="398"/>
      <c r="CO133" s="398"/>
      <c r="CP133" s="398"/>
      <c r="CQ133" s="398"/>
      <c r="CR133" s="398"/>
      <c r="CS133" s="398"/>
      <c r="CT133" s="398"/>
      <c r="CU133" s="398"/>
      <c r="CV133" s="398"/>
      <c r="CW133" s="398"/>
      <c r="CX133" s="398"/>
      <c r="CY133" s="398"/>
      <c r="CZ133" s="398"/>
      <c r="DA133" s="398"/>
      <c r="DB133" s="398"/>
      <c r="DC133" s="398"/>
      <c r="DD133" s="398"/>
      <c r="DE133" s="398"/>
      <c r="DF133" s="398"/>
      <c r="DG133" s="398"/>
      <c r="DH133" s="398"/>
      <c r="DI133" s="398"/>
      <c r="DJ133" s="398"/>
      <c r="DK133" s="398"/>
      <c r="DL133" s="398"/>
      <c r="DM133" s="398"/>
      <c r="DN133" s="398"/>
      <c r="DO133" s="398"/>
      <c r="DP133" s="398"/>
      <c r="DQ133" s="398"/>
      <c r="DR133" s="398"/>
      <c r="DS133" s="398"/>
      <c r="DT133" s="398"/>
      <c r="DU133" s="398"/>
      <c r="DV133" s="398"/>
      <c r="DW133" s="398"/>
      <c r="DX133" s="398"/>
      <c r="DY133" s="398"/>
      <c r="DZ133" s="399"/>
    </row>
    <row r="134" spans="1:182" ht="36" customHeight="1" x14ac:dyDescent="0.2">
      <c r="A134" s="217"/>
      <c r="B134" s="87" t="s">
        <v>96</v>
      </c>
      <c r="C134" s="240" t="s">
        <v>97</v>
      </c>
      <c r="D134" s="237"/>
      <c r="E134" s="237"/>
      <c r="F134" s="237"/>
      <c r="G134" s="237"/>
      <c r="H134" s="237"/>
      <c r="I134" s="237"/>
      <c r="J134" s="237"/>
      <c r="K134" s="237"/>
      <c r="L134" s="237"/>
      <c r="M134" s="241" t="s">
        <v>70</v>
      </c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3">
        <v>0.2</v>
      </c>
      <c r="AA134" s="243"/>
      <c r="AB134" s="243"/>
      <c r="AC134" s="243"/>
      <c r="AD134" s="243"/>
      <c r="AE134" s="243"/>
      <c r="AF134" s="243"/>
      <c r="AG134" s="244">
        <f>STDEV(D91:BM93,D94:BM96,D97:BM99,D100:BM102,D103:BM105,D106:BM108,D109:BM111,D112:BM114)</f>
        <v>1.180003649686105E-2</v>
      </c>
      <c r="AH134" s="245"/>
      <c r="AI134" s="245"/>
      <c r="AJ134" s="245"/>
      <c r="AK134" s="245"/>
      <c r="AL134" s="246" t="s">
        <v>71</v>
      </c>
      <c r="AM134" s="247"/>
      <c r="AN134" s="247"/>
      <c r="AO134" s="247"/>
      <c r="AP134" s="247"/>
      <c r="AQ134" s="247"/>
      <c r="AR134" s="247"/>
      <c r="AS134" s="247"/>
      <c r="AT134" s="247"/>
      <c r="AU134" s="247"/>
      <c r="AV134" s="248"/>
      <c r="AW134" s="190" t="str">
        <f>Thickness!AW134</f>
        <v>Job #  H449364  P.O. #  0018342455 W.O. #  N/A   Date:  5/05/2025</v>
      </c>
      <c r="AX134" s="310"/>
      <c r="AY134" s="310"/>
      <c r="AZ134" s="310"/>
      <c r="BA134" s="310"/>
      <c r="BB134" s="310"/>
      <c r="BC134" s="310"/>
      <c r="BD134" s="310"/>
      <c r="BE134" s="310"/>
      <c r="BF134" s="310"/>
      <c r="BG134" s="310"/>
      <c r="BH134" s="310"/>
      <c r="BI134" s="310"/>
      <c r="BJ134" s="310"/>
      <c r="BK134" s="310"/>
      <c r="BL134" s="310"/>
      <c r="BM134" s="310"/>
      <c r="BN134" s="310"/>
      <c r="BO134" s="310"/>
      <c r="BP134" s="310"/>
      <c r="BQ134" s="310"/>
      <c r="BR134" s="310"/>
      <c r="BS134" s="310"/>
      <c r="BT134" s="310"/>
      <c r="BU134" s="310"/>
      <c r="BV134" s="310"/>
      <c r="BW134" s="310"/>
      <c r="BX134" s="310"/>
      <c r="BY134" s="310"/>
      <c r="BZ134" s="310"/>
      <c r="CA134" s="310"/>
      <c r="CB134" s="310"/>
      <c r="CC134" s="310"/>
      <c r="CD134" s="310"/>
      <c r="CE134" s="310"/>
      <c r="CF134" s="310"/>
      <c r="CG134" s="310"/>
      <c r="CH134" s="310"/>
      <c r="CI134" s="310"/>
      <c r="CJ134" s="310"/>
      <c r="CK134" s="311"/>
      <c r="CL134" s="410" t="str">
        <f>Thickness!CL134</f>
        <v>04 REAR WALL W/ PORTS</v>
      </c>
      <c r="CM134" s="411"/>
      <c r="CN134" s="411"/>
      <c r="CO134" s="411"/>
      <c r="CP134" s="411"/>
      <c r="CQ134" s="411"/>
      <c r="CR134" s="411"/>
      <c r="CS134" s="411"/>
      <c r="CT134" s="411"/>
      <c r="CU134" s="411"/>
      <c r="CV134" s="411"/>
      <c r="CW134" s="411"/>
      <c r="CX134" s="411"/>
      <c r="CY134" s="411"/>
      <c r="CZ134" s="411"/>
      <c r="DA134" s="411"/>
      <c r="DB134" s="411"/>
      <c r="DC134" s="411"/>
      <c r="DD134" s="411"/>
      <c r="DE134" s="411"/>
      <c r="DF134" s="411"/>
      <c r="DG134" s="411"/>
      <c r="DH134" s="411"/>
      <c r="DI134" s="411"/>
      <c r="DJ134" s="411"/>
      <c r="DK134" s="411"/>
      <c r="DL134" s="411"/>
      <c r="DM134" s="411"/>
      <c r="DN134" s="411"/>
      <c r="DO134" s="411"/>
      <c r="DP134" s="411"/>
      <c r="DQ134" s="411"/>
      <c r="DR134" s="411"/>
      <c r="DS134" s="411"/>
      <c r="DT134" s="411"/>
      <c r="DU134" s="411"/>
      <c r="DV134" s="411"/>
      <c r="DW134" s="411"/>
      <c r="DX134" s="411"/>
      <c r="DY134" s="411"/>
      <c r="DZ134" s="412"/>
    </row>
    <row r="135" spans="1:182" ht="36" customHeight="1" x14ac:dyDescent="0.35">
      <c r="B135" s="16" t="s">
        <v>307</v>
      </c>
    </row>
    <row r="136" spans="1:182" ht="36" customHeight="1" x14ac:dyDescent="0.2"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182" ht="36" customHeight="1" x14ac:dyDescent="0.2"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82" x14ac:dyDescent="0.2"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BJ138" s="3"/>
      <c r="BK138" s="3"/>
      <c r="BL138" s="3"/>
      <c r="BM138" s="3"/>
      <c r="BN138" s="3"/>
      <c r="BO138" s="3"/>
      <c r="BP138" s="3"/>
      <c r="BQ138" s="3"/>
      <c r="BR138" s="184" t="s">
        <v>84</v>
      </c>
      <c r="BS138" s="184"/>
      <c r="BT138" s="184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  <c r="CG138" s="184"/>
      <c r="CH138" s="184"/>
      <c r="CI138" s="184"/>
      <c r="CJ138" s="184"/>
      <c r="CK138" s="185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82" x14ac:dyDescent="0.2">
      <c r="BJ139" s="3"/>
      <c r="BK139" s="3"/>
      <c r="BL139" s="3"/>
      <c r="BM139" s="3"/>
      <c r="BN139" s="3"/>
      <c r="BO139" s="3"/>
      <c r="BP139" s="3"/>
      <c r="BQ139" s="3"/>
      <c r="BR139" s="186"/>
      <c r="BS139" s="186"/>
      <c r="BT139" s="186"/>
      <c r="BU139" s="186"/>
      <c r="BV139" s="186"/>
      <c r="BW139" s="186"/>
      <c r="BX139" s="186"/>
      <c r="BY139" s="186"/>
      <c r="BZ139" s="18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7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82" x14ac:dyDescent="0.2">
      <c r="BR140" s="186"/>
      <c r="BS140" s="186"/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7"/>
    </row>
    <row r="141" spans="1:182" x14ac:dyDescent="0.2"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9"/>
    </row>
    <row r="143" spans="1:182" x14ac:dyDescent="0.2">
      <c r="BR143" s="184" t="s">
        <v>101</v>
      </c>
      <c r="BS143" s="184"/>
      <c r="BT143" s="184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  <c r="CG143" s="184"/>
      <c r="CH143" s="184"/>
      <c r="CI143" s="184"/>
      <c r="CJ143" s="184"/>
      <c r="CK143" s="185"/>
    </row>
    <row r="144" spans="1:182" x14ac:dyDescent="0.2"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7"/>
    </row>
    <row r="145" spans="70:89" x14ac:dyDescent="0.2">
      <c r="BR145" s="186"/>
      <c r="BS145" s="186"/>
      <c r="BT145" s="186"/>
      <c r="BU145" s="186"/>
      <c r="BV145" s="186"/>
      <c r="BW145" s="186"/>
      <c r="BX145" s="186"/>
      <c r="BY145" s="186"/>
      <c r="BZ145" s="18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7"/>
    </row>
    <row r="146" spans="70:89" x14ac:dyDescent="0.2">
      <c r="BR146" s="188"/>
      <c r="BS146" s="188"/>
      <c r="BT146" s="188"/>
      <c r="BU146" s="188"/>
      <c r="BV146" s="188"/>
      <c r="BW146" s="188"/>
      <c r="BX146" s="188"/>
      <c r="BY146" s="188"/>
      <c r="BZ146" s="188"/>
      <c r="CA146" s="188"/>
      <c r="CB146" s="188"/>
      <c r="CC146" s="188"/>
      <c r="CD146" s="188"/>
      <c r="CE146" s="188"/>
      <c r="CF146" s="188"/>
      <c r="CG146" s="188"/>
      <c r="CH146" s="188"/>
      <c r="CI146" s="188"/>
      <c r="CJ146" s="188"/>
      <c r="CK146" s="189"/>
    </row>
    <row r="148" spans="70:89" x14ac:dyDescent="0.2">
      <c r="BR148" s="184" t="s">
        <v>102</v>
      </c>
      <c r="BS148" s="184"/>
      <c r="BT148" s="184"/>
      <c r="BU148" s="184"/>
      <c r="BV148" s="184"/>
      <c r="BW148" s="184"/>
      <c r="BX148" s="184"/>
      <c r="BY148" s="184"/>
      <c r="BZ148" s="184"/>
      <c r="CA148" s="184"/>
      <c r="CB148" s="184"/>
      <c r="CC148" s="184"/>
      <c r="CD148" s="184"/>
      <c r="CE148" s="184"/>
      <c r="CF148" s="184"/>
      <c r="CG148" s="184"/>
      <c r="CH148" s="184"/>
      <c r="CI148" s="184"/>
      <c r="CJ148" s="184"/>
      <c r="CK148" s="185"/>
    </row>
    <row r="149" spans="70:89" x14ac:dyDescent="0.2"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7"/>
    </row>
    <row r="150" spans="70:89" x14ac:dyDescent="0.2"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7"/>
    </row>
    <row r="151" spans="70:89" x14ac:dyDescent="0.2">
      <c r="BR151" s="188"/>
      <c r="BS151" s="188"/>
      <c r="BT151" s="188"/>
      <c r="BU151" s="188"/>
      <c r="BV151" s="188"/>
      <c r="BW151" s="188"/>
      <c r="BX151" s="188"/>
      <c r="BY151" s="188"/>
      <c r="BZ151" s="188"/>
      <c r="CA151" s="188"/>
      <c r="CB151" s="188"/>
      <c r="CC151" s="188"/>
      <c r="CD151" s="188"/>
      <c r="CE151" s="188"/>
      <c r="CF151" s="188"/>
      <c r="CG151" s="188"/>
      <c r="CH151" s="188"/>
      <c r="CI151" s="188"/>
      <c r="CJ151" s="188"/>
      <c r="CK151" s="189"/>
    </row>
  </sheetData>
  <mergeCells count="2535">
    <mergeCell ref="BK112:BK114"/>
    <mergeCell ref="BL112:BL114"/>
    <mergeCell ref="BM112:BM114"/>
    <mergeCell ref="BF112:BF114"/>
    <mergeCell ref="BG112:BG114"/>
    <mergeCell ref="BH112:BH114"/>
    <mergeCell ref="BI112:BI114"/>
    <mergeCell ref="BJ112:BJ114"/>
    <mergeCell ref="BA112:BA114"/>
    <mergeCell ref="BB112:BB114"/>
    <mergeCell ref="BC112:BC114"/>
    <mergeCell ref="BD112:BD114"/>
    <mergeCell ref="BE112:BE114"/>
    <mergeCell ref="AV112:AV114"/>
    <mergeCell ref="AW112:AW114"/>
    <mergeCell ref="AX112:AX114"/>
    <mergeCell ref="AY112:AY114"/>
    <mergeCell ref="AZ112:AZ114"/>
    <mergeCell ref="AQ112:AQ114"/>
    <mergeCell ref="AR112:AR114"/>
    <mergeCell ref="AS112:AS114"/>
    <mergeCell ref="AT112:AT114"/>
    <mergeCell ref="AU112:AU114"/>
    <mergeCell ref="AL112:AL114"/>
    <mergeCell ref="AM112:AM114"/>
    <mergeCell ref="AN112:AN114"/>
    <mergeCell ref="AO112:AO114"/>
    <mergeCell ref="AP112:AP114"/>
    <mergeCell ref="AG112:AG114"/>
    <mergeCell ref="AH112:AH114"/>
    <mergeCell ref="AI112:AI114"/>
    <mergeCell ref="AJ112:AJ114"/>
    <mergeCell ref="AK112:AK114"/>
    <mergeCell ref="AB112:AB114"/>
    <mergeCell ref="AC112:AC114"/>
    <mergeCell ref="AD112:AD114"/>
    <mergeCell ref="AE112:AE114"/>
    <mergeCell ref="AF112:AF114"/>
    <mergeCell ref="W112:W114"/>
    <mergeCell ref="X112:X114"/>
    <mergeCell ref="Y112:Y114"/>
    <mergeCell ref="Z112:Z114"/>
    <mergeCell ref="AA112:AA114"/>
    <mergeCell ref="R112:R114"/>
    <mergeCell ref="S112:S114"/>
    <mergeCell ref="T112:T114"/>
    <mergeCell ref="U112:U114"/>
    <mergeCell ref="V112:V114"/>
    <mergeCell ref="BL109:BL111"/>
    <mergeCell ref="BM109:BM111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BG109:BG111"/>
    <mergeCell ref="BH109:BH111"/>
    <mergeCell ref="BI109:BI111"/>
    <mergeCell ref="BJ109:BJ111"/>
    <mergeCell ref="BK109:BK111"/>
    <mergeCell ref="BB109:BB111"/>
    <mergeCell ref="BC109:BC111"/>
    <mergeCell ref="BD109:BD111"/>
    <mergeCell ref="BE109:BE111"/>
    <mergeCell ref="BF109:BF111"/>
    <mergeCell ref="AW109:AW111"/>
    <mergeCell ref="AX109:AX111"/>
    <mergeCell ref="AY109:AY111"/>
    <mergeCell ref="AZ109:AZ111"/>
    <mergeCell ref="BA109:BA111"/>
    <mergeCell ref="AR109:AR111"/>
    <mergeCell ref="AS109:AS111"/>
    <mergeCell ref="AT109:AT111"/>
    <mergeCell ref="AU109:AU111"/>
    <mergeCell ref="AV109:AV111"/>
    <mergeCell ref="AM109:AM111"/>
    <mergeCell ref="AN109:AN111"/>
    <mergeCell ref="AO109:AO111"/>
    <mergeCell ref="AP109:AP111"/>
    <mergeCell ref="AQ109:AQ111"/>
    <mergeCell ref="AH109:AH111"/>
    <mergeCell ref="AI109:AI111"/>
    <mergeCell ref="AJ109:AJ111"/>
    <mergeCell ref="AK109:AK111"/>
    <mergeCell ref="AL109:AL111"/>
    <mergeCell ref="AC109:AC111"/>
    <mergeCell ref="AD109:AD111"/>
    <mergeCell ref="AE109:AE111"/>
    <mergeCell ref="AF109:AF111"/>
    <mergeCell ref="AG109:AG111"/>
    <mergeCell ref="X109:X111"/>
    <mergeCell ref="Y109:Y111"/>
    <mergeCell ref="Z109:Z111"/>
    <mergeCell ref="AA109:AA111"/>
    <mergeCell ref="AB109:AB111"/>
    <mergeCell ref="S109:S111"/>
    <mergeCell ref="T109:T111"/>
    <mergeCell ref="U109:U111"/>
    <mergeCell ref="V109:V111"/>
    <mergeCell ref="W109:W111"/>
    <mergeCell ref="N109:N111"/>
    <mergeCell ref="O109:O111"/>
    <mergeCell ref="P109:P111"/>
    <mergeCell ref="Q109:Q111"/>
    <mergeCell ref="R109:R111"/>
    <mergeCell ref="BI106:BI108"/>
    <mergeCell ref="BJ106:BJ108"/>
    <mergeCell ref="BK106:BK108"/>
    <mergeCell ref="BL106:BL108"/>
    <mergeCell ref="BM106:BM108"/>
    <mergeCell ref="BD106:BD108"/>
    <mergeCell ref="BE106:BE108"/>
    <mergeCell ref="BF106:BF108"/>
    <mergeCell ref="BG106:BG108"/>
    <mergeCell ref="BH106:BH108"/>
    <mergeCell ref="AY106:AY108"/>
    <mergeCell ref="AZ106:AZ108"/>
    <mergeCell ref="BA106:BA108"/>
    <mergeCell ref="BB106:BB108"/>
    <mergeCell ref="BC106:BC108"/>
    <mergeCell ref="AT106:AT108"/>
    <mergeCell ref="AU106:AU108"/>
    <mergeCell ref="AV106:AV108"/>
    <mergeCell ref="AW106:AW108"/>
    <mergeCell ref="AX106:AX108"/>
    <mergeCell ref="AO106:AO108"/>
    <mergeCell ref="AP106:AP108"/>
    <mergeCell ref="AQ106:AQ108"/>
    <mergeCell ref="AR106:AR108"/>
    <mergeCell ref="AS106:AS108"/>
    <mergeCell ref="AJ106:AJ108"/>
    <mergeCell ref="AK106:AK108"/>
    <mergeCell ref="AL106:AL108"/>
    <mergeCell ref="AM106:AM108"/>
    <mergeCell ref="AN106:AN108"/>
    <mergeCell ref="AE106:AE108"/>
    <mergeCell ref="AF106:AF108"/>
    <mergeCell ref="AG106:AG108"/>
    <mergeCell ref="AH106:AH108"/>
    <mergeCell ref="AI106:AI108"/>
    <mergeCell ref="Z106:Z108"/>
    <mergeCell ref="AA106:AA108"/>
    <mergeCell ref="AB106:AB108"/>
    <mergeCell ref="AC106:AC108"/>
    <mergeCell ref="AD106:AD108"/>
    <mergeCell ref="U106:U108"/>
    <mergeCell ref="V106:V108"/>
    <mergeCell ref="W106:W108"/>
    <mergeCell ref="X106:X108"/>
    <mergeCell ref="Y106:Y108"/>
    <mergeCell ref="P106:P108"/>
    <mergeCell ref="Q106:Q108"/>
    <mergeCell ref="R106:R108"/>
    <mergeCell ref="S106:S108"/>
    <mergeCell ref="T106:T108"/>
    <mergeCell ref="BJ103:BJ105"/>
    <mergeCell ref="BK103:BK105"/>
    <mergeCell ref="BL103:BL105"/>
    <mergeCell ref="BM103:BM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BE103:BE105"/>
    <mergeCell ref="BF103:BF105"/>
    <mergeCell ref="BG103:BG105"/>
    <mergeCell ref="BH103:BH105"/>
    <mergeCell ref="BI103:BI105"/>
    <mergeCell ref="AZ103:AZ105"/>
    <mergeCell ref="BA103:BA105"/>
    <mergeCell ref="BB103:BB105"/>
    <mergeCell ref="BC103:BC105"/>
    <mergeCell ref="BD103:BD105"/>
    <mergeCell ref="AU103:AU105"/>
    <mergeCell ref="AV103:AV105"/>
    <mergeCell ref="AW103:AW105"/>
    <mergeCell ref="AX103:AX105"/>
    <mergeCell ref="AY103:AY105"/>
    <mergeCell ref="AP103:AP105"/>
    <mergeCell ref="AQ103:AQ105"/>
    <mergeCell ref="AR103:AR105"/>
    <mergeCell ref="AS103:AS105"/>
    <mergeCell ref="AT103:AT105"/>
    <mergeCell ref="AK103:AK105"/>
    <mergeCell ref="AL103:AL105"/>
    <mergeCell ref="AM103:AM105"/>
    <mergeCell ref="AN103:AN105"/>
    <mergeCell ref="AO103:AO105"/>
    <mergeCell ref="AF103:AF105"/>
    <mergeCell ref="AG103:AG105"/>
    <mergeCell ref="AH103:AH105"/>
    <mergeCell ref="AI103:AI105"/>
    <mergeCell ref="AJ103:AJ105"/>
    <mergeCell ref="AA103:AA105"/>
    <mergeCell ref="AB103:AB105"/>
    <mergeCell ref="AC103:AC105"/>
    <mergeCell ref="AD103:AD105"/>
    <mergeCell ref="AE103:AE105"/>
    <mergeCell ref="V103:V105"/>
    <mergeCell ref="W103:W105"/>
    <mergeCell ref="X103:X105"/>
    <mergeCell ref="Y103:Y105"/>
    <mergeCell ref="Z103:Z105"/>
    <mergeCell ref="Q103:Q105"/>
    <mergeCell ref="R103:R105"/>
    <mergeCell ref="S103:S105"/>
    <mergeCell ref="T103:T105"/>
    <mergeCell ref="U103:U105"/>
    <mergeCell ref="BK100:BK102"/>
    <mergeCell ref="BL100:BL102"/>
    <mergeCell ref="BM100:BM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BF100:BF102"/>
    <mergeCell ref="BG100:BG102"/>
    <mergeCell ref="BH100:BH102"/>
    <mergeCell ref="BI100:BI102"/>
    <mergeCell ref="BJ100:BJ102"/>
    <mergeCell ref="BA100:BA102"/>
    <mergeCell ref="BB100:BB102"/>
    <mergeCell ref="BC100:BC102"/>
    <mergeCell ref="BD100:BD102"/>
    <mergeCell ref="BE100:BE102"/>
    <mergeCell ref="AV100:AV102"/>
    <mergeCell ref="AW100:AW102"/>
    <mergeCell ref="AX100:AX102"/>
    <mergeCell ref="AY100:AY102"/>
    <mergeCell ref="AZ100:AZ102"/>
    <mergeCell ref="AQ100:AQ102"/>
    <mergeCell ref="AR100:AR102"/>
    <mergeCell ref="AS100:AS102"/>
    <mergeCell ref="AT100:AT102"/>
    <mergeCell ref="AU100:AU102"/>
    <mergeCell ref="AL100:AL102"/>
    <mergeCell ref="AM100:AM102"/>
    <mergeCell ref="AN100:AN102"/>
    <mergeCell ref="AO100:AO102"/>
    <mergeCell ref="AP100:AP102"/>
    <mergeCell ref="AG100:AG102"/>
    <mergeCell ref="AH100:AH102"/>
    <mergeCell ref="AI100:AI102"/>
    <mergeCell ref="AJ100:AJ102"/>
    <mergeCell ref="AK100:AK102"/>
    <mergeCell ref="AB100:AB102"/>
    <mergeCell ref="AC100:AC102"/>
    <mergeCell ref="AD100:AD102"/>
    <mergeCell ref="AE100:AE102"/>
    <mergeCell ref="AF100:AF102"/>
    <mergeCell ref="W100:W102"/>
    <mergeCell ref="X100:X102"/>
    <mergeCell ref="Y100:Y102"/>
    <mergeCell ref="Z100:Z102"/>
    <mergeCell ref="AA100:AA102"/>
    <mergeCell ref="R100:R102"/>
    <mergeCell ref="S100:S102"/>
    <mergeCell ref="T100:T102"/>
    <mergeCell ref="U100:U102"/>
    <mergeCell ref="V100:V102"/>
    <mergeCell ref="BL97:BL99"/>
    <mergeCell ref="BM97:BM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BK94:BK96"/>
    <mergeCell ref="BL94:BL96"/>
    <mergeCell ref="BM94:BM96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BF94:BF96"/>
    <mergeCell ref="BG94:BG96"/>
    <mergeCell ref="BH94:BH96"/>
    <mergeCell ref="BI94:BI96"/>
    <mergeCell ref="BJ94:BJ96"/>
    <mergeCell ref="BA94:BA96"/>
    <mergeCell ref="BB94:BB96"/>
    <mergeCell ref="BC94:BC96"/>
    <mergeCell ref="BD94:BD96"/>
    <mergeCell ref="BE94:BE96"/>
    <mergeCell ref="AV94:AV96"/>
    <mergeCell ref="AW94:AW96"/>
    <mergeCell ref="AX94:AX96"/>
    <mergeCell ref="AY94:AY96"/>
    <mergeCell ref="AZ94:AZ96"/>
    <mergeCell ref="AQ94:AQ96"/>
    <mergeCell ref="AR94:AR96"/>
    <mergeCell ref="AS94:AS96"/>
    <mergeCell ref="AT94:AT96"/>
    <mergeCell ref="AU94:AU96"/>
    <mergeCell ref="AL94:AL96"/>
    <mergeCell ref="AM94:AM96"/>
    <mergeCell ref="AN94:AN96"/>
    <mergeCell ref="AO94:AO96"/>
    <mergeCell ref="AP94:AP96"/>
    <mergeCell ref="AG94:AG96"/>
    <mergeCell ref="AH94:AH96"/>
    <mergeCell ref="AI94:AI96"/>
    <mergeCell ref="AJ94:AJ96"/>
    <mergeCell ref="AK94:AK96"/>
    <mergeCell ref="AB94:AB96"/>
    <mergeCell ref="AC94:AC96"/>
    <mergeCell ref="AD94:AD96"/>
    <mergeCell ref="AE94:AE96"/>
    <mergeCell ref="AF94:AF96"/>
    <mergeCell ref="BL91:BL93"/>
    <mergeCell ref="BM91:BM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BG91:BG93"/>
    <mergeCell ref="BH91:BH93"/>
    <mergeCell ref="BI91:BI93"/>
    <mergeCell ref="BJ91:BJ93"/>
    <mergeCell ref="BK91:BK93"/>
    <mergeCell ref="BB91:BB93"/>
    <mergeCell ref="BC91:BC93"/>
    <mergeCell ref="BD91:BD93"/>
    <mergeCell ref="BE91:BE93"/>
    <mergeCell ref="BF91:BF93"/>
    <mergeCell ref="AW91:AW93"/>
    <mergeCell ref="AX91:AX93"/>
    <mergeCell ref="AY91:AY93"/>
    <mergeCell ref="AZ91:AZ93"/>
    <mergeCell ref="BA91:BA93"/>
    <mergeCell ref="AR91:AR93"/>
    <mergeCell ref="AS91:AS93"/>
    <mergeCell ref="AT91:AT93"/>
    <mergeCell ref="AU91:AU93"/>
    <mergeCell ref="AV91:AV93"/>
    <mergeCell ref="AM91:AM93"/>
    <mergeCell ref="AN91:AN93"/>
    <mergeCell ref="AO91:AO93"/>
    <mergeCell ref="AP91:AP93"/>
    <mergeCell ref="AQ91:AQ93"/>
    <mergeCell ref="AH91:AH93"/>
    <mergeCell ref="AI91:AI93"/>
    <mergeCell ref="AJ91:AJ93"/>
    <mergeCell ref="AK91:AK93"/>
    <mergeCell ref="AL91:AL93"/>
    <mergeCell ref="AC91:AC93"/>
    <mergeCell ref="AD91:AD93"/>
    <mergeCell ref="AE91:AE93"/>
    <mergeCell ref="AF91:AF93"/>
    <mergeCell ref="AG91:AG93"/>
    <mergeCell ref="X91:X93"/>
    <mergeCell ref="Y91:Y93"/>
    <mergeCell ref="Z91:Z93"/>
    <mergeCell ref="AA91:AA93"/>
    <mergeCell ref="AB91:AB93"/>
    <mergeCell ref="S91:S93"/>
    <mergeCell ref="T91:T93"/>
    <mergeCell ref="U91:U93"/>
    <mergeCell ref="V91:V93"/>
    <mergeCell ref="W91:W93"/>
    <mergeCell ref="N91:N93"/>
    <mergeCell ref="O91:O93"/>
    <mergeCell ref="P91:P93"/>
    <mergeCell ref="Q91:Q93"/>
    <mergeCell ref="R91:R93"/>
    <mergeCell ref="I91:I93"/>
    <mergeCell ref="J91:J93"/>
    <mergeCell ref="K91:K93"/>
    <mergeCell ref="L91:L93"/>
    <mergeCell ref="M91:M93"/>
    <mergeCell ref="D91:D93"/>
    <mergeCell ref="E91:E93"/>
    <mergeCell ref="F91:F93"/>
    <mergeCell ref="G91:G93"/>
    <mergeCell ref="H91:H93"/>
    <mergeCell ref="BI88:BI90"/>
    <mergeCell ref="BJ88:BJ90"/>
    <mergeCell ref="BK88:BK90"/>
    <mergeCell ref="BL88:BL90"/>
    <mergeCell ref="BM88:BM90"/>
    <mergeCell ref="BD88:BD90"/>
    <mergeCell ref="BE88:BE90"/>
    <mergeCell ref="BF88:BF90"/>
    <mergeCell ref="BG88:BG90"/>
    <mergeCell ref="BH88:BH90"/>
    <mergeCell ref="AY88:AY90"/>
    <mergeCell ref="AZ88:AZ90"/>
    <mergeCell ref="BA88:BA90"/>
    <mergeCell ref="BB88:BB90"/>
    <mergeCell ref="BC88:BC90"/>
    <mergeCell ref="AT88:AT90"/>
    <mergeCell ref="AU88:AU90"/>
    <mergeCell ref="AV88:AV90"/>
    <mergeCell ref="AW88:AW90"/>
    <mergeCell ref="AX88:AX90"/>
    <mergeCell ref="AO88:AO90"/>
    <mergeCell ref="AP88:AP90"/>
    <mergeCell ref="AQ88:AQ90"/>
    <mergeCell ref="AR88:AR90"/>
    <mergeCell ref="AS88:AS90"/>
    <mergeCell ref="AJ88:AJ90"/>
    <mergeCell ref="AK88:AK90"/>
    <mergeCell ref="AL88:AL90"/>
    <mergeCell ref="AM88:AM90"/>
    <mergeCell ref="AN88:AN90"/>
    <mergeCell ref="AE88:AE90"/>
    <mergeCell ref="AF88:AF90"/>
    <mergeCell ref="AG88:AG90"/>
    <mergeCell ref="AH88:AH90"/>
    <mergeCell ref="AI88:AI90"/>
    <mergeCell ref="Z88:Z90"/>
    <mergeCell ref="AA88:AA90"/>
    <mergeCell ref="AB88:AB90"/>
    <mergeCell ref="AC88:AC90"/>
    <mergeCell ref="AD88:AD90"/>
    <mergeCell ref="BL85:BL87"/>
    <mergeCell ref="BM85:BM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BG85:BG87"/>
    <mergeCell ref="BH85:BH87"/>
    <mergeCell ref="BI85:BI87"/>
    <mergeCell ref="BJ85:BJ87"/>
    <mergeCell ref="BK85:BK87"/>
    <mergeCell ref="BB85:BB87"/>
    <mergeCell ref="BC85:BC87"/>
    <mergeCell ref="BD85:BD87"/>
    <mergeCell ref="BE85:BE87"/>
    <mergeCell ref="BF85:BF87"/>
    <mergeCell ref="AW85:AW87"/>
    <mergeCell ref="AX85:AX87"/>
    <mergeCell ref="AY85:AY87"/>
    <mergeCell ref="AZ85:AZ87"/>
    <mergeCell ref="BA85:BA87"/>
    <mergeCell ref="AR85:AR87"/>
    <mergeCell ref="AS85:AS87"/>
    <mergeCell ref="AT85:AT87"/>
    <mergeCell ref="AU85:AU87"/>
    <mergeCell ref="AV85:AV87"/>
    <mergeCell ref="AM85:AM87"/>
    <mergeCell ref="AN85:AN87"/>
    <mergeCell ref="AO85:AO87"/>
    <mergeCell ref="AP85:AP87"/>
    <mergeCell ref="AQ85:AQ87"/>
    <mergeCell ref="AH85:AH87"/>
    <mergeCell ref="AI85:AI87"/>
    <mergeCell ref="AJ85:AJ87"/>
    <mergeCell ref="AK85:AK87"/>
    <mergeCell ref="AL85:AL87"/>
    <mergeCell ref="AC85:AC87"/>
    <mergeCell ref="AD85:AD87"/>
    <mergeCell ref="AE85:AE87"/>
    <mergeCell ref="AF85:AF87"/>
    <mergeCell ref="AG85:AG87"/>
    <mergeCell ref="X85:X87"/>
    <mergeCell ref="Y85:Y87"/>
    <mergeCell ref="Z85:Z87"/>
    <mergeCell ref="AA85:AA87"/>
    <mergeCell ref="AB85:AB87"/>
    <mergeCell ref="S85:S87"/>
    <mergeCell ref="T85:T87"/>
    <mergeCell ref="U85:U87"/>
    <mergeCell ref="V85:V87"/>
    <mergeCell ref="W85:W87"/>
    <mergeCell ref="N85:N87"/>
    <mergeCell ref="O85:O87"/>
    <mergeCell ref="P85:P87"/>
    <mergeCell ref="Q85:Q87"/>
    <mergeCell ref="R85:R87"/>
    <mergeCell ref="I85:I87"/>
    <mergeCell ref="J85:J87"/>
    <mergeCell ref="K85:K87"/>
    <mergeCell ref="L85:L87"/>
    <mergeCell ref="M85:M87"/>
    <mergeCell ref="D85:D87"/>
    <mergeCell ref="E85:E87"/>
    <mergeCell ref="F85:F87"/>
    <mergeCell ref="G85:G87"/>
    <mergeCell ref="H85:H87"/>
    <mergeCell ref="BI82:BI84"/>
    <mergeCell ref="BJ82:BJ84"/>
    <mergeCell ref="BK82:BK84"/>
    <mergeCell ref="BL82:BL84"/>
    <mergeCell ref="BM82:BM84"/>
    <mergeCell ref="BD82:BD84"/>
    <mergeCell ref="BE82:BE84"/>
    <mergeCell ref="BF82:BF84"/>
    <mergeCell ref="BG82:BG84"/>
    <mergeCell ref="BH82:BH84"/>
    <mergeCell ref="AY82:AY84"/>
    <mergeCell ref="AZ82:AZ84"/>
    <mergeCell ref="BA82:BA84"/>
    <mergeCell ref="BB82:BB84"/>
    <mergeCell ref="BC82:BC84"/>
    <mergeCell ref="AT82:AT84"/>
    <mergeCell ref="AU82:AU84"/>
    <mergeCell ref="AV82:AV84"/>
    <mergeCell ref="AW82:AW84"/>
    <mergeCell ref="AX82:AX84"/>
    <mergeCell ref="AO82:AO84"/>
    <mergeCell ref="AP82:AP84"/>
    <mergeCell ref="AQ82:AQ84"/>
    <mergeCell ref="AR82:AR84"/>
    <mergeCell ref="AS82:AS84"/>
    <mergeCell ref="AJ82:AJ84"/>
    <mergeCell ref="AK82:AK84"/>
    <mergeCell ref="AL82:AL84"/>
    <mergeCell ref="AM82:AM84"/>
    <mergeCell ref="AN82:AN84"/>
    <mergeCell ref="AE82:AE84"/>
    <mergeCell ref="AF82:AF84"/>
    <mergeCell ref="AG82:AG84"/>
    <mergeCell ref="AH82:AH84"/>
    <mergeCell ref="AI82:AI84"/>
    <mergeCell ref="Z82:Z84"/>
    <mergeCell ref="AA82:AA84"/>
    <mergeCell ref="AB82:AB84"/>
    <mergeCell ref="AC82:AC84"/>
    <mergeCell ref="AD82:AD84"/>
    <mergeCell ref="BL79:BL81"/>
    <mergeCell ref="BM79:BM81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BG79:BG81"/>
    <mergeCell ref="BH79:BH81"/>
    <mergeCell ref="BI79:BI81"/>
    <mergeCell ref="BJ79:BJ81"/>
    <mergeCell ref="BK79:BK81"/>
    <mergeCell ref="BB79:BB81"/>
    <mergeCell ref="BC79:BC81"/>
    <mergeCell ref="BD79:BD81"/>
    <mergeCell ref="BE79:BE81"/>
    <mergeCell ref="BF79:BF81"/>
    <mergeCell ref="AW79:AW81"/>
    <mergeCell ref="AX79:AX81"/>
    <mergeCell ref="AY79:AY81"/>
    <mergeCell ref="AZ79:AZ81"/>
    <mergeCell ref="BA79:BA81"/>
    <mergeCell ref="AR79:AR81"/>
    <mergeCell ref="AS79:AS81"/>
    <mergeCell ref="AT79:AT81"/>
    <mergeCell ref="AU79:AU81"/>
    <mergeCell ref="AV79:AV81"/>
    <mergeCell ref="AM79:AM81"/>
    <mergeCell ref="AN79:AN81"/>
    <mergeCell ref="AO79:AO81"/>
    <mergeCell ref="AP79:AP81"/>
    <mergeCell ref="AQ79:AQ81"/>
    <mergeCell ref="AH79:AH81"/>
    <mergeCell ref="AI79:AI81"/>
    <mergeCell ref="AJ79:AJ81"/>
    <mergeCell ref="AK79:AK81"/>
    <mergeCell ref="AL79:AL81"/>
    <mergeCell ref="AC79:AC81"/>
    <mergeCell ref="AD79:AD81"/>
    <mergeCell ref="AE79:AE81"/>
    <mergeCell ref="AF79:AF81"/>
    <mergeCell ref="AG79:AG81"/>
    <mergeCell ref="X79:X81"/>
    <mergeCell ref="Y79:Y81"/>
    <mergeCell ref="Z79:Z81"/>
    <mergeCell ref="AA79:AA81"/>
    <mergeCell ref="AB79:AB81"/>
    <mergeCell ref="S79:S81"/>
    <mergeCell ref="T79:T81"/>
    <mergeCell ref="U79:U81"/>
    <mergeCell ref="V79:V81"/>
    <mergeCell ref="W79:W81"/>
    <mergeCell ref="N79:N81"/>
    <mergeCell ref="O79:O81"/>
    <mergeCell ref="P79:P81"/>
    <mergeCell ref="Q79:Q81"/>
    <mergeCell ref="R79:R81"/>
    <mergeCell ref="I79:I81"/>
    <mergeCell ref="J79:J81"/>
    <mergeCell ref="K79:K81"/>
    <mergeCell ref="L79:L81"/>
    <mergeCell ref="M79:M81"/>
    <mergeCell ref="D79:D81"/>
    <mergeCell ref="E79:E81"/>
    <mergeCell ref="F79:F81"/>
    <mergeCell ref="G79:G81"/>
    <mergeCell ref="H79:H81"/>
    <mergeCell ref="BI76:BI78"/>
    <mergeCell ref="BJ76:BJ78"/>
    <mergeCell ref="BK76:BK78"/>
    <mergeCell ref="BL76:BL78"/>
    <mergeCell ref="BM76:BM78"/>
    <mergeCell ref="BD76:BD78"/>
    <mergeCell ref="BE76:BE78"/>
    <mergeCell ref="BF76:BF78"/>
    <mergeCell ref="BG76:BG78"/>
    <mergeCell ref="BH76:BH78"/>
    <mergeCell ref="AY76:AY78"/>
    <mergeCell ref="AZ76:AZ78"/>
    <mergeCell ref="BA76:BA78"/>
    <mergeCell ref="BB76:BB78"/>
    <mergeCell ref="BC76:BC78"/>
    <mergeCell ref="AT76:AT78"/>
    <mergeCell ref="AU76:AU78"/>
    <mergeCell ref="AV76:AV78"/>
    <mergeCell ref="AW76:AW78"/>
    <mergeCell ref="AX76:AX78"/>
    <mergeCell ref="AO76:AO78"/>
    <mergeCell ref="AP76:AP78"/>
    <mergeCell ref="AQ76:AQ78"/>
    <mergeCell ref="AR76:AR78"/>
    <mergeCell ref="AS76:AS78"/>
    <mergeCell ref="AJ76:AJ78"/>
    <mergeCell ref="AK76:AK78"/>
    <mergeCell ref="AL76:AL78"/>
    <mergeCell ref="AM76:AM78"/>
    <mergeCell ref="AN76:AN78"/>
    <mergeCell ref="AE76:AE78"/>
    <mergeCell ref="AF76:AF78"/>
    <mergeCell ref="AG76:AG78"/>
    <mergeCell ref="AH76:AH78"/>
    <mergeCell ref="AI76:AI78"/>
    <mergeCell ref="Z76:Z78"/>
    <mergeCell ref="AA76:AA78"/>
    <mergeCell ref="AB76:AB78"/>
    <mergeCell ref="AC76:AC78"/>
    <mergeCell ref="AD76:AD78"/>
    <mergeCell ref="BL73:BL75"/>
    <mergeCell ref="BM73:BM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N73:N75"/>
    <mergeCell ref="O73:O75"/>
    <mergeCell ref="P73:P75"/>
    <mergeCell ref="Q73:Q75"/>
    <mergeCell ref="R73:R75"/>
    <mergeCell ref="I73:I75"/>
    <mergeCell ref="J73:J75"/>
    <mergeCell ref="K73:K75"/>
    <mergeCell ref="L73:L75"/>
    <mergeCell ref="M73:M75"/>
    <mergeCell ref="D73:D75"/>
    <mergeCell ref="E73:E75"/>
    <mergeCell ref="F73:F75"/>
    <mergeCell ref="G73:G75"/>
    <mergeCell ref="H73:H75"/>
    <mergeCell ref="BI70:BI72"/>
    <mergeCell ref="BJ70:BJ72"/>
    <mergeCell ref="BK70:BK72"/>
    <mergeCell ref="BL70:BL72"/>
    <mergeCell ref="BM70:BM72"/>
    <mergeCell ref="BD70:BD72"/>
    <mergeCell ref="BE70:BE72"/>
    <mergeCell ref="BF70:BF72"/>
    <mergeCell ref="BG70:BG72"/>
    <mergeCell ref="BH70:BH72"/>
    <mergeCell ref="AY70:AY72"/>
    <mergeCell ref="AZ70:AZ72"/>
    <mergeCell ref="BA70:BA72"/>
    <mergeCell ref="BB70:BB72"/>
    <mergeCell ref="BC70:BC72"/>
    <mergeCell ref="AT70:AT72"/>
    <mergeCell ref="AU70:AU72"/>
    <mergeCell ref="AV70:AV72"/>
    <mergeCell ref="AW70:AW72"/>
    <mergeCell ref="AX70:AX72"/>
    <mergeCell ref="AO70:AO72"/>
    <mergeCell ref="AP70:AP72"/>
    <mergeCell ref="AQ70:AQ72"/>
    <mergeCell ref="AR70:AR72"/>
    <mergeCell ref="AS70:AS72"/>
    <mergeCell ref="AJ70:AJ72"/>
    <mergeCell ref="AK70:AK72"/>
    <mergeCell ref="AL70:AL72"/>
    <mergeCell ref="AM70:AM72"/>
    <mergeCell ref="AN70:AN72"/>
    <mergeCell ref="AE70:AE72"/>
    <mergeCell ref="AF70:AF72"/>
    <mergeCell ref="AG70:AG72"/>
    <mergeCell ref="AH70:AH72"/>
    <mergeCell ref="AI70:AI72"/>
    <mergeCell ref="Z70:Z72"/>
    <mergeCell ref="AA70:AA72"/>
    <mergeCell ref="AB70:AB72"/>
    <mergeCell ref="AC70:AC72"/>
    <mergeCell ref="AD70:AD72"/>
    <mergeCell ref="BL67:BL69"/>
    <mergeCell ref="BM67:BM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BG67:BG69"/>
    <mergeCell ref="BH67:BH69"/>
    <mergeCell ref="BI67:BI69"/>
    <mergeCell ref="BJ67:BJ69"/>
    <mergeCell ref="BK67:BK69"/>
    <mergeCell ref="BB67:BB69"/>
    <mergeCell ref="BC67:BC69"/>
    <mergeCell ref="BD67:BD69"/>
    <mergeCell ref="BE67:BE69"/>
    <mergeCell ref="BF67:BF69"/>
    <mergeCell ref="AW67:AW69"/>
    <mergeCell ref="AX67:AX69"/>
    <mergeCell ref="AY67:AY69"/>
    <mergeCell ref="AZ67:AZ69"/>
    <mergeCell ref="BA67:BA69"/>
    <mergeCell ref="AR67:AR69"/>
    <mergeCell ref="AS67:AS69"/>
    <mergeCell ref="AT67:AT69"/>
    <mergeCell ref="AU67:AU69"/>
    <mergeCell ref="AV67:AV69"/>
    <mergeCell ref="AM67:AM69"/>
    <mergeCell ref="AN67:AN69"/>
    <mergeCell ref="AO67:AO69"/>
    <mergeCell ref="AP67:AP69"/>
    <mergeCell ref="AQ67:AQ69"/>
    <mergeCell ref="AH67:AH69"/>
    <mergeCell ref="AI67:AI69"/>
    <mergeCell ref="AJ67:AJ69"/>
    <mergeCell ref="AK67:AK69"/>
    <mergeCell ref="AL67:AL69"/>
    <mergeCell ref="AC67:AC69"/>
    <mergeCell ref="AD67:AD69"/>
    <mergeCell ref="AE67:AE69"/>
    <mergeCell ref="AF67:AF69"/>
    <mergeCell ref="AG67:AG69"/>
    <mergeCell ref="X67:X69"/>
    <mergeCell ref="Y67:Y69"/>
    <mergeCell ref="Z67:Z69"/>
    <mergeCell ref="AA67:AA69"/>
    <mergeCell ref="AB67:AB69"/>
    <mergeCell ref="S67:S69"/>
    <mergeCell ref="T67:T69"/>
    <mergeCell ref="U67:U69"/>
    <mergeCell ref="V67:V69"/>
    <mergeCell ref="W67:W69"/>
    <mergeCell ref="N67:N69"/>
    <mergeCell ref="O67:O69"/>
    <mergeCell ref="P67:P69"/>
    <mergeCell ref="Q67:Q69"/>
    <mergeCell ref="R67:R69"/>
    <mergeCell ref="I67:I69"/>
    <mergeCell ref="J67:J69"/>
    <mergeCell ref="K67:K69"/>
    <mergeCell ref="L67:L69"/>
    <mergeCell ref="M67:M69"/>
    <mergeCell ref="D67:D69"/>
    <mergeCell ref="E67:E69"/>
    <mergeCell ref="F67:F69"/>
    <mergeCell ref="G67:G69"/>
    <mergeCell ref="H67:H69"/>
    <mergeCell ref="BI64:BI66"/>
    <mergeCell ref="BJ64:BJ66"/>
    <mergeCell ref="BK64:BK66"/>
    <mergeCell ref="BL64:BL66"/>
    <mergeCell ref="BM64:BM66"/>
    <mergeCell ref="BD64:BD66"/>
    <mergeCell ref="BE64:BE66"/>
    <mergeCell ref="BF64:BF66"/>
    <mergeCell ref="BG64:BG66"/>
    <mergeCell ref="BH64:BH66"/>
    <mergeCell ref="AY64:AY66"/>
    <mergeCell ref="AZ64:AZ66"/>
    <mergeCell ref="BA64:BA66"/>
    <mergeCell ref="BB64:BB66"/>
    <mergeCell ref="BC64:BC66"/>
    <mergeCell ref="AT64:AT66"/>
    <mergeCell ref="AU64:AU66"/>
    <mergeCell ref="AV64:AV66"/>
    <mergeCell ref="AW64:AW66"/>
    <mergeCell ref="AX64:AX66"/>
    <mergeCell ref="AO64:AO66"/>
    <mergeCell ref="AP64:AP66"/>
    <mergeCell ref="AQ64:AQ66"/>
    <mergeCell ref="AR64:AR66"/>
    <mergeCell ref="AS64:AS66"/>
    <mergeCell ref="AJ64:AJ66"/>
    <mergeCell ref="AK64:AK66"/>
    <mergeCell ref="AL64:AL66"/>
    <mergeCell ref="AM64:AM66"/>
    <mergeCell ref="AN64:AN66"/>
    <mergeCell ref="AE64:AE66"/>
    <mergeCell ref="AF64:AF66"/>
    <mergeCell ref="AG64:AG66"/>
    <mergeCell ref="AH64:AH66"/>
    <mergeCell ref="AI64:AI66"/>
    <mergeCell ref="Z64:Z66"/>
    <mergeCell ref="AA64:AA66"/>
    <mergeCell ref="AB64:AB66"/>
    <mergeCell ref="AC64:AC66"/>
    <mergeCell ref="AD64:AD66"/>
    <mergeCell ref="BL61:BL63"/>
    <mergeCell ref="BM61:BM63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BG61:BG63"/>
    <mergeCell ref="BH61:BH63"/>
    <mergeCell ref="BI61:BI63"/>
    <mergeCell ref="BJ61:BJ63"/>
    <mergeCell ref="BK61:BK63"/>
    <mergeCell ref="BB61:BB63"/>
    <mergeCell ref="BC61:BC63"/>
    <mergeCell ref="BD61:BD63"/>
    <mergeCell ref="BE61:BE63"/>
    <mergeCell ref="BF61:BF63"/>
    <mergeCell ref="AW61:AW63"/>
    <mergeCell ref="AX61:AX63"/>
    <mergeCell ref="AY61:AY63"/>
    <mergeCell ref="AZ61:AZ63"/>
    <mergeCell ref="BA61:BA63"/>
    <mergeCell ref="AR61:AR63"/>
    <mergeCell ref="AS61:AS63"/>
    <mergeCell ref="AT61:AT63"/>
    <mergeCell ref="AU61:AU63"/>
    <mergeCell ref="AV61:AV63"/>
    <mergeCell ref="AM61:AM63"/>
    <mergeCell ref="AN61:AN63"/>
    <mergeCell ref="AO61:AO63"/>
    <mergeCell ref="AP61:AP63"/>
    <mergeCell ref="AQ61:AQ63"/>
    <mergeCell ref="AH61:AH63"/>
    <mergeCell ref="AI61:AI63"/>
    <mergeCell ref="AJ61:AJ63"/>
    <mergeCell ref="AK61:AK63"/>
    <mergeCell ref="AL61:AL63"/>
    <mergeCell ref="AC61:AC63"/>
    <mergeCell ref="AD61:AD63"/>
    <mergeCell ref="AE61:AE63"/>
    <mergeCell ref="AF61:AF63"/>
    <mergeCell ref="AG61:AG63"/>
    <mergeCell ref="X61:X63"/>
    <mergeCell ref="Y61:Y63"/>
    <mergeCell ref="Z61:Z63"/>
    <mergeCell ref="AA61:AA63"/>
    <mergeCell ref="AB61:AB63"/>
    <mergeCell ref="S61:S63"/>
    <mergeCell ref="T61:T63"/>
    <mergeCell ref="U61:U63"/>
    <mergeCell ref="V61:V63"/>
    <mergeCell ref="W61:W63"/>
    <mergeCell ref="N61:N63"/>
    <mergeCell ref="O61:O63"/>
    <mergeCell ref="P61:P63"/>
    <mergeCell ref="Q61:Q63"/>
    <mergeCell ref="R61:R63"/>
    <mergeCell ref="I61:I63"/>
    <mergeCell ref="J61:J63"/>
    <mergeCell ref="K61:K63"/>
    <mergeCell ref="L61:L63"/>
    <mergeCell ref="M61:M63"/>
    <mergeCell ref="D61:D63"/>
    <mergeCell ref="E61:E63"/>
    <mergeCell ref="F61:F63"/>
    <mergeCell ref="G61:G63"/>
    <mergeCell ref="H61:H63"/>
    <mergeCell ref="BI58:BI60"/>
    <mergeCell ref="BJ58:BJ60"/>
    <mergeCell ref="BK58:BK60"/>
    <mergeCell ref="BL58:BL60"/>
    <mergeCell ref="BM58:BM60"/>
    <mergeCell ref="BD58:BD60"/>
    <mergeCell ref="BE58:BE60"/>
    <mergeCell ref="BF58:BF60"/>
    <mergeCell ref="BG58:BG60"/>
    <mergeCell ref="BH58:BH60"/>
    <mergeCell ref="AY58:AY60"/>
    <mergeCell ref="AZ58:AZ60"/>
    <mergeCell ref="BA58:BA60"/>
    <mergeCell ref="BB58:BB60"/>
    <mergeCell ref="BC58:BC60"/>
    <mergeCell ref="AT58:AT60"/>
    <mergeCell ref="AU58:AU60"/>
    <mergeCell ref="AV58:AV60"/>
    <mergeCell ref="AW58:AW60"/>
    <mergeCell ref="AX58:AX60"/>
    <mergeCell ref="AO58:AO60"/>
    <mergeCell ref="AP58:AP60"/>
    <mergeCell ref="AQ58:AQ60"/>
    <mergeCell ref="AR58:AR60"/>
    <mergeCell ref="AS58:AS60"/>
    <mergeCell ref="AJ58:AJ60"/>
    <mergeCell ref="AK58:AK60"/>
    <mergeCell ref="AL58:AL60"/>
    <mergeCell ref="AM58:AM60"/>
    <mergeCell ref="AN58:AN60"/>
    <mergeCell ref="AE58:AE60"/>
    <mergeCell ref="AF58:AF60"/>
    <mergeCell ref="AG58:AG60"/>
    <mergeCell ref="AH58:AH60"/>
    <mergeCell ref="AI58:AI60"/>
    <mergeCell ref="Z58:Z60"/>
    <mergeCell ref="AA58:AA60"/>
    <mergeCell ref="AB58:AB60"/>
    <mergeCell ref="AC58:AC60"/>
    <mergeCell ref="AD58:AD60"/>
    <mergeCell ref="BL55:BL57"/>
    <mergeCell ref="BM55:BM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BG55:BG57"/>
    <mergeCell ref="BH55:BH57"/>
    <mergeCell ref="BI55:BI57"/>
    <mergeCell ref="BJ55:BJ57"/>
    <mergeCell ref="BK55:BK57"/>
    <mergeCell ref="BB55:BB57"/>
    <mergeCell ref="BC55:BC57"/>
    <mergeCell ref="BD55:BD57"/>
    <mergeCell ref="BE55:BE57"/>
    <mergeCell ref="BF55:BF57"/>
    <mergeCell ref="AW55:AW57"/>
    <mergeCell ref="AX55:AX57"/>
    <mergeCell ref="AY55:AY57"/>
    <mergeCell ref="AZ55:AZ57"/>
    <mergeCell ref="BA55:BA57"/>
    <mergeCell ref="AR55:AR57"/>
    <mergeCell ref="AS55:AS57"/>
    <mergeCell ref="AT55:AT57"/>
    <mergeCell ref="AU55:AU57"/>
    <mergeCell ref="AV55:AV57"/>
    <mergeCell ref="AM55:AM57"/>
    <mergeCell ref="AN55:AN57"/>
    <mergeCell ref="AO55:AO57"/>
    <mergeCell ref="AP55:AP57"/>
    <mergeCell ref="AQ55:AQ57"/>
    <mergeCell ref="AH55:AH57"/>
    <mergeCell ref="AI55:AI57"/>
    <mergeCell ref="AJ55:AJ57"/>
    <mergeCell ref="AK55:AK57"/>
    <mergeCell ref="AL55:AL57"/>
    <mergeCell ref="AC55:AC57"/>
    <mergeCell ref="AD55:AD57"/>
    <mergeCell ref="AE55:AE57"/>
    <mergeCell ref="AF55:AF57"/>
    <mergeCell ref="AG55:AG57"/>
    <mergeCell ref="X55:X57"/>
    <mergeCell ref="Y55:Y57"/>
    <mergeCell ref="Z55:Z57"/>
    <mergeCell ref="AA55:AA57"/>
    <mergeCell ref="AB55:AB57"/>
    <mergeCell ref="S55:S57"/>
    <mergeCell ref="T55:T57"/>
    <mergeCell ref="U55:U57"/>
    <mergeCell ref="V55:V57"/>
    <mergeCell ref="W55:W57"/>
    <mergeCell ref="BM52:BM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BH52:BH54"/>
    <mergeCell ref="BI52:BI54"/>
    <mergeCell ref="BJ52:BJ54"/>
    <mergeCell ref="BK52:BK54"/>
    <mergeCell ref="BL52:BL54"/>
    <mergeCell ref="BC52:BC54"/>
    <mergeCell ref="BD52:BD54"/>
    <mergeCell ref="BE52:BE54"/>
    <mergeCell ref="BF52:BF54"/>
    <mergeCell ref="BG52:BG54"/>
    <mergeCell ref="AX52:AX54"/>
    <mergeCell ref="AY52:AY54"/>
    <mergeCell ref="AZ52:AZ54"/>
    <mergeCell ref="BA52:BA54"/>
    <mergeCell ref="BB52:BB54"/>
    <mergeCell ref="AS52:AS54"/>
    <mergeCell ref="AT52:AT54"/>
    <mergeCell ref="AU52:AU54"/>
    <mergeCell ref="AV52:AV54"/>
    <mergeCell ref="AW52:AW54"/>
    <mergeCell ref="AN52:AN54"/>
    <mergeCell ref="AO52:AO54"/>
    <mergeCell ref="AP52:AP54"/>
    <mergeCell ref="AQ52:AQ54"/>
    <mergeCell ref="AR52:AR54"/>
    <mergeCell ref="AI52:AI54"/>
    <mergeCell ref="AJ52:AJ54"/>
    <mergeCell ref="AK52:AK54"/>
    <mergeCell ref="AL52:AL54"/>
    <mergeCell ref="AM52:AM54"/>
    <mergeCell ref="AD52:AD54"/>
    <mergeCell ref="AE52:AE54"/>
    <mergeCell ref="AF52:AF54"/>
    <mergeCell ref="AG52:AG54"/>
    <mergeCell ref="AH52:AH54"/>
    <mergeCell ref="Y52:Y54"/>
    <mergeCell ref="Z52:Z54"/>
    <mergeCell ref="AA52:AA54"/>
    <mergeCell ref="AB52:AB54"/>
    <mergeCell ref="AC52:AC54"/>
    <mergeCell ref="BK49:BK51"/>
    <mergeCell ref="BL49:BL51"/>
    <mergeCell ref="BM49:BM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BF49:BF51"/>
    <mergeCell ref="BG49:BG51"/>
    <mergeCell ref="BH49:BH51"/>
    <mergeCell ref="BI49:BI51"/>
    <mergeCell ref="BJ49:BJ51"/>
    <mergeCell ref="BA49:BA51"/>
    <mergeCell ref="BB49:BB51"/>
    <mergeCell ref="BC49:BC51"/>
    <mergeCell ref="BD49:BD51"/>
    <mergeCell ref="BE49:BE51"/>
    <mergeCell ref="AV49:AV51"/>
    <mergeCell ref="AW49:AW51"/>
    <mergeCell ref="AX49:AX51"/>
    <mergeCell ref="AY49:AY51"/>
    <mergeCell ref="AZ49:AZ51"/>
    <mergeCell ref="AQ49:AQ51"/>
    <mergeCell ref="AR49:AR51"/>
    <mergeCell ref="AS49:AS51"/>
    <mergeCell ref="AT49:AT51"/>
    <mergeCell ref="AU49:AU51"/>
    <mergeCell ref="AL49:AL51"/>
    <mergeCell ref="AM49:AM51"/>
    <mergeCell ref="AN49:AN51"/>
    <mergeCell ref="AO49:AO51"/>
    <mergeCell ref="AP49:AP51"/>
    <mergeCell ref="AG49:AG51"/>
    <mergeCell ref="AH49:AH51"/>
    <mergeCell ref="AI49:AI51"/>
    <mergeCell ref="AJ49:AJ51"/>
    <mergeCell ref="AK49:AK51"/>
    <mergeCell ref="AB49:AB51"/>
    <mergeCell ref="AC49:AC51"/>
    <mergeCell ref="AD49:AD51"/>
    <mergeCell ref="AE49:AE51"/>
    <mergeCell ref="AF49:AF51"/>
    <mergeCell ref="W49:W51"/>
    <mergeCell ref="X49:X51"/>
    <mergeCell ref="Y49:Y51"/>
    <mergeCell ref="Z49:Z51"/>
    <mergeCell ref="AA49:AA51"/>
    <mergeCell ref="R49:R51"/>
    <mergeCell ref="S49:S51"/>
    <mergeCell ref="T49:T51"/>
    <mergeCell ref="U49:U51"/>
    <mergeCell ref="V49:V51"/>
    <mergeCell ref="BL46:BL48"/>
    <mergeCell ref="BM46:BM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BG46:BG48"/>
    <mergeCell ref="BH46:BH48"/>
    <mergeCell ref="BI46:BI48"/>
    <mergeCell ref="BJ46:BJ48"/>
    <mergeCell ref="BK46:BK48"/>
    <mergeCell ref="BB46:BB48"/>
    <mergeCell ref="BC46:BC48"/>
    <mergeCell ref="BD46:BD48"/>
    <mergeCell ref="BE46:BE48"/>
    <mergeCell ref="BF46:BF48"/>
    <mergeCell ref="AW46:AW48"/>
    <mergeCell ref="AX46:AX48"/>
    <mergeCell ref="AY46:AY48"/>
    <mergeCell ref="AZ46:AZ48"/>
    <mergeCell ref="BA46:BA48"/>
    <mergeCell ref="AR46:AR48"/>
    <mergeCell ref="AS46:AS48"/>
    <mergeCell ref="AT46:AT48"/>
    <mergeCell ref="AU46:AU48"/>
    <mergeCell ref="AV46:AV48"/>
    <mergeCell ref="AM46:AM48"/>
    <mergeCell ref="AN46:AN48"/>
    <mergeCell ref="AO46:AO48"/>
    <mergeCell ref="AP46:AP48"/>
    <mergeCell ref="AQ46:AQ48"/>
    <mergeCell ref="AH46:AH48"/>
    <mergeCell ref="AI46:AI48"/>
    <mergeCell ref="AJ46:AJ48"/>
    <mergeCell ref="AK46:AK48"/>
    <mergeCell ref="AL46:AL48"/>
    <mergeCell ref="AC46:AC48"/>
    <mergeCell ref="AD46:AD48"/>
    <mergeCell ref="AE46:AE48"/>
    <mergeCell ref="AF46:AF48"/>
    <mergeCell ref="AG46:AG48"/>
    <mergeCell ref="X46:X48"/>
    <mergeCell ref="Y46:Y48"/>
    <mergeCell ref="Z46:Z48"/>
    <mergeCell ref="AA46:AA48"/>
    <mergeCell ref="AB46:AB48"/>
    <mergeCell ref="BJ43:BJ45"/>
    <mergeCell ref="BK43:BK45"/>
    <mergeCell ref="BL43:BL45"/>
    <mergeCell ref="BM43:BM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BE43:BE45"/>
    <mergeCell ref="BF43:BF45"/>
    <mergeCell ref="BG43:BG45"/>
    <mergeCell ref="BH43:BH45"/>
    <mergeCell ref="BI43:BI45"/>
    <mergeCell ref="AZ43:AZ45"/>
    <mergeCell ref="BA43:BA45"/>
    <mergeCell ref="BB43:BB45"/>
    <mergeCell ref="BC43:BC45"/>
    <mergeCell ref="BD43:BD45"/>
    <mergeCell ref="AU43:AU45"/>
    <mergeCell ref="AV43:AV45"/>
    <mergeCell ref="AW43:AW45"/>
    <mergeCell ref="AX43:AX45"/>
    <mergeCell ref="AY43:AY45"/>
    <mergeCell ref="AP43:AP45"/>
    <mergeCell ref="AQ43:AQ45"/>
    <mergeCell ref="AR43:AR45"/>
    <mergeCell ref="AS43:AS45"/>
    <mergeCell ref="AT43:AT45"/>
    <mergeCell ref="AK43:AK45"/>
    <mergeCell ref="AL43:AL45"/>
    <mergeCell ref="AM43:AM45"/>
    <mergeCell ref="AN43:AN45"/>
    <mergeCell ref="AO43:AO45"/>
    <mergeCell ref="AF43:AF45"/>
    <mergeCell ref="AG43:AG45"/>
    <mergeCell ref="AH43:AH45"/>
    <mergeCell ref="AI43:AI45"/>
    <mergeCell ref="AJ43:AJ45"/>
    <mergeCell ref="AA43:AA45"/>
    <mergeCell ref="AB43:AB45"/>
    <mergeCell ref="AC43:AC45"/>
    <mergeCell ref="AD43:AD45"/>
    <mergeCell ref="AE43:AE45"/>
    <mergeCell ref="V43:V45"/>
    <mergeCell ref="W43:W45"/>
    <mergeCell ref="X43:X45"/>
    <mergeCell ref="Y43:Y45"/>
    <mergeCell ref="Z43:Z45"/>
    <mergeCell ref="Q43:Q45"/>
    <mergeCell ref="R43:R45"/>
    <mergeCell ref="S43:S45"/>
    <mergeCell ref="T43:T45"/>
    <mergeCell ref="U43:U45"/>
    <mergeCell ref="L43:L45"/>
    <mergeCell ref="M43:M45"/>
    <mergeCell ref="N43:N45"/>
    <mergeCell ref="O43:O45"/>
    <mergeCell ref="P43:P45"/>
    <mergeCell ref="G43:G45"/>
    <mergeCell ref="H43:H45"/>
    <mergeCell ref="I43:I45"/>
    <mergeCell ref="J43:J45"/>
    <mergeCell ref="K43:K45"/>
    <mergeCell ref="BI40:BI42"/>
    <mergeCell ref="BJ40:BJ42"/>
    <mergeCell ref="BK40:BK42"/>
    <mergeCell ref="BL40:BL42"/>
    <mergeCell ref="BM40:BM42"/>
    <mergeCell ref="BD40:BD42"/>
    <mergeCell ref="BE40:BE42"/>
    <mergeCell ref="BF40:BF42"/>
    <mergeCell ref="BG40:BG42"/>
    <mergeCell ref="BH40:BH42"/>
    <mergeCell ref="AY40:AY42"/>
    <mergeCell ref="AZ40:AZ42"/>
    <mergeCell ref="BA40:BA42"/>
    <mergeCell ref="BB40:BB42"/>
    <mergeCell ref="BC40:BC42"/>
    <mergeCell ref="AT40:AT42"/>
    <mergeCell ref="AU40:AU42"/>
    <mergeCell ref="AV40:AV42"/>
    <mergeCell ref="AW40:AW42"/>
    <mergeCell ref="AX40:AX42"/>
    <mergeCell ref="AO40:AO42"/>
    <mergeCell ref="AP40:AP42"/>
    <mergeCell ref="AQ40:AQ42"/>
    <mergeCell ref="AR40:AR42"/>
    <mergeCell ref="AS40:AS42"/>
    <mergeCell ref="AJ40:AJ42"/>
    <mergeCell ref="AK40:AK42"/>
    <mergeCell ref="AL40:AL42"/>
    <mergeCell ref="AM40:AM42"/>
    <mergeCell ref="AN40:AN42"/>
    <mergeCell ref="AE40:AE42"/>
    <mergeCell ref="AF40:AF42"/>
    <mergeCell ref="AG40:AG42"/>
    <mergeCell ref="AH40:AH42"/>
    <mergeCell ref="AI40:AI42"/>
    <mergeCell ref="Z40:Z42"/>
    <mergeCell ref="AA40:AA42"/>
    <mergeCell ref="AB40:AB42"/>
    <mergeCell ref="AC40:AC42"/>
    <mergeCell ref="AD40:AD42"/>
    <mergeCell ref="BL37:BL39"/>
    <mergeCell ref="BM37:BM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BG37:BG39"/>
    <mergeCell ref="BH37:BH39"/>
    <mergeCell ref="BI37:BI39"/>
    <mergeCell ref="BJ37:BJ39"/>
    <mergeCell ref="BK37:BK39"/>
    <mergeCell ref="BB37:BB39"/>
    <mergeCell ref="BC37:BC39"/>
    <mergeCell ref="BD37:BD39"/>
    <mergeCell ref="BE37:BE39"/>
    <mergeCell ref="BF37:BF39"/>
    <mergeCell ref="AW37:AW39"/>
    <mergeCell ref="AX37:AX39"/>
    <mergeCell ref="AY37:AY39"/>
    <mergeCell ref="AZ37:AZ39"/>
    <mergeCell ref="BA37:BA39"/>
    <mergeCell ref="AR37:AR39"/>
    <mergeCell ref="AS37:AS39"/>
    <mergeCell ref="AT37:AT39"/>
    <mergeCell ref="AU37:AU39"/>
    <mergeCell ref="AV37:AV39"/>
    <mergeCell ref="AM37:AM39"/>
    <mergeCell ref="AN37:AN39"/>
    <mergeCell ref="AO37:AO39"/>
    <mergeCell ref="AP37:AP39"/>
    <mergeCell ref="AQ37:AQ39"/>
    <mergeCell ref="AH37:AH39"/>
    <mergeCell ref="AI37:AI39"/>
    <mergeCell ref="AJ37:AJ39"/>
    <mergeCell ref="AK37:AK39"/>
    <mergeCell ref="AL37:AL39"/>
    <mergeCell ref="AC37:AC39"/>
    <mergeCell ref="AD37:AD39"/>
    <mergeCell ref="AE37:AE39"/>
    <mergeCell ref="AF37:AF39"/>
    <mergeCell ref="AG37:AG39"/>
    <mergeCell ref="X37:X39"/>
    <mergeCell ref="Y37:Y39"/>
    <mergeCell ref="Z37:Z39"/>
    <mergeCell ref="AA37:AA39"/>
    <mergeCell ref="AB37:AB39"/>
    <mergeCell ref="S37:S39"/>
    <mergeCell ref="T37:T39"/>
    <mergeCell ref="U37:U39"/>
    <mergeCell ref="V37:V39"/>
    <mergeCell ref="W37:W39"/>
    <mergeCell ref="BM34:BM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BH34:BH36"/>
    <mergeCell ref="BI34:BI36"/>
    <mergeCell ref="BJ34:BJ36"/>
    <mergeCell ref="BK34:BK36"/>
    <mergeCell ref="BL34:BL36"/>
    <mergeCell ref="BC34:BC36"/>
    <mergeCell ref="BD34:BD36"/>
    <mergeCell ref="BE34:BE36"/>
    <mergeCell ref="BF34:BF36"/>
    <mergeCell ref="BG34:BG36"/>
    <mergeCell ref="AX34:AX36"/>
    <mergeCell ref="AY34:AY36"/>
    <mergeCell ref="AZ34:AZ36"/>
    <mergeCell ref="BA34:BA36"/>
    <mergeCell ref="BB34:BB36"/>
    <mergeCell ref="AS34:AS36"/>
    <mergeCell ref="AT34:AT36"/>
    <mergeCell ref="AU34:AU36"/>
    <mergeCell ref="AV34:AV36"/>
    <mergeCell ref="AW34:AW36"/>
    <mergeCell ref="AN34:AN36"/>
    <mergeCell ref="AO34:AO36"/>
    <mergeCell ref="AP34:AP36"/>
    <mergeCell ref="AQ34:AQ36"/>
    <mergeCell ref="AR34:AR36"/>
    <mergeCell ref="AI34:AI36"/>
    <mergeCell ref="AJ34:AJ36"/>
    <mergeCell ref="AK34:AK36"/>
    <mergeCell ref="AL34:AL36"/>
    <mergeCell ref="AM34:AM36"/>
    <mergeCell ref="AD34:AD36"/>
    <mergeCell ref="AE34:AE36"/>
    <mergeCell ref="AF34:AF36"/>
    <mergeCell ref="AG34:AG36"/>
    <mergeCell ref="AH34:AH36"/>
    <mergeCell ref="Y34:Y36"/>
    <mergeCell ref="Z34:Z36"/>
    <mergeCell ref="AA34:AA36"/>
    <mergeCell ref="AB34:AB36"/>
    <mergeCell ref="AC34:AC36"/>
    <mergeCell ref="BK31:BK33"/>
    <mergeCell ref="BL31:BL33"/>
    <mergeCell ref="BM31:BM33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BF31:BF33"/>
    <mergeCell ref="BG31:BG33"/>
    <mergeCell ref="BH31:BH33"/>
    <mergeCell ref="BI31:BI33"/>
    <mergeCell ref="BJ31:BJ33"/>
    <mergeCell ref="BA31:BA33"/>
    <mergeCell ref="BB31:BB33"/>
    <mergeCell ref="BC31:BC33"/>
    <mergeCell ref="BD31:BD33"/>
    <mergeCell ref="BE31:BE33"/>
    <mergeCell ref="AV31:AV33"/>
    <mergeCell ref="AW31:AW33"/>
    <mergeCell ref="AX31:AX33"/>
    <mergeCell ref="AY31:AY33"/>
    <mergeCell ref="AZ31:AZ33"/>
    <mergeCell ref="AQ31:AQ33"/>
    <mergeCell ref="AR31:AR33"/>
    <mergeCell ref="AS31:AS33"/>
    <mergeCell ref="AT31:AT33"/>
    <mergeCell ref="AU31:AU33"/>
    <mergeCell ref="AL31:AL33"/>
    <mergeCell ref="AM31:AM33"/>
    <mergeCell ref="AN31:AN33"/>
    <mergeCell ref="AO31:AO33"/>
    <mergeCell ref="AP31:AP33"/>
    <mergeCell ref="AG31:AG33"/>
    <mergeCell ref="AH31:AH33"/>
    <mergeCell ref="AI31:AI33"/>
    <mergeCell ref="AJ31:AJ33"/>
    <mergeCell ref="AK31:AK33"/>
    <mergeCell ref="AB31:AB33"/>
    <mergeCell ref="AC31:AC33"/>
    <mergeCell ref="AD31:AD33"/>
    <mergeCell ref="AE31:AE33"/>
    <mergeCell ref="AF31:AF33"/>
    <mergeCell ref="W31:W33"/>
    <mergeCell ref="X31:X33"/>
    <mergeCell ref="Y31:Y33"/>
    <mergeCell ref="Z31:Z33"/>
    <mergeCell ref="AA31:AA33"/>
    <mergeCell ref="R31:R33"/>
    <mergeCell ref="S31:S33"/>
    <mergeCell ref="T31:T33"/>
    <mergeCell ref="U31:U33"/>
    <mergeCell ref="V31:V33"/>
    <mergeCell ref="M31:M33"/>
    <mergeCell ref="N31:N33"/>
    <mergeCell ref="O31:O33"/>
    <mergeCell ref="P31:P33"/>
    <mergeCell ref="Q31:Q33"/>
    <mergeCell ref="H31:H33"/>
    <mergeCell ref="I31:I33"/>
    <mergeCell ref="J31:J33"/>
    <mergeCell ref="K31:K33"/>
    <mergeCell ref="L31:L33"/>
    <mergeCell ref="BI28:BI30"/>
    <mergeCell ref="BJ28:BJ30"/>
    <mergeCell ref="BK28:BK30"/>
    <mergeCell ref="BL28:BL30"/>
    <mergeCell ref="BM28:BM30"/>
    <mergeCell ref="BD28:BD30"/>
    <mergeCell ref="BE28:BE30"/>
    <mergeCell ref="BF28:BF30"/>
    <mergeCell ref="BG28:BG30"/>
    <mergeCell ref="BH28:BH30"/>
    <mergeCell ref="AY28:AY30"/>
    <mergeCell ref="AZ28:AZ30"/>
    <mergeCell ref="BA28:BA30"/>
    <mergeCell ref="BB28:BB30"/>
    <mergeCell ref="BC28:BC30"/>
    <mergeCell ref="AT28:AT30"/>
    <mergeCell ref="AU28:AU30"/>
    <mergeCell ref="AV28:AV30"/>
    <mergeCell ref="AW28:AW30"/>
    <mergeCell ref="AX28:AX30"/>
    <mergeCell ref="AO28:AO30"/>
    <mergeCell ref="AP28:AP30"/>
    <mergeCell ref="AQ28:AQ30"/>
    <mergeCell ref="AR28:AR30"/>
    <mergeCell ref="AS28:AS30"/>
    <mergeCell ref="AJ28:AJ30"/>
    <mergeCell ref="AK28:AK30"/>
    <mergeCell ref="AL28:AL30"/>
    <mergeCell ref="AM28:AM30"/>
    <mergeCell ref="AN28:AN30"/>
    <mergeCell ref="AE28:AE30"/>
    <mergeCell ref="AF28:AF30"/>
    <mergeCell ref="AG28:AG30"/>
    <mergeCell ref="AH28:AH30"/>
    <mergeCell ref="AI28:AI30"/>
    <mergeCell ref="Z28:Z30"/>
    <mergeCell ref="AA28:AA30"/>
    <mergeCell ref="AB28:AB30"/>
    <mergeCell ref="AC28:AC30"/>
    <mergeCell ref="AD28:AD30"/>
    <mergeCell ref="BL25:BL27"/>
    <mergeCell ref="BM25:BM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BG25:BG27"/>
    <mergeCell ref="BH25:BH27"/>
    <mergeCell ref="BI25:BI27"/>
    <mergeCell ref="BJ25:BJ27"/>
    <mergeCell ref="BK25:BK27"/>
    <mergeCell ref="BB25:BB27"/>
    <mergeCell ref="BC25:BC27"/>
    <mergeCell ref="BD25:BD27"/>
    <mergeCell ref="BE25:BE27"/>
    <mergeCell ref="BF25:BF27"/>
    <mergeCell ref="AW25:AW27"/>
    <mergeCell ref="AX25:AX27"/>
    <mergeCell ref="AY25:AY27"/>
    <mergeCell ref="AZ25:AZ27"/>
    <mergeCell ref="BA25:BA27"/>
    <mergeCell ref="AR25:AR27"/>
    <mergeCell ref="AS25:AS27"/>
    <mergeCell ref="AT25:AT27"/>
    <mergeCell ref="AU25:AU27"/>
    <mergeCell ref="AV25:AV27"/>
    <mergeCell ref="AM25:AM27"/>
    <mergeCell ref="AN25:AN27"/>
    <mergeCell ref="AO25:AO27"/>
    <mergeCell ref="AP25:AP27"/>
    <mergeCell ref="AQ25:AQ27"/>
    <mergeCell ref="AH25:AH27"/>
    <mergeCell ref="AI25:AI27"/>
    <mergeCell ref="AJ25:AJ27"/>
    <mergeCell ref="AK25:AK27"/>
    <mergeCell ref="AL25:AL27"/>
    <mergeCell ref="AC25:AC27"/>
    <mergeCell ref="AD25:AD27"/>
    <mergeCell ref="AE25:AE27"/>
    <mergeCell ref="AF25:AF27"/>
    <mergeCell ref="AG25:AG27"/>
    <mergeCell ref="X25:X27"/>
    <mergeCell ref="Y25:Y27"/>
    <mergeCell ref="Z25:Z27"/>
    <mergeCell ref="AA25:AA27"/>
    <mergeCell ref="AB25:AB27"/>
    <mergeCell ref="S25:S27"/>
    <mergeCell ref="T25:T27"/>
    <mergeCell ref="U25:U27"/>
    <mergeCell ref="V25:V27"/>
    <mergeCell ref="W25:W27"/>
    <mergeCell ref="BM22:BM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BH22:BH24"/>
    <mergeCell ref="BI22:BI24"/>
    <mergeCell ref="BJ22:BJ24"/>
    <mergeCell ref="BK22:BK24"/>
    <mergeCell ref="BL22:BL24"/>
    <mergeCell ref="BC22:BC24"/>
    <mergeCell ref="BD22:BD24"/>
    <mergeCell ref="BE22:BE24"/>
    <mergeCell ref="BF22:BF24"/>
    <mergeCell ref="BG22:BG24"/>
    <mergeCell ref="AX22:AX24"/>
    <mergeCell ref="AY22:AY24"/>
    <mergeCell ref="AZ22:AZ24"/>
    <mergeCell ref="BA22:BA24"/>
    <mergeCell ref="BB22:BB24"/>
    <mergeCell ref="AS22:AS24"/>
    <mergeCell ref="AT22:AT24"/>
    <mergeCell ref="AU22:AU24"/>
    <mergeCell ref="AV22:AV24"/>
    <mergeCell ref="AW22:AW24"/>
    <mergeCell ref="AN22:AN24"/>
    <mergeCell ref="AO22:AO24"/>
    <mergeCell ref="AP22:AP24"/>
    <mergeCell ref="AQ22:AQ24"/>
    <mergeCell ref="AR22:AR24"/>
    <mergeCell ref="AI22:AI24"/>
    <mergeCell ref="AJ22:AJ24"/>
    <mergeCell ref="AK22:AK24"/>
    <mergeCell ref="AL22:AL24"/>
    <mergeCell ref="AM22:AM24"/>
    <mergeCell ref="AD22:AD24"/>
    <mergeCell ref="AE22:AE24"/>
    <mergeCell ref="AF22:AF24"/>
    <mergeCell ref="AG22:AG24"/>
    <mergeCell ref="AH22:AH24"/>
    <mergeCell ref="Y22:Y24"/>
    <mergeCell ref="Z22:Z24"/>
    <mergeCell ref="AA22:AA24"/>
    <mergeCell ref="AB22:AB24"/>
    <mergeCell ref="AC22:AC24"/>
    <mergeCell ref="BJ19:BJ21"/>
    <mergeCell ref="BK19:BK21"/>
    <mergeCell ref="BL19:BL21"/>
    <mergeCell ref="BM19:BM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BE19:BE21"/>
    <mergeCell ref="BF19:BF21"/>
    <mergeCell ref="BG19:BG21"/>
    <mergeCell ref="BH19:BH21"/>
    <mergeCell ref="BI19:BI21"/>
    <mergeCell ref="AZ19:AZ21"/>
    <mergeCell ref="BA19:BA21"/>
    <mergeCell ref="BB19:BB21"/>
    <mergeCell ref="BC19:BC21"/>
    <mergeCell ref="BD19:BD21"/>
    <mergeCell ref="AU19:AU21"/>
    <mergeCell ref="AV19:AV21"/>
    <mergeCell ref="AW19:AW21"/>
    <mergeCell ref="AX19:AX21"/>
    <mergeCell ref="AY19:AY21"/>
    <mergeCell ref="AP19:AP21"/>
    <mergeCell ref="AQ19:AQ21"/>
    <mergeCell ref="AR19:AR21"/>
    <mergeCell ref="AS19:AS21"/>
    <mergeCell ref="AT19:AT21"/>
    <mergeCell ref="AK19:AK21"/>
    <mergeCell ref="AL19:AL21"/>
    <mergeCell ref="AM19:AM21"/>
    <mergeCell ref="AN19:AN21"/>
    <mergeCell ref="AO19:AO21"/>
    <mergeCell ref="AF19:AF21"/>
    <mergeCell ref="AG19:AG21"/>
    <mergeCell ref="AH19:AH21"/>
    <mergeCell ref="AI19:AI21"/>
    <mergeCell ref="AJ19:AJ21"/>
    <mergeCell ref="AA19:AA21"/>
    <mergeCell ref="AB19:AB21"/>
    <mergeCell ref="AC19:AC21"/>
    <mergeCell ref="AD19:AD21"/>
    <mergeCell ref="AE19:AE21"/>
    <mergeCell ref="BJ16:BJ18"/>
    <mergeCell ref="BK16:BK18"/>
    <mergeCell ref="BL16:BL18"/>
    <mergeCell ref="BM16:BM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BE16:BE18"/>
    <mergeCell ref="BF16:BF18"/>
    <mergeCell ref="BG16:BG18"/>
    <mergeCell ref="BH16:BH18"/>
    <mergeCell ref="BI16:BI18"/>
    <mergeCell ref="AZ16:AZ18"/>
    <mergeCell ref="BA16:BA18"/>
    <mergeCell ref="BB16:BB18"/>
    <mergeCell ref="BC16:BC18"/>
    <mergeCell ref="BD16:BD18"/>
    <mergeCell ref="AU16:AU18"/>
    <mergeCell ref="AV16:AV18"/>
    <mergeCell ref="AW16:AW18"/>
    <mergeCell ref="AX16:AX18"/>
    <mergeCell ref="AY16:AY18"/>
    <mergeCell ref="AP16:AP18"/>
    <mergeCell ref="AQ16:AQ18"/>
    <mergeCell ref="AR16:AR18"/>
    <mergeCell ref="AS16:AS18"/>
    <mergeCell ref="AT16:AT18"/>
    <mergeCell ref="AK16:AK18"/>
    <mergeCell ref="AL16:AL18"/>
    <mergeCell ref="AM16:AM18"/>
    <mergeCell ref="AN16:AN18"/>
    <mergeCell ref="AO16:AO18"/>
    <mergeCell ref="AF16:AF18"/>
    <mergeCell ref="AG16:AG18"/>
    <mergeCell ref="AH16:AH18"/>
    <mergeCell ref="AI16:AI18"/>
    <mergeCell ref="AJ16:AJ18"/>
    <mergeCell ref="AA16:AA18"/>
    <mergeCell ref="AB16:AB18"/>
    <mergeCell ref="AC16:AC18"/>
    <mergeCell ref="AD16:AD18"/>
    <mergeCell ref="AE16:AE18"/>
    <mergeCell ref="V16:V18"/>
    <mergeCell ref="W16:W18"/>
    <mergeCell ref="X16:X18"/>
    <mergeCell ref="Y16:Y18"/>
    <mergeCell ref="Z16:Z18"/>
    <mergeCell ref="Q16:Q18"/>
    <mergeCell ref="R16:R18"/>
    <mergeCell ref="S16:S18"/>
    <mergeCell ref="T16:T18"/>
    <mergeCell ref="U16:U18"/>
    <mergeCell ref="BK13:BK15"/>
    <mergeCell ref="BL13:BL15"/>
    <mergeCell ref="BM13:BM15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BF13:BF15"/>
    <mergeCell ref="BG13:BG15"/>
    <mergeCell ref="BH13:BH15"/>
    <mergeCell ref="BI13:BI15"/>
    <mergeCell ref="BJ13:BJ15"/>
    <mergeCell ref="BA13:BA15"/>
    <mergeCell ref="BB13:BB15"/>
    <mergeCell ref="BC13:BC15"/>
    <mergeCell ref="BD13:BD15"/>
    <mergeCell ref="BE13:BE15"/>
    <mergeCell ref="AV13:AV15"/>
    <mergeCell ref="AW13:AW15"/>
    <mergeCell ref="AX13:AX15"/>
    <mergeCell ref="AY13:AY15"/>
    <mergeCell ref="AZ13:AZ15"/>
    <mergeCell ref="AQ13:AQ15"/>
    <mergeCell ref="AR13:AR15"/>
    <mergeCell ref="AS13:AS15"/>
    <mergeCell ref="AT13:AT15"/>
    <mergeCell ref="AU13:AU15"/>
    <mergeCell ref="AL13:AL15"/>
    <mergeCell ref="AM13:AM15"/>
    <mergeCell ref="AN13:AN15"/>
    <mergeCell ref="AO13:AO15"/>
    <mergeCell ref="AP13:AP15"/>
    <mergeCell ref="AG13:AG15"/>
    <mergeCell ref="AH13:AH15"/>
    <mergeCell ref="AI13:AI15"/>
    <mergeCell ref="AJ13:AJ15"/>
    <mergeCell ref="AK13:AK15"/>
    <mergeCell ref="AB13:AB15"/>
    <mergeCell ref="AC13:AC15"/>
    <mergeCell ref="AD13:AD15"/>
    <mergeCell ref="AE13:AE15"/>
    <mergeCell ref="AF13:AF15"/>
    <mergeCell ref="W13:W15"/>
    <mergeCell ref="X13:X15"/>
    <mergeCell ref="Y13:Y15"/>
    <mergeCell ref="Z13:Z15"/>
    <mergeCell ref="AA13:AA15"/>
    <mergeCell ref="R13:R15"/>
    <mergeCell ref="S13:S15"/>
    <mergeCell ref="T13:T15"/>
    <mergeCell ref="U13:U15"/>
    <mergeCell ref="V13:V15"/>
    <mergeCell ref="BL10:BL12"/>
    <mergeCell ref="BM10:BM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BG10:BG12"/>
    <mergeCell ref="BH10:BH12"/>
    <mergeCell ref="BI10:BI12"/>
    <mergeCell ref="BJ10:BJ12"/>
    <mergeCell ref="BK10:BK12"/>
    <mergeCell ref="BB10:BB12"/>
    <mergeCell ref="BC10:BC12"/>
    <mergeCell ref="BD10:BD12"/>
    <mergeCell ref="BE10:BE12"/>
    <mergeCell ref="BF10:BF12"/>
    <mergeCell ref="AW10:AW12"/>
    <mergeCell ref="AX10:AX12"/>
    <mergeCell ref="AY10:AY12"/>
    <mergeCell ref="AZ10:AZ12"/>
    <mergeCell ref="BA10:BA12"/>
    <mergeCell ref="AR10:AR12"/>
    <mergeCell ref="AS10:AS12"/>
    <mergeCell ref="AT10:AT12"/>
    <mergeCell ref="AU10:AU12"/>
    <mergeCell ref="AV10:AV12"/>
    <mergeCell ref="AM10:AM12"/>
    <mergeCell ref="AN10:AN12"/>
    <mergeCell ref="AO10:AO12"/>
    <mergeCell ref="AP10:AP12"/>
    <mergeCell ref="AQ10:AQ12"/>
    <mergeCell ref="AH10:AH12"/>
    <mergeCell ref="AI10:AI12"/>
    <mergeCell ref="AJ10:AJ12"/>
    <mergeCell ref="AK10:AK12"/>
    <mergeCell ref="AL10:AL12"/>
    <mergeCell ref="AC10:AC12"/>
    <mergeCell ref="AD10:AD12"/>
    <mergeCell ref="AE10:AE12"/>
    <mergeCell ref="AF10:AF12"/>
    <mergeCell ref="AG10:AG12"/>
    <mergeCell ref="X10:X12"/>
    <mergeCell ref="Y10:Y12"/>
    <mergeCell ref="Z10:Z12"/>
    <mergeCell ref="AA10:AA12"/>
    <mergeCell ref="AB10:AB12"/>
    <mergeCell ref="BK7:BK9"/>
    <mergeCell ref="BL7:BL9"/>
    <mergeCell ref="BM7:BM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BF7:BF9"/>
    <mergeCell ref="BG7:BG9"/>
    <mergeCell ref="BH7:BH9"/>
    <mergeCell ref="BI7:BI9"/>
    <mergeCell ref="BJ7:BJ9"/>
    <mergeCell ref="BA7:BA9"/>
    <mergeCell ref="BB7:BB9"/>
    <mergeCell ref="BC7:BC9"/>
    <mergeCell ref="BD7:BD9"/>
    <mergeCell ref="BE7:BE9"/>
    <mergeCell ref="AV7:AV9"/>
    <mergeCell ref="AW7:AW9"/>
    <mergeCell ref="AX7:AX9"/>
    <mergeCell ref="AY7:AY9"/>
    <mergeCell ref="AZ7:AZ9"/>
    <mergeCell ref="AQ7:AQ9"/>
    <mergeCell ref="AR7:AR9"/>
    <mergeCell ref="AS7:AS9"/>
    <mergeCell ref="AT7:AT9"/>
    <mergeCell ref="AU7:AU9"/>
    <mergeCell ref="AL7:AL9"/>
    <mergeCell ref="AM7:AM9"/>
    <mergeCell ref="AN7:AN9"/>
    <mergeCell ref="AO7:AO9"/>
    <mergeCell ref="AP7:AP9"/>
    <mergeCell ref="AG7:AG9"/>
    <mergeCell ref="AH7:AH9"/>
    <mergeCell ref="AI7:AI9"/>
    <mergeCell ref="AJ7:AJ9"/>
    <mergeCell ref="AK7:AK9"/>
    <mergeCell ref="AB7:AB9"/>
    <mergeCell ref="AC7:AC9"/>
    <mergeCell ref="AD7:AD9"/>
    <mergeCell ref="AE7:AE9"/>
    <mergeCell ref="AF7:AF9"/>
    <mergeCell ref="W7:W9"/>
    <mergeCell ref="X7:X9"/>
    <mergeCell ref="Y7:Y9"/>
    <mergeCell ref="Z7:Z9"/>
    <mergeCell ref="AA7:AA9"/>
    <mergeCell ref="R7:R9"/>
    <mergeCell ref="S7:S9"/>
    <mergeCell ref="T7:T9"/>
    <mergeCell ref="U7:U9"/>
    <mergeCell ref="V7:V9"/>
    <mergeCell ref="M7:M9"/>
    <mergeCell ref="N7:N9"/>
    <mergeCell ref="O7:O9"/>
    <mergeCell ref="P7:P9"/>
    <mergeCell ref="Q7:Q9"/>
    <mergeCell ref="H7:H9"/>
    <mergeCell ref="I7:I9"/>
    <mergeCell ref="J7:J9"/>
    <mergeCell ref="K7:K9"/>
    <mergeCell ref="L7:L9"/>
    <mergeCell ref="BI4:BI6"/>
    <mergeCell ref="BJ4:BJ6"/>
    <mergeCell ref="BK4:BK6"/>
    <mergeCell ref="BL4:BL6"/>
    <mergeCell ref="BM4:BM6"/>
    <mergeCell ref="BD4:BD6"/>
    <mergeCell ref="BE4:BE6"/>
    <mergeCell ref="BF4:BF6"/>
    <mergeCell ref="BG4:BG6"/>
    <mergeCell ref="BH4:BH6"/>
    <mergeCell ref="AY4:AY6"/>
    <mergeCell ref="AZ4:AZ6"/>
    <mergeCell ref="BA4:BA6"/>
    <mergeCell ref="BB4:BB6"/>
    <mergeCell ref="BC4:BC6"/>
    <mergeCell ref="AT4:AT6"/>
    <mergeCell ref="AU4:AU6"/>
    <mergeCell ref="AV4:AV6"/>
    <mergeCell ref="AW4:AW6"/>
    <mergeCell ref="AX4:AX6"/>
    <mergeCell ref="AO4:AO6"/>
    <mergeCell ref="AP4:AP6"/>
    <mergeCell ref="AQ4:AQ6"/>
    <mergeCell ref="AR4:AR6"/>
    <mergeCell ref="AS4:AS6"/>
    <mergeCell ref="AJ4:AJ6"/>
    <mergeCell ref="AK4:AK6"/>
    <mergeCell ref="AL4:AL6"/>
    <mergeCell ref="AM4:AM6"/>
    <mergeCell ref="AN4:AN6"/>
    <mergeCell ref="AE4:AE6"/>
    <mergeCell ref="AF4:AF6"/>
    <mergeCell ref="AG4:AG6"/>
    <mergeCell ref="AH4:AH6"/>
    <mergeCell ref="AI4:AI6"/>
    <mergeCell ref="Z4:Z6"/>
    <mergeCell ref="AA4:AA6"/>
    <mergeCell ref="AB4:AB6"/>
    <mergeCell ref="AC4:AC6"/>
    <mergeCell ref="AD4:AD6"/>
    <mergeCell ref="U4:U6"/>
    <mergeCell ref="V4:V6"/>
    <mergeCell ref="W4:W6"/>
    <mergeCell ref="X4:X6"/>
    <mergeCell ref="Y4:Y6"/>
    <mergeCell ref="P4:P6"/>
    <mergeCell ref="Q4:Q6"/>
    <mergeCell ref="R4:R6"/>
    <mergeCell ref="S4:S6"/>
    <mergeCell ref="T4:T6"/>
    <mergeCell ref="A115:B115"/>
    <mergeCell ref="D4:D6"/>
    <mergeCell ref="E4:E6"/>
    <mergeCell ref="F4:F6"/>
    <mergeCell ref="G4:G6"/>
    <mergeCell ref="D7:D9"/>
    <mergeCell ref="E7:E9"/>
    <mergeCell ref="F7:F9"/>
    <mergeCell ref="G7:G9"/>
    <mergeCell ref="D31:D33"/>
    <mergeCell ref="E31:E33"/>
    <mergeCell ref="F31:F33"/>
    <mergeCell ref="G31:G33"/>
    <mergeCell ref="D43:D45"/>
    <mergeCell ref="E43:E45"/>
    <mergeCell ref="F43:F45"/>
    <mergeCell ref="M121:Y121"/>
    <mergeCell ref="Z121:AF121"/>
    <mergeCell ref="AG121:AK121"/>
    <mergeCell ref="AL121:AV121"/>
    <mergeCell ref="C122:L122"/>
    <mergeCell ref="M122:Y122"/>
    <mergeCell ref="Z122:AF122"/>
    <mergeCell ref="AG122:AK122"/>
    <mergeCell ref="AL122:AV122"/>
    <mergeCell ref="C118:L118"/>
    <mergeCell ref="M118:Y118"/>
    <mergeCell ref="Z118:AF118"/>
    <mergeCell ref="AG118:AV118"/>
    <mergeCell ref="A119:A122"/>
    <mergeCell ref="C119:L119"/>
    <mergeCell ref="M119:Y119"/>
    <mergeCell ref="Z119:AF119"/>
    <mergeCell ref="AG119:AK119"/>
    <mergeCell ref="AL119:AV119"/>
    <mergeCell ref="C120:L120"/>
    <mergeCell ref="M120:Y120"/>
    <mergeCell ref="Z120:AF120"/>
    <mergeCell ref="AG120:AK120"/>
    <mergeCell ref="AL120:AV120"/>
    <mergeCell ref="C121:L121"/>
    <mergeCell ref="M127:Y127"/>
    <mergeCell ref="Z127:AF127"/>
    <mergeCell ref="AG127:AK127"/>
    <mergeCell ref="AL127:AV127"/>
    <mergeCell ref="C128:L128"/>
    <mergeCell ref="M128:Y128"/>
    <mergeCell ref="Z128:AF128"/>
    <mergeCell ref="AG128:AK128"/>
    <mergeCell ref="AL128:AV128"/>
    <mergeCell ref="C124:L124"/>
    <mergeCell ref="M124:Y124"/>
    <mergeCell ref="Z124:AF124"/>
    <mergeCell ref="AG124:AV124"/>
    <mergeCell ref="A125:A128"/>
    <mergeCell ref="C125:L125"/>
    <mergeCell ref="M125:Y125"/>
    <mergeCell ref="Z125:AF125"/>
    <mergeCell ref="AG125:AK125"/>
    <mergeCell ref="AL125:AV125"/>
    <mergeCell ref="C126:L126"/>
    <mergeCell ref="M126:Y126"/>
    <mergeCell ref="Z126:AF126"/>
    <mergeCell ref="AG126:AK126"/>
    <mergeCell ref="AL126:AV126"/>
    <mergeCell ref="C127:L127"/>
    <mergeCell ref="M133:Y133"/>
    <mergeCell ref="Z133:AF133"/>
    <mergeCell ref="AG133:AK133"/>
    <mergeCell ref="AL133:AV133"/>
    <mergeCell ref="C134:L134"/>
    <mergeCell ref="M134:Y134"/>
    <mergeCell ref="Z134:AF134"/>
    <mergeCell ref="AG134:AK134"/>
    <mergeCell ref="AL134:AV134"/>
    <mergeCell ref="C130:L130"/>
    <mergeCell ref="M130:Y130"/>
    <mergeCell ref="Z130:AF130"/>
    <mergeCell ref="AG130:AV130"/>
    <mergeCell ref="A131:A134"/>
    <mergeCell ref="C131:L131"/>
    <mergeCell ref="M131:Y131"/>
    <mergeCell ref="Z131:AF131"/>
    <mergeCell ref="AG131:AK131"/>
    <mergeCell ref="AL131:AV131"/>
    <mergeCell ref="C132:L132"/>
    <mergeCell ref="M132:Y132"/>
    <mergeCell ref="Z132:AF132"/>
    <mergeCell ref="AG132:AK132"/>
    <mergeCell ref="AL132:AV132"/>
    <mergeCell ref="C133:L133"/>
    <mergeCell ref="A3:B3"/>
    <mergeCell ref="A1:B2"/>
    <mergeCell ref="C1:DP1"/>
    <mergeCell ref="DQ1:DZ1"/>
    <mergeCell ref="C2:DP2"/>
    <mergeCell ref="DQ2:DZ2"/>
    <mergeCell ref="BR143:CK146"/>
    <mergeCell ref="BR148:CK151"/>
    <mergeCell ref="C4:C6"/>
    <mergeCell ref="AW134:CK134"/>
    <mergeCell ref="CL132:DZ132"/>
    <mergeCell ref="CL133:DZ133"/>
    <mergeCell ref="BR130:CK133"/>
    <mergeCell ref="CL130:DZ130"/>
    <mergeCell ref="CL131:DZ131"/>
    <mergeCell ref="AW130:BQ133"/>
    <mergeCell ref="C7:C9"/>
    <mergeCell ref="C13:C15"/>
    <mergeCell ref="C19:C21"/>
    <mergeCell ref="C25:C27"/>
    <mergeCell ref="CL134:DZ134"/>
    <mergeCell ref="BR138:CK141"/>
    <mergeCell ref="BN4:BN6"/>
    <mergeCell ref="BO4:BO6"/>
    <mergeCell ref="C10:C12"/>
    <mergeCell ref="A11:A12"/>
    <mergeCell ref="BN7:BN9"/>
    <mergeCell ref="BO7:BO9"/>
    <mergeCell ref="A5:A6"/>
    <mergeCell ref="A8:A9"/>
    <mergeCell ref="H4:H6"/>
    <mergeCell ref="I4:I6"/>
    <mergeCell ref="J4:J6"/>
    <mergeCell ref="K4:K6"/>
    <mergeCell ref="L4:L6"/>
    <mergeCell ref="M4:M6"/>
    <mergeCell ref="N4:N6"/>
    <mergeCell ref="O4:O6"/>
    <mergeCell ref="A14:A15"/>
    <mergeCell ref="BN10:BN12"/>
    <mergeCell ref="BO10:BO12"/>
    <mergeCell ref="C16:C18"/>
    <mergeCell ref="A17:A18"/>
    <mergeCell ref="BN13:BN15"/>
    <mergeCell ref="BO13:BO15"/>
    <mergeCell ref="BN16:BN18"/>
    <mergeCell ref="BO16:BO18"/>
    <mergeCell ref="Q10:Q12"/>
    <mergeCell ref="R10:R12"/>
    <mergeCell ref="S10:S12"/>
    <mergeCell ref="T10:T12"/>
    <mergeCell ref="U10:U12"/>
    <mergeCell ref="V10:V12"/>
    <mergeCell ref="W10:W12"/>
    <mergeCell ref="A20:A21"/>
    <mergeCell ref="C22:C24"/>
    <mergeCell ref="A23:A24"/>
    <mergeCell ref="BN19:BN21"/>
    <mergeCell ref="BO19:B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26:A27"/>
    <mergeCell ref="BN22:BN24"/>
    <mergeCell ref="BO22:BO24"/>
    <mergeCell ref="C28:C30"/>
    <mergeCell ref="A29:A30"/>
    <mergeCell ref="BN25:BN27"/>
    <mergeCell ref="BO25:BO27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C31:C33"/>
    <mergeCell ref="A32:A33"/>
    <mergeCell ref="BN28:BN30"/>
    <mergeCell ref="BO28:BO30"/>
    <mergeCell ref="C34:C36"/>
    <mergeCell ref="A35:A36"/>
    <mergeCell ref="BN31:BN33"/>
    <mergeCell ref="BO31:BO33"/>
    <mergeCell ref="R28:R30"/>
    <mergeCell ref="S28:S30"/>
    <mergeCell ref="T28:T30"/>
    <mergeCell ref="U28:U30"/>
    <mergeCell ref="V28:V30"/>
    <mergeCell ref="W28:W30"/>
    <mergeCell ref="X28:X30"/>
    <mergeCell ref="Y28:Y30"/>
    <mergeCell ref="C37:C39"/>
    <mergeCell ref="A38:A39"/>
    <mergeCell ref="BN34:BN36"/>
    <mergeCell ref="BO34:BO36"/>
    <mergeCell ref="C40:C42"/>
    <mergeCell ref="A41:A42"/>
    <mergeCell ref="BN37:BN39"/>
    <mergeCell ref="BO37:BO39"/>
    <mergeCell ref="Q34:Q36"/>
    <mergeCell ref="R34:R36"/>
    <mergeCell ref="S34:S36"/>
    <mergeCell ref="T34:T36"/>
    <mergeCell ref="U34:U36"/>
    <mergeCell ref="V34:V36"/>
    <mergeCell ref="W34:W36"/>
    <mergeCell ref="X34:X36"/>
    <mergeCell ref="C43:C45"/>
    <mergeCell ref="A44:A45"/>
    <mergeCell ref="BN40:BN42"/>
    <mergeCell ref="BO40:BO42"/>
    <mergeCell ref="C46:C48"/>
    <mergeCell ref="A47:A48"/>
    <mergeCell ref="BN43:BN45"/>
    <mergeCell ref="BO43:BO45"/>
    <mergeCell ref="R40:R42"/>
    <mergeCell ref="S40:S42"/>
    <mergeCell ref="T40:T42"/>
    <mergeCell ref="U40:U42"/>
    <mergeCell ref="V40:V42"/>
    <mergeCell ref="W40:W42"/>
    <mergeCell ref="X40:X42"/>
    <mergeCell ref="Y40:Y42"/>
    <mergeCell ref="C49:C51"/>
    <mergeCell ref="A50:A51"/>
    <mergeCell ref="BN46:BN48"/>
    <mergeCell ref="BO46:BO48"/>
    <mergeCell ref="C52:C54"/>
    <mergeCell ref="A53:A54"/>
    <mergeCell ref="BN49:BN51"/>
    <mergeCell ref="BO49:BO51"/>
    <mergeCell ref="P46:P48"/>
    <mergeCell ref="Q46:Q48"/>
    <mergeCell ref="R46:R48"/>
    <mergeCell ref="S46:S48"/>
    <mergeCell ref="T46:T48"/>
    <mergeCell ref="U46:U48"/>
    <mergeCell ref="V46:V48"/>
    <mergeCell ref="W46:W48"/>
    <mergeCell ref="C55:C57"/>
    <mergeCell ref="A56:A57"/>
    <mergeCell ref="BN52:BN54"/>
    <mergeCell ref="BO52:BO54"/>
    <mergeCell ref="C58:C60"/>
    <mergeCell ref="A59:A60"/>
    <mergeCell ref="BN55:BN57"/>
    <mergeCell ref="BO55:BO57"/>
    <mergeCell ref="Q52:Q54"/>
    <mergeCell ref="R52:R54"/>
    <mergeCell ref="S52:S54"/>
    <mergeCell ref="T52:T54"/>
    <mergeCell ref="U52:U54"/>
    <mergeCell ref="V52:V54"/>
    <mergeCell ref="W52:W54"/>
    <mergeCell ref="X52:X54"/>
    <mergeCell ref="C61:C63"/>
    <mergeCell ref="A62:A63"/>
    <mergeCell ref="BN58:BN60"/>
    <mergeCell ref="BO58:BO60"/>
    <mergeCell ref="C64:C66"/>
    <mergeCell ref="A65:A66"/>
    <mergeCell ref="BN61:BN63"/>
    <mergeCell ref="BO61:BO63"/>
    <mergeCell ref="R58:R60"/>
    <mergeCell ref="S58:S60"/>
    <mergeCell ref="T58:T60"/>
    <mergeCell ref="U58:U60"/>
    <mergeCell ref="V58:V60"/>
    <mergeCell ref="W58:W60"/>
    <mergeCell ref="X58:X60"/>
    <mergeCell ref="Y58:Y60"/>
    <mergeCell ref="C67:C69"/>
    <mergeCell ref="A68:A69"/>
    <mergeCell ref="BN64:BN66"/>
    <mergeCell ref="BO64:BO66"/>
    <mergeCell ref="C70:C72"/>
    <mergeCell ref="A71:A72"/>
    <mergeCell ref="BN67:BN69"/>
    <mergeCell ref="BO67:BO69"/>
    <mergeCell ref="R64:R66"/>
    <mergeCell ref="S64:S66"/>
    <mergeCell ref="T64:T66"/>
    <mergeCell ref="U64:U66"/>
    <mergeCell ref="V64:V66"/>
    <mergeCell ref="W64:W66"/>
    <mergeCell ref="X64:X66"/>
    <mergeCell ref="Y64:Y66"/>
    <mergeCell ref="C73:C75"/>
    <mergeCell ref="A74:A75"/>
    <mergeCell ref="BN70:BN72"/>
    <mergeCell ref="BO70:BO72"/>
    <mergeCell ref="C76:C78"/>
    <mergeCell ref="A77:A78"/>
    <mergeCell ref="BN73:BN75"/>
    <mergeCell ref="BO73:BO75"/>
    <mergeCell ref="R70:R72"/>
    <mergeCell ref="S70:S72"/>
    <mergeCell ref="T70:T72"/>
    <mergeCell ref="U70:U72"/>
    <mergeCell ref="V70:V72"/>
    <mergeCell ref="W70:W72"/>
    <mergeCell ref="X70:X72"/>
    <mergeCell ref="Y70:Y72"/>
    <mergeCell ref="C79:C81"/>
    <mergeCell ref="A80:A81"/>
    <mergeCell ref="BN76:BN78"/>
    <mergeCell ref="BO76:BO78"/>
    <mergeCell ref="C82:C84"/>
    <mergeCell ref="A83:A84"/>
    <mergeCell ref="BN79:BN81"/>
    <mergeCell ref="BO79:BO81"/>
    <mergeCell ref="R76:R78"/>
    <mergeCell ref="S76:S78"/>
    <mergeCell ref="T76:T78"/>
    <mergeCell ref="U76:U78"/>
    <mergeCell ref="V76:V78"/>
    <mergeCell ref="W76:W78"/>
    <mergeCell ref="X76:X78"/>
    <mergeCell ref="Y76:Y78"/>
    <mergeCell ref="C85:C87"/>
    <mergeCell ref="A86:A87"/>
    <mergeCell ref="BN82:BN84"/>
    <mergeCell ref="BO82:BO84"/>
    <mergeCell ref="C88:C90"/>
    <mergeCell ref="A89:A90"/>
    <mergeCell ref="BN85:BN87"/>
    <mergeCell ref="BO85:BO87"/>
    <mergeCell ref="R82:R84"/>
    <mergeCell ref="S82:S84"/>
    <mergeCell ref="T82:T84"/>
    <mergeCell ref="U82:U84"/>
    <mergeCell ref="V82:V84"/>
    <mergeCell ref="W82:W84"/>
    <mergeCell ref="X82:X84"/>
    <mergeCell ref="Y82:Y84"/>
    <mergeCell ref="C91:C93"/>
    <mergeCell ref="A92:A93"/>
    <mergeCell ref="BN88:BN90"/>
    <mergeCell ref="BO88:BO90"/>
    <mergeCell ref="C94:C96"/>
    <mergeCell ref="A95:A96"/>
    <mergeCell ref="BN91:BN93"/>
    <mergeCell ref="BO91:BO93"/>
    <mergeCell ref="R88:R90"/>
    <mergeCell ref="S88:S90"/>
    <mergeCell ref="T88:T90"/>
    <mergeCell ref="U88:U90"/>
    <mergeCell ref="V88:V90"/>
    <mergeCell ref="W88:W90"/>
    <mergeCell ref="X88:X90"/>
    <mergeCell ref="Y88:Y90"/>
    <mergeCell ref="BN94:BN96"/>
    <mergeCell ref="BO94:BO96"/>
    <mergeCell ref="C100:C102"/>
    <mergeCell ref="A101:A102"/>
    <mergeCell ref="BN97:BN99"/>
    <mergeCell ref="BO97:BO99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C112:C114"/>
    <mergeCell ref="A113:A114"/>
    <mergeCell ref="BN109:BN111"/>
    <mergeCell ref="BO109:BO111"/>
    <mergeCell ref="BN112:BN114"/>
    <mergeCell ref="BO112:BO114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C109:C111"/>
    <mergeCell ref="A110:A111"/>
    <mergeCell ref="C97:C99"/>
    <mergeCell ref="BN106:BN108"/>
    <mergeCell ref="BO106:BO108"/>
    <mergeCell ref="C103:C105"/>
    <mergeCell ref="A104:A105"/>
    <mergeCell ref="BN100:BN102"/>
    <mergeCell ref="BO100:BO102"/>
    <mergeCell ref="C106:C108"/>
    <mergeCell ref="A107:A108"/>
    <mergeCell ref="BN103:BN105"/>
    <mergeCell ref="BO103:BO105"/>
    <mergeCell ref="A98:A99"/>
    <mergeCell ref="Q97:Q99"/>
    <mergeCell ref="R97:R99"/>
  </mergeCells>
  <conditionalFormatting sqref="D4:BM12 AG119:AG121">
    <cfRule type="cellIs" dxfId="32" priority="1" operator="between">
      <formula>0.001</formula>
      <formula>0.099</formula>
    </cfRule>
    <cfRule type="cellIs" dxfId="31" priority="2" operator="between">
      <formula>0.1</formula>
      <formula>0.11</formula>
    </cfRule>
    <cfRule type="cellIs" dxfId="30" priority="3" operator="between">
      <formula>0.111</formula>
      <formula>0.12</formula>
    </cfRule>
    <cfRule type="cellIs" dxfId="29" priority="4" operator="between">
      <formula>0.121</formula>
      <formula>0.13</formula>
    </cfRule>
    <cfRule type="cellIs" dxfId="28" priority="5" operator="between">
      <formula>0.131</formula>
      <formula>0.14</formula>
    </cfRule>
    <cfRule type="cellIs" dxfId="27" priority="6" operator="between">
      <formula>0.141</formula>
      <formula>0.15</formula>
    </cfRule>
    <cfRule type="cellIs" dxfId="26" priority="7" operator="between">
      <formula>0.151</formula>
      <formula>0.16</formula>
    </cfRule>
    <cfRule type="cellIs" dxfId="25" priority="8" operator="between">
      <formula>0.161</formula>
      <formula>0.17</formula>
    </cfRule>
    <cfRule type="cellIs" dxfId="24" priority="9" operator="between">
      <formula>0.171</formula>
      <formula>0.18</formula>
    </cfRule>
    <cfRule type="cellIs" dxfId="23" priority="10" operator="between">
      <formula>0.181</formula>
      <formula>0.999</formula>
    </cfRule>
  </conditionalFormatting>
  <conditionalFormatting sqref="D4:BM114 AG119:AG121">
    <cfRule type="containsText" dxfId="22" priority="50" operator="containsText" text="">
      <formula>NOT(ISERROR(SEARCH("",D4)))</formula>
    </cfRule>
  </conditionalFormatting>
  <conditionalFormatting sqref="D13:BM90 AG125:AG127">
    <cfRule type="cellIs" dxfId="21" priority="12" operator="between">
      <formula>0.084</formula>
      <formula>0.093</formula>
    </cfRule>
    <cfRule type="cellIs" dxfId="20" priority="13" operator="between">
      <formula>0.094</formula>
      <formula>0.103</formula>
    </cfRule>
    <cfRule type="cellIs" dxfId="19" priority="14" operator="between">
      <formula>0.104</formula>
      <formula>0.113</formula>
    </cfRule>
    <cfRule type="cellIs" dxfId="18" priority="15" operator="between">
      <formula>0.114</formula>
      <formula>0.123</formula>
    </cfRule>
    <cfRule type="cellIs" dxfId="17" priority="16" operator="between">
      <formula>0.124</formula>
      <formula>0.133</formula>
    </cfRule>
    <cfRule type="cellIs" dxfId="16" priority="17" operator="between">
      <formula>0.134</formula>
      <formula>0.143</formula>
    </cfRule>
    <cfRule type="cellIs" dxfId="15" priority="18" operator="between">
      <formula>0.144</formula>
      <formula>0.153</formula>
    </cfRule>
    <cfRule type="cellIs" dxfId="14" priority="19" operator="between">
      <formula>0.154</formula>
      <formula>0.163</formula>
    </cfRule>
    <cfRule type="cellIs" dxfId="13" priority="20" operator="between">
      <formula>0.164</formula>
      <formula>0.999</formula>
    </cfRule>
  </conditionalFormatting>
  <conditionalFormatting sqref="D13:BM114 AG125:AG127">
    <cfRule type="cellIs" dxfId="12" priority="11" operator="between">
      <formula>0.001</formula>
      <formula>0.083</formula>
    </cfRule>
  </conditionalFormatting>
  <conditionalFormatting sqref="D91:BM114 AG131:AG133">
    <cfRule type="cellIs" dxfId="11" priority="23" operator="between">
      <formula>0.11</formula>
      <formula>0.119</formula>
    </cfRule>
    <cfRule type="cellIs" dxfId="10" priority="24" operator="between">
      <formula>0.12</formula>
      <formula>0.129</formula>
    </cfRule>
    <cfRule type="cellIs" dxfId="9" priority="25" operator="between">
      <formula>0.13</formula>
      <formula>0.139</formula>
    </cfRule>
    <cfRule type="cellIs" dxfId="8" priority="26" operator="between">
      <formula>0.14</formula>
      <formula>0.149</formula>
    </cfRule>
    <cfRule type="cellIs" dxfId="7" priority="27" operator="between">
      <formula>0.15</formula>
      <formula>0.159</formula>
    </cfRule>
    <cfRule type="cellIs" dxfId="6" priority="28" operator="between">
      <formula>0.16</formula>
      <formula>0.169</formula>
    </cfRule>
    <cfRule type="cellIs" dxfId="5" priority="29" operator="between">
      <formula>0.17</formula>
      <formula>0.179</formula>
    </cfRule>
    <cfRule type="cellIs" dxfId="4" priority="30" operator="between">
      <formula>0.18</formula>
      <formula>0.999</formula>
    </cfRule>
  </conditionalFormatting>
  <conditionalFormatting sqref="AG125:AG127">
    <cfRule type="containsText" dxfId="3" priority="61" operator="containsText" text="">
      <formula>NOT(ISERROR(SEARCH("",AG125)))</formula>
    </cfRule>
  </conditionalFormatting>
  <conditionalFormatting sqref="AG131:AG133 D91:BM114">
    <cfRule type="cellIs" dxfId="2" priority="22" operator="between">
      <formula>0.1</formula>
      <formula>0.109</formula>
    </cfRule>
  </conditionalFormatting>
  <conditionalFormatting sqref="AG131:AG133">
    <cfRule type="cellIs" dxfId="1" priority="21" operator="between">
      <formula>0.001</formula>
      <formula>0.083</formula>
    </cfRule>
    <cfRule type="containsText" dxfId="0" priority="72" operator="containsText" text="">
      <formula>NOT(ISERROR(SEARCH("",AG131)))</formula>
    </cfRule>
  </conditionalFormatting>
  <printOptions horizontalCentered="1"/>
  <pageMargins left="0.25" right="0.25" top="0.75" bottom="0.25" header="0" footer="0"/>
  <pageSetup paperSize="3" scale="32" pageOrder="overThenDown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2020-01-27T15:22:03Z</cp:lastPrinted>
  <dcterms:created xsi:type="dcterms:W3CDTF">2007-12-19T20:22:39Z</dcterms:created>
  <dcterms:modified xsi:type="dcterms:W3CDTF">2025-05-11T19:02:29Z</dcterms:modified>
</cp:coreProperties>
</file>