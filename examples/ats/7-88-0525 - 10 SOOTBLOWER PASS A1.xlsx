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SELMA\RB1\Thickness\"/>
    </mc:Choice>
  </mc:AlternateContent>
  <xr:revisionPtr revIDLastSave="0" documentId="13_ncr:1_{2F0284E8-7E34-4099-AA5A-AE9D261600C0}" xr6:coauthVersionLast="47" xr6:coauthVersionMax="47" xr10:uidLastSave="{00000000-0000-0000-0000-000000000000}"/>
  <bookViews>
    <workbookView xWindow="-120" yWindow="-120" windowWidth="29040" windowHeight="15720" xr2:uid="{D2D7454D-1D8B-436C-B39D-9672E195C69A}"/>
  </bookViews>
  <sheets>
    <sheet name="Thickness" sheetId="1" r:id="rId1"/>
    <sheet name="Corrosion" sheetId="2" r:id="rId2"/>
    <sheet name="Projection" sheetId="3" r:id="rId3"/>
    <sheet name="Retirement" sheetId="4" r:id="rId4"/>
    <sheet name="Low" sheetId="5" state="hidden" r:id="rId5"/>
  </sheets>
  <definedNames>
    <definedName name="_xlnm.Print_Area" localSheetId="1">Corrosion!$A$1:$DZ$101</definedName>
    <definedName name="_xlnm.Print_Area" localSheetId="4">Low!$A$1:$DZ$101</definedName>
    <definedName name="_xlnm.Print_Area" localSheetId="2">Projection!$A$1:$DZ$101</definedName>
    <definedName name="_xlnm.Print_Area" localSheetId="3">Retirement!$A$1:$DZ$101</definedName>
    <definedName name="_xlnm.Print_Area" localSheetId="0">Thickness!$A$1:$DZ$101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01" i="5" l="1"/>
  <c r="AW101" i="5"/>
  <c r="CL100" i="5"/>
  <c r="CL98" i="5"/>
  <c r="CL97" i="5"/>
  <c r="Y6" i="5"/>
  <c r="X6" i="5"/>
  <c r="Y5" i="5"/>
  <c r="X5" i="5"/>
  <c r="W4" i="5"/>
  <c r="V4" i="5"/>
  <c r="U4" i="5"/>
  <c r="R4" i="5"/>
  <c r="O4" i="5"/>
  <c r="L4" i="5"/>
  <c r="I4" i="5"/>
  <c r="F4" i="5"/>
  <c r="E4" i="5"/>
  <c r="AG101" i="5" s="1"/>
  <c r="D4" i="5"/>
  <c r="AG100" i="5" s="1"/>
  <c r="C1" i="5"/>
  <c r="A1" i="5"/>
  <c r="CL101" i="4"/>
  <c r="AW101" i="4"/>
  <c r="CL100" i="4"/>
  <c r="CL98" i="4"/>
  <c r="CL97" i="4"/>
  <c r="C1" i="4"/>
  <c r="A1" i="4"/>
  <c r="CL101" i="3"/>
  <c r="AW101" i="3"/>
  <c r="AG101" i="3"/>
  <c r="CL100" i="3"/>
  <c r="AG100" i="3"/>
  <c r="AG99" i="3"/>
  <c r="CL98" i="3"/>
  <c r="AG98" i="3"/>
  <c r="CL97" i="3"/>
  <c r="Y6" i="3"/>
  <c r="X6" i="3"/>
  <c r="Y5" i="3"/>
  <c r="X5" i="3"/>
  <c r="Y4" i="3"/>
  <c r="X4" i="3"/>
  <c r="C1" i="3"/>
  <c r="A1" i="3"/>
  <c r="CL101" i="2"/>
  <c r="AW101" i="2"/>
  <c r="CL100" i="2"/>
  <c r="CL98" i="2"/>
  <c r="CL97" i="2"/>
  <c r="Y6" i="2"/>
  <c r="X6" i="2"/>
  <c r="Y5" i="2"/>
  <c r="X5" i="2"/>
  <c r="Y4" i="2"/>
  <c r="X4" i="2"/>
  <c r="C1" i="2"/>
  <c r="A1" i="2"/>
  <c r="AG101" i="1"/>
  <c r="AG100" i="1"/>
  <c r="AG99" i="1"/>
  <c r="AG98" i="1"/>
  <c r="Y6" i="1"/>
  <c r="X6" i="1"/>
  <c r="Y5" i="1"/>
  <c r="X5" i="1"/>
  <c r="Y4" i="1"/>
  <c r="X4" i="1"/>
  <c r="X4" i="5" l="1"/>
  <c r="Y4" i="5"/>
  <c r="AG98" i="5"/>
  <c r="AG99" i="5"/>
</calcChain>
</file>

<file path=xl/sharedStrings.xml><?xml version="1.0" encoding="utf-8"?>
<sst xmlns="http://schemas.openxmlformats.org/spreadsheetml/2006/main" count="422" uniqueCount="83">
  <si>
    <t>OBSTRUCTION</t>
  </si>
  <si>
    <t>PLATENS NUMBERED LEFT TO RIGHT FACING REAR OF BOILER. THICKNESS MEASUREMENTS ARE IN INCHES.</t>
  </si>
  <si>
    <t>ORIENTATION</t>
  </si>
  <si>
    <t>ELEVATION</t>
  </si>
  <si>
    <t>LOC</t>
  </si>
  <si>
    <t>AVG</t>
  </si>
  <si>
    <t>MIN</t>
  </si>
  <si>
    <t>A</t>
  </si>
  <si>
    <t>REAR SIDE</t>
  </si>
  <si>
    <t>L</t>
  </si>
  <si>
    <t/>
  </si>
  <si>
    <t>IK #22 C/L</t>
  </si>
  <si>
    <t>C</t>
  </si>
  <si>
    <t>0' REFERENCE</t>
  </si>
  <si>
    <t>R</t>
  </si>
  <si>
    <t>0.001-0.075</t>
  </si>
  <si>
    <t>0.146-0.155</t>
  </si>
  <si>
    <t>OUTSIDE DIAMETER:</t>
  </si>
  <si>
    <t>INSPECTION RESULTS</t>
  </si>
  <si>
    <t>APPLIED TECHNICAL SERVICES 
1049 Triad Court
Marietta, Georgia 30062
Office # (770) 423-1400
Fax # (770) 514-3299
www.atslab.com</t>
  </si>
  <si>
    <t xml:space="preserve">INTERNATIONAL PAPER </t>
  </si>
  <si>
    <t>LEGEND</t>
  </si>
  <si>
    <t>0.076-0.115</t>
  </si>
  <si>
    <t>0.156-0.165</t>
  </si>
  <si>
    <t>TUBE MATERIAL:</t>
  </si>
  <si>
    <t>SA-213T22</t>
  </si>
  <si>
    <t>MAX. THICKNESS</t>
  </si>
  <si>
    <t>RIVERDALE MILL</t>
  </si>
  <si>
    <t>0.116-0.125</t>
  </si>
  <si>
    <t>0.166-0.175</t>
  </si>
  <si>
    <t>NOMINAL WALL:</t>
  </si>
  <si>
    <t>AVG. THICKNESS</t>
  </si>
  <si>
    <t>TUBE WALL THICKNESS SURVEY</t>
  </si>
  <si>
    <t>0.126-0.135</t>
  </si>
  <si>
    <t>0.176-0.185</t>
  </si>
  <si>
    <t>ASME MIN:</t>
  </si>
  <si>
    <t>MIN. THICKNESS</t>
  </si>
  <si>
    <t>NO. 1 RECOVERY BOILER</t>
  </si>
  <si>
    <t>0.136-0.145</t>
  </si>
  <si>
    <t>0.186-0.999</t>
  </si>
  <si>
    <t>MILL FLAG:</t>
  </si>
  <si>
    <t>STD DEV.</t>
  </si>
  <si>
    <t>Job #  H449364  P.O. #  0018342455 W.O. #  N/A   Date:  5/05/2025</t>
  </si>
  <si>
    <t>10 SOOTBLOWER PASS A1</t>
  </si>
  <si>
    <t>THICKNESS</t>
  </si>
  <si>
    <t>APPLIED TECHNICAL SERVICES 
1325-B Cavalier Boulevard               Chesapeake, Virginia 23323                (757) 558-0016 Fax (757) 558-0063
www.atslab.com</t>
  </si>
  <si>
    <t>APPLIED TECHNICAL SERVICES 
2312 Commerce Ctr. Dr., Suite A                           Rockville, Virginia 23146                          (804) 550-7610 Fax (804) 550-7611                           www.atslab.com</t>
  </si>
  <si>
    <t>TUBES NUMBERED LEFT TO RIGHT FACING WALL.  CORROSION RATE MEASUREMENTS ARE IN MILS.</t>
  </si>
  <si>
    <t>MAX</t>
  </si>
  <si>
    <t>ND</t>
  </si>
  <si>
    <t>CORROSION RATE (mpy):</t>
  </si>
  <si>
    <t>NOTE:  CORROSION RATES ARE BASED ON COMPARISON OF</t>
  </si>
  <si>
    <t>TEST RESULTS</t>
  </si>
  <si>
    <t>&lt; 0 mpy (LOSS) or no data</t>
  </si>
  <si>
    <t>OVERALL CORROSION RATE (mils per year):</t>
  </si>
  <si>
    <t>0-10 mpy (LOSS)</t>
  </si>
  <si>
    <t>2020, 2023, 2024, 2025</t>
  </si>
  <si>
    <t>CALCULATED CORROSION RATE</t>
  </si>
  <si>
    <t>10-20 mpy (LOSS)</t>
  </si>
  <si>
    <t>INSPECTION DATA</t>
  </si>
  <si>
    <t>&gt; 20 mpy (LOSS)</t>
  </si>
  <si>
    <t xml:space="preserve"> NO COMPARISON DATA</t>
  </si>
  <si>
    <t>CORROSION</t>
  </si>
  <si>
    <t>TUBES NUMBERED LEFT TO RIGHT FACING WALL. PROJECTED THICKNESS MEASUREMENTS ARE IN INCHES.</t>
  </si>
  <si>
    <t>FUTURE PROJECTION</t>
  </si>
  <si>
    <t>PROJECTED TUBE WALL THICKNESS - 5 YEARS</t>
  </si>
  <si>
    <t>PROJECTION</t>
  </si>
  <si>
    <t xml:space="preserve">TUBES NUMBERED LEFT TO RIGHT FACING WALL. </t>
  </si>
  <si>
    <t>Year</t>
  </si>
  <si>
    <t>May 2055</t>
  </si>
  <si>
    <r>
      <t>PROJECTED TO REACH T</t>
    </r>
    <r>
      <rPr>
        <sz val="14"/>
        <rFont val="Arial"/>
        <family val="2"/>
      </rPr>
      <t>MIN</t>
    </r>
    <r>
      <rPr>
        <sz val="20"/>
        <rFont val="Arial"/>
        <family val="2"/>
      </rPr>
      <t>:</t>
    </r>
  </si>
  <si>
    <t>NOTE:  CORROSION RATE IS BASED ON COMPARISON OF</t>
  </si>
  <si>
    <t>EARLIEST DATE OF PROJECTED RETIREMENT:</t>
  </si>
  <si>
    <t>+ 5 YEARS (or no data)</t>
  </si>
  <si>
    <t>WITHIN 5 YEARS</t>
  </si>
  <si>
    <t>PROJECTED TUBE RETIREMENT DATE</t>
  </si>
  <si>
    <t>WITHIN 3 YEARS</t>
  </si>
  <si>
    <t>WITHIN 1 YEAR</t>
  </si>
  <si>
    <t>RETIREMENT</t>
  </si>
  <si>
    <t>TUBES NUMBERED LEFT TO RIGHT FACING WALL.  LOW THICKNESS MEASUREMENTS ARE IN INCHES.</t>
  </si>
  <si>
    <t>LOWEST</t>
  </si>
  <si>
    <t>TUBE WALL THICKNESS SURVEY (LOW VALUE)</t>
  </si>
  <si>
    <t>LOW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</si>
</sst>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.000"/>
    <numFmt numFmtId="166" formatCode="0.0"/>
    <numFmt numFmtId="167" formatCode="[$-409]mmmm\ yyyy;@"/>
  </numFmts>
  <fonts count="2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8"/>
      <color indexed="12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2"/>
      <name val="Arial"/>
      <family val="2"/>
    </font>
    <font>
      <b/>
      <sz val="18"/>
      <color indexed="10"/>
      <name val="Arial"/>
      <family val="2"/>
    </font>
    <font>
      <b/>
      <sz val="55"/>
      <name val="Arial"/>
      <family val="2"/>
    </font>
    <font>
      <b/>
      <sz val="20"/>
      <color theme="0"/>
      <name val="Arial"/>
      <family val="2"/>
    </font>
    <font>
      <i/>
      <sz val="36"/>
      <color rgb="FF7030A0"/>
      <name val="Arial"/>
      <family val="2"/>
    </font>
    <font>
      <i/>
      <sz val="16"/>
      <color rgb="FF7030A0"/>
      <name val="Arial"/>
      <family val="2"/>
    </font>
    <font>
      <sz val="20"/>
      <color rgb="FF7030A0"/>
      <name val="Arial"/>
      <family val="2"/>
    </font>
    <font>
      <b/>
      <sz val="36"/>
      <color rgb="FF7030A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2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textRotation="180"/>
    </xf>
    <xf numFmtId="1" fontId="7" fillId="0" borderId="1" xfId="0" applyNumberFormat="1" applyFont="1" applyBorder="1" applyAlignment="1">
      <alignment horizontal="center" vertical="center" textRotation="180"/>
    </xf>
    <xf numFmtId="1" fontId="7" fillId="0" borderId="9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  <xf numFmtId="1" fontId="7" fillId="0" borderId="3" xfId="0" applyNumberFormat="1" applyFont="1" applyBorder="1" applyAlignment="1">
      <alignment horizontal="center" vertical="center" textRotation="180"/>
    </xf>
    <xf numFmtId="1" fontId="7" fillId="0" borderId="28" xfId="0" applyNumberFormat="1" applyFont="1" applyBorder="1" applyAlignment="1">
      <alignment horizontal="center" vertical="center" textRotation="180"/>
    </xf>
    <xf numFmtId="1" fontId="7" fillId="0" borderId="29" xfId="0" applyNumberFormat="1" applyFont="1" applyBorder="1" applyAlignment="1">
      <alignment horizontal="center" vertical="center" textRotation="180"/>
    </xf>
    <xf numFmtId="1" fontId="7" fillId="0" borderId="30" xfId="0" applyNumberFormat="1" applyFont="1" applyBorder="1" applyAlignment="1">
      <alignment horizontal="center" vertical="center" textRotation="180"/>
    </xf>
    <xf numFmtId="1" fontId="2" fillId="0" borderId="31" xfId="0" applyNumberFormat="1" applyFont="1" applyBorder="1" applyAlignment="1">
      <alignment horizontal="center" vertical="center" textRotation="180"/>
    </xf>
    <xf numFmtId="1" fontId="2" fillId="0" borderId="30" xfId="0" applyNumberFormat="1" applyFont="1" applyBorder="1" applyAlignment="1">
      <alignment horizontal="center" vertical="center" textRotation="180"/>
    </xf>
    <xf numFmtId="165" fontId="14" fillId="9" borderId="2" xfId="0" applyNumberFormat="1" applyFont="1" applyFill="1" applyBorder="1" applyAlignment="1">
      <alignment horizontal="center" vertical="center"/>
    </xf>
    <xf numFmtId="165" fontId="14" fillId="20" borderId="2" xfId="0" applyNumberFormat="1" applyFont="1" applyFill="1" applyBorder="1" applyAlignment="1">
      <alignment horizontal="center" vertical="center"/>
    </xf>
    <xf numFmtId="165" fontId="14" fillId="21" borderId="2" xfId="0" applyNumberFormat="1" applyFont="1" applyFill="1" applyBorder="1" applyAlignment="1">
      <alignment horizontal="center" vertical="center"/>
    </xf>
    <xf numFmtId="165" fontId="14" fillId="22" borderId="2" xfId="0" applyNumberFormat="1" applyFont="1" applyFill="1" applyBorder="1" applyAlignment="1">
      <alignment horizontal="center" vertical="center"/>
    </xf>
    <xf numFmtId="165" fontId="14" fillId="23" borderId="2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textRotation="180"/>
    </xf>
    <xf numFmtId="1" fontId="7" fillId="0" borderId="17" xfId="0" applyNumberFormat="1" applyFont="1" applyBorder="1" applyAlignment="1">
      <alignment horizontal="center" vertical="center" textRotation="180"/>
    </xf>
    <xf numFmtId="1" fontId="7" fillId="0" borderId="18" xfId="0" applyNumberFormat="1" applyFont="1" applyBorder="1" applyAlignment="1">
      <alignment horizontal="center" vertical="center" textRotation="180"/>
    </xf>
    <xf numFmtId="1" fontId="7" fillId="0" borderId="21" xfId="0" applyNumberFormat="1" applyFont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49" fontId="9" fillId="2" borderId="13" xfId="0" applyNumberFormat="1" applyFont="1" applyFill="1" applyBorder="1" applyAlignment="1">
      <alignment horizontal="center" vertical="center" shrinkToFit="1"/>
    </xf>
    <xf numFmtId="49" fontId="9" fillId="2" borderId="14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 textRotation="180"/>
    </xf>
    <xf numFmtId="0" fontId="18" fillId="4" borderId="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165" fontId="6" fillId="19" borderId="25" xfId="0" applyNumberFormat="1" applyFont="1" applyFill="1" applyBorder="1" applyAlignment="1">
      <alignment horizontal="center" vertical="center" textRotation="180"/>
    </xf>
    <xf numFmtId="165" fontId="6" fillId="19" borderId="26" xfId="0" applyNumberFormat="1" applyFont="1" applyFill="1" applyBorder="1" applyAlignment="1">
      <alignment horizontal="center" vertical="center" textRotation="180"/>
    </xf>
    <xf numFmtId="165" fontId="6" fillId="19" borderId="27" xfId="0" applyNumberFormat="1" applyFont="1" applyFill="1" applyBorder="1" applyAlignment="1">
      <alignment horizontal="center" vertical="center" textRotation="180"/>
    </xf>
    <xf numFmtId="165" fontId="14" fillId="24" borderId="2" xfId="0" applyNumberFormat="1" applyFont="1" applyFill="1" applyBorder="1" applyAlignment="1">
      <alignment horizontal="center" vertical="center"/>
    </xf>
    <xf numFmtId="165" fontId="14" fillId="16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/>
    </xf>
    <xf numFmtId="165" fontId="14" fillId="25" borderId="2" xfId="0" applyNumberFormat="1" applyFont="1" applyFill="1" applyBorder="1" applyAlignment="1">
      <alignment horizontal="center" vertical="center"/>
    </xf>
    <xf numFmtId="165" fontId="14" fillId="1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4" fillId="29" borderId="5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4" fillId="26" borderId="2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24" fillId="28" borderId="3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14" fillId="27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24" fillId="29" borderId="3" xfId="0" applyNumberFormat="1" applyFont="1" applyFill="1" applyBorder="1" applyAlignment="1">
      <alignment horizontal="center" vertical="center"/>
    </xf>
    <xf numFmtId="165" fontId="14" fillId="28" borderId="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5" fontId="25" fillId="29" borderId="6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5" fontId="3" fillId="6" borderId="7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7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65" fontId="15" fillId="7" borderId="10" xfId="0" applyNumberFormat="1" applyFont="1" applyFill="1" applyBorder="1" applyAlignment="1">
      <alignment horizontal="center" vertical="center"/>
    </xf>
    <xf numFmtId="165" fontId="15" fillId="7" borderId="13" xfId="0" applyNumberFormat="1" applyFont="1" applyFill="1" applyBorder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4" fillId="10" borderId="10" xfId="0" applyNumberFormat="1" applyFont="1" applyFill="1" applyBorder="1" applyAlignment="1">
      <alignment horizontal="center" vertical="center"/>
    </xf>
    <xf numFmtId="165" fontId="14" fillId="10" borderId="13" xfId="0" applyNumberFormat="1" applyFont="1" applyFill="1" applyBorder="1" applyAlignment="1">
      <alignment horizontal="center" vertical="center"/>
    </xf>
    <xf numFmtId="165" fontId="14" fillId="10" borderId="14" xfId="0" applyNumberFormat="1" applyFont="1" applyFill="1" applyBorder="1" applyAlignment="1">
      <alignment horizontal="center" vertical="center"/>
    </xf>
    <xf numFmtId="165" fontId="14" fillId="8" borderId="10" xfId="0" applyNumberFormat="1" applyFont="1" applyFill="1" applyBorder="1" applyAlignment="1">
      <alignment horizontal="center" vertical="center"/>
    </xf>
    <xf numFmtId="165" fontId="14" fillId="8" borderId="13" xfId="0" applyNumberFormat="1" applyFont="1" applyFill="1" applyBorder="1" applyAlignment="1">
      <alignment horizontal="center" vertical="center"/>
    </xf>
    <xf numFmtId="165" fontId="14" fillId="8" borderId="14" xfId="0" applyNumberFormat="1" applyFont="1" applyFill="1" applyBorder="1" applyAlignment="1">
      <alignment horizontal="center" vertical="center"/>
    </xf>
    <xf numFmtId="165" fontId="19" fillId="9" borderId="10" xfId="0" applyNumberFormat="1" applyFont="1" applyFill="1" applyBorder="1" applyAlignment="1">
      <alignment horizontal="center" vertical="center"/>
    </xf>
    <xf numFmtId="165" fontId="19" fillId="9" borderId="13" xfId="0" applyNumberFormat="1" applyFont="1" applyFill="1" applyBorder="1" applyAlignment="1">
      <alignment horizontal="center" vertical="center"/>
    </xf>
    <xf numFmtId="165" fontId="19" fillId="9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166" fontId="20" fillId="0" borderId="3" xfId="0" applyNumberFormat="1" applyFont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165" fontId="3" fillId="11" borderId="3" xfId="0" applyNumberFormat="1" applyFont="1" applyFill="1" applyBorder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/>
    </xf>
    <xf numFmtId="165" fontId="3" fillId="11" borderId="7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0" xfId="0" applyFont="1" applyFill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0" fontId="3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shrinkToFit="1"/>
    </xf>
    <xf numFmtId="0" fontId="3" fillId="11" borderId="4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horizontal="center" vertical="center" shrinkToFit="1"/>
    </xf>
    <xf numFmtId="0" fontId="18" fillId="11" borderId="5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165" fontId="14" fillId="13" borderId="10" xfId="0" quotePrefix="1" applyNumberFormat="1" applyFont="1" applyFill="1" applyBorder="1" applyAlignment="1">
      <alignment horizontal="center" vertical="center"/>
    </xf>
    <xf numFmtId="165" fontId="14" fillId="13" borderId="13" xfId="0" applyNumberFormat="1" applyFont="1" applyFill="1" applyBorder="1" applyAlignment="1">
      <alignment horizontal="center" vertical="center"/>
    </xf>
    <xf numFmtId="165" fontId="14" fillId="13" borderId="14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165" fontId="19" fillId="14" borderId="10" xfId="0" applyNumberFormat="1" applyFont="1" applyFill="1" applyBorder="1" applyAlignment="1">
      <alignment horizontal="center" vertical="center"/>
    </xf>
    <xf numFmtId="165" fontId="19" fillId="14" borderId="13" xfId="0" applyNumberFormat="1" applyFont="1" applyFill="1" applyBorder="1" applyAlignment="1">
      <alignment horizontal="center" vertical="center"/>
    </xf>
    <xf numFmtId="165" fontId="19" fillId="14" borderId="14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 shrinkToFit="1"/>
    </xf>
    <xf numFmtId="0" fontId="13" fillId="15" borderId="5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165" fontId="3" fillId="15" borderId="3" xfId="0" applyNumberFormat="1" applyFont="1" applyFill="1" applyBorder="1" applyAlignment="1">
      <alignment horizontal="center" vertical="center"/>
    </xf>
    <xf numFmtId="165" fontId="3" fillId="15" borderId="0" xfId="0" applyNumberFormat="1" applyFont="1" applyFill="1" applyAlignment="1">
      <alignment horizontal="center" vertical="center"/>
    </xf>
    <xf numFmtId="165" fontId="3" fillId="15" borderId="7" xfId="0" applyNumberFormat="1" applyFont="1" applyFill="1" applyBorder="1" applyAlignment="1">
      <alignment horizontal="center" vertical="center"/>
    </xf>
    <xf numFmtId="165" fontId="14" fillId="12" borderId="10" xfId="0" quotePrefix="1" applyNumberFormat="1" applyFont="1" applyFill="1" applyBorder="1" applyAlignment="1">
      <alignment horizontal="center" vertical="center"/>
    </xf>
    <xf numFmtId="165" fontId="14" fillId="12" borderId="13" xfId="0" applyNumberFormat="1" applyFont="1" applyFill="1" applyBorder="1" applyAlignment="1">
      <alignment horizontal="center" vertical="center"/>
    </xf>
    <xf numFmtId="165" fontId="14" fillId="12" borderId="14" xfId="0" applyNumberFormat="1" applyFont="1" applyFill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 shrinkToFit="1"/>
    </xf>
    <xf numFmtId="167" fontId="23" fillId="0" borderId="0" xfId="0" applyNumberFormat="1" applyFont="1" applyAlignment="1">
      <alignment horizontal="center" vertical="center" shrinkToFit="1"/>
    </xf>
    <xf numFmtId="167" fontId="23" fillId="0" borderId="7" xfId="0" applyNumberFormat="1" applyFont="1" applyBorder="1" applyAlignment="1">
      <alignment horizontal="center" vertical="center" shrinkToFit="1"/>
    </xf>
    <xf numFmtId="167" fontId="23" fillId="0" borderId="6" xfId="0" applyNumberFormat="1" applyFont="1" applyBorder="1" applyAlignment="1">
      <alignment horizontal="center" vertical="center" shrinkToFit="1"/>
    </xf>
    <xf numFmtId="167" fontId="23" fillId="0" borderId="4" xfId="0" applyNumberFormat="1" applyFont="1" applyBorder="1" applyAlignment="1">
      <alignment horizontal="center" vertical="center" shrinkToFit="1"/>
    </xf>
    <xf numFmtId="167" fontId="23" fillId="0" borderId="11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165" fontId="14" fillId="0" borderId="10" xfId="0" quotePrefix="1" applyNumberFormat="1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textRotation="180"/>
    </xf>
    <xf numFmtId="0" fontId="14" fillId="2" borderId="12" xfId="0" applyFont="1" applyFill="1" applyBorder="1" applyAlignment="1">
      <alignment horizontal="center" vertical="center" textRotation="180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0" fontId="3" fillId="18" borderId="6" xfId="0" applyFont="1" applyFill="1" applyBorder="1" applyAlignment="1">
      <alignment horizontal="center" vertical="center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textRotation="180"/>
    </xf>
    <xf numFmtId="0" fontId="7" fillId="2" borderId="12" xfId="0" applyFont="1" applyFill="1" applyBorder="1" applyAlignment="1">
      <alignment horizontal="center" vertical="center" textRotation="180"/>
    </xf>
    <xf numFmtId="0" fontId="3" fillId="18" borderId="3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165" fontId="3" fillId="18" borderId="3" xfId="0" applyNumberFormat="1" applyFont="1" applyFill="1" applyBorder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165" fontId="3" fillId="18" borderId="7" xfId="0" applyNumberFormat="1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18" fillId="18" borderId="6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</cellXfs>
  <cellStyles count="1">
    <cellStyle name="Normal" xfId="0" builtinId="0"/>
  </cellStyles>
  <dxfs count="33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CCFFFF"/>
      <color rgb="FFCCFF99"/>
      <color rgb="FF99FF99"/>
      <color rgb="FF00FF99"/>
      <color rgb="FF66FFFF"/>
      <color rgb="FF00FFFF"/>
      <color rgb="FF0000FF"/>
      <color rgb="FF00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1040" name="logo" descr="atslogo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9609" y="39962571"/>
          <a:ext cx="3693968" cy="144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133350</xdr:colOff>
      <xdr:row>3</xdr:row>
      <xdr:rowOff>114300</xdr:rowOff>
    </xdr:from>
    <xdr:to>
      <xdr:col>109</xdr:col>
      <xdr:colOff>86529</xdr:colOff>
      <xdr:row>89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06A1D-3C3E-7B54-D41B-2B6B23EB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1485900"/>
          <a:ext cx="12811929" cy="1209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BDB00642-00DB-43FA-8163-B552391C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647AF71C-3DCB-4FF3-A5A9-E90D7F63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F04A0A43-38A7-4C3B-8D90-5348FD40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DD09D595-84DD-4840-8A9D-580ABB5F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IK118"/>
  <sheetViews>
    <sheetView tabSelected="1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91">
        <v>2025</v>
      </c>
      <c r="B1" s="92"/>
      <c r="C1" s="95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7"/>
      <c r="DQ1" s="76" t="s">
        <v>0</v>
      </c>
      <c r="DR1" s="77"/>
      <c r="DS1" s="77"/>
      <c r="DT1" s="77"/>
      <c r="DU1" s="77"/>
      <c r="DV1" s="77"/>
      <c r="DW1" s="77"/>
      <c r="DX1" s="77"/>
      <c r="DY1" s="77"/>
      <c r="DZ1" s="78"/>
    </row>
    <row r="2" spans="1:182" s="5" customFormat="1" ht="36" customHeight="1" x14ac:dyDescent="0.2">
      <c r="A2" s="93"/>
      <c r="B2" s="94"/>
      <c r="C2" s="98" t="s">
        <v>1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100"/>
      <c r="DQ2" s="76" t="s">
        <v>2</v>
      </c>
      <c r="DR2" s="77"/>
      <c r="DS2" s="77"/>
      <c r="DT2" s="77"/>
      <c r="DU2" s="77"/>
      <c r="DV2" s="77"/>
      <c r="DW2" s="77"/>
      <c r="DX2" s="77"/>
      <c r="DY2" s="77"/>
      <c r="DZ2" s="78"/>
      <c r="EA2" s="4"/>
    </row>
    <row r="3" spans="1:182" s="5" customFormat="1" ht="36" customHeight="1" x14ac:dyDescent="0.2">
      <c r="A3" s="88" t="s">
        <v>3</v>
      </c>
      <c r="B3" s="89"/>
      <c r="C3" s="18" t="s">
        <v>4</v>
      </c>
      <c r="D3" s="37">
        <v>1</v>
      </c>
      <c r="E3" s="38">
        <v>2</v>
      </c>
      <c r="F3" s="38">
        <v>3</v>
      </c>
      <c r="G3" s="38">
        <v>4</v>
      </c>
      <c r="H3" s="38">
        <v>5</v>
      </c>
      <c r="I3" s="38">
        <v>6</v>
      </c>
      <c r="J3" s="38">
        <v>7</v>
      </c>
      <c r="K3" s="38">
        <v>8</v>
      </c>
      <c r="L3" s="38">
        <v>9</v>
      </c>
      <c r="M3" s="38">
        <v>10</v>
      </c>
      <c r="N3" s="38">
        <v>11</v>
      </c>
      <c r="O3" s="38">
        <v>12</v>
      </c>
      <c r="P3" s="38">
        <v>13</v>
      </c>
      <c r="Q3" s="38">
        <v>14</v>
      </c>
      <c r="R3" s="38">
        <v>15</v>
      </c>
      <c r="S3" s="38">
        <v>16</v>
      </c>
      <c r="T3" s="38">
        <v>17</v>
      </c>
      <c r="U3" s="38">
        <v>18</v>
      </c>
      <c r="V3" s="38">
        <v>19</v>
      </c>
      <c r="W3" s="39">
        <v>20</v>
      </c>
      <c r="X3" s="40" t="s">
        <v>5</v>
      </c>
      <c r="Y3" s="41" t="s">
        <v>6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11" t="s">
        <v>9</v>
      </c>
      <c r="D4" s="25">
        <v>0.17599999999999999</v>
      </c>
      <c r="E4" s="26">
        <v>0.18</v>
      </c>
      <c r="F4" s="26">
        <v>0.188</v>
      </c>
      <c r="G4" s="26" t="s">
        <v>10</v>
      </c>
      <c r="H4" s="30" t="s">
        <v>10</v>
      </c>
      <c r="I4" s="33">
        <v>0.187</v>
      </c>
      <c r="J4" s="26" t="s">
        <v>10</v>
      </c>
      <c r="K4" s="26" t="s">
        <v>10</v>
      </c>
      <c r="L4" s="26">
        <v>0.17899999999999999</v>
      </c>
      <c r="M4" s="30" t="s">
        <v>10</v>
      </c>
      <c r="N4" s="33" t="s">
        <v>10</v>
      </c>
      <c r="O4" s="26">
        <v>0.185</v>
      </c>
      <c r="P4" s="26" t="s">
        <v>10</v>
      </c>
      <c r="Q4" s="26" t="s">
        <v>10</v>
      </c>
      <c r="R4" s="30">
        <v>0.18099999999999999</v>
      </c>
      <c r="S4" s="33" t="s">
        <v>10</v>
      </c>
      <c r="T4" s="26" t="s">
        <v>10</v>
      </c>
      <c r="U4" s="26">
        <v>0.17799999999999999</v>
      </c>
      <c r="V4" s="26">
        <v>0.19</v>
      </c>
      <c r="W4" s="30">
        <v>0.184</v>
      </c>
      <c r="X4" s="104">
        <f t="shared" ref="X4:X6" si="0">IFERROR(AVERAGE(D4:W6),0)</f>
        <v>0.18279999999999999</v>
      </c>
      <c r="Y4" s="104">
        <f t="shared" ref="Y4:Y6" si="1">MIN(D4:W6)</f>
        <v>0.17599999999999999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90">
        <v>7.4999999999999997E-2</v>
      </c>
      <c r="B5" s="7" t="s">
        <v>11</v>
      </c>
      <c r="C5" s="11" t="s">
        <v>12</v>
      </c>
      <c r="D5" s="29">
        <v>0.17599999999999999</v>
      </c>
      <c r="E5" s="22">
        <v>0.182</v>
      </c>
      <c r="F5" s="22">
        <v>0.189</v>
      </c>
      <c r="G5" s="22" t="s">
        <v>10</v>
      </c>
      <c r="H5" s="31" t="s">
        <v>10</v>
      </c>
      <c r="I5" s="34">
        <v>0.183</v>
      </c>
      <c r="J5" s="22" t="s">
        <v>10</v>
      </c>
      <c r="K5" s="22" t="s">
        <v>10</v>
      </c>
      <c r="L5" s="22">
        <v>0.17899999999999999</v>
      </c>
      <c r="M5" s="31" t="s">
        <v>10</v>
      </c>
      <c r="N5" s="34" t="s">
        <v>10</v>
      </c>
      <c r="O5" s="22">
        <v>0.184</v>
      </c>
      <c r="P5" s="22" t="s">
        <v>10</v>
      </c>
      <c r="Q5" s="22" t="s">
        <v>10</v>
      </c>
      <c r="R5" s="31">
        <v>0.18099999999999999</v>
      </c>
      <c r="S5" s="34" t="s">
        <v>10</v>
      </c>
      <c r="T5" s="22" t="s">
        <v>10</v>
      </c>
      <c r="U5" s="22">
        <v>0.17799999999999999</v>
      </c>
      <c r="V5" s="22">
        <v>0.186</v>
      </c>
      <c r="W5" s="31">
        <v>0.186</v>
      </c>
      <c r="X5" s="105">
        <f t="shared" si="0"/>
        <v>5.3414000000000001</v>
      </c>
      <c r="Y5" s="105">
        <f t="shared" si="1"/>
        <v>0.17599999999999999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90"/>
      <c r="B6" s="8" t="s">
        <v>13</v>
      </c>
      <c r="C6" s="12" t="s">
        <v>14</v>
      </c>
      <c r="D6" s="27">
        <v>0.17599999999999999</v>
      </c>
      <c r="E6" s="28">
        <v>0.182</v>
      </c>
      <c r="F6" s="28">
        <v>0.189</v>
      </c>
      <c r="G6" s="28" t="s">
        <v>10</v>
      </c>
      <c r="H6" s="32" t="s">
        <v>10</v>
      </c>
      <c r="I6" s="35">
        <v>0.185</v>
      </c>
      <c r="J6" s="28" t="s">
        <v>10</v>
      </c>
      <c r="K6" s="28" t="s">
        <v>10</v>
      </c>
      <c r="L6" s="28">
        <v>0.17899999999999999</v>
      </c>
      <c r="M6" s="32" t="s">
        <v>10</v>
      </c>
      <c r="N6" s="35" t="s">
        <v>10</v>
      </c>
      <c r="O6" s="28">
        <v>0.185</v>
      </c>
      <c r="P6" s="28" t="s">
        <v>10</v>
      </c>
      <c r="Q6" s="28" t="s">
        <v>10</v>
      </c>
      <c r="R6" s="32">
        <v>0.18099999999999999</v>
      </c>
      <c r="S6" s="35" t="s">
        <v>10</v>
      </c>
      <c r="T6" s="28" t="s">
        <v>10</v>
      </c>
      <c r="U6" s="28">
        <v>0.17899999999999999</v>
      </c>
      <c r="V6" s="28">
        <v>0.19</v>
      </c>
      <c r="W6" s="32">
        <v>0.186</v>
      </c>
      <c r="X6" s="106">
        <f t="shared" si="0"/>
        <v>7.0610666666666662</v>
      </c>
      <c r="Y6" s="106">
        <f t="shared" si="1"/>
        <v>0.17599999999999999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6" customHeight="1" x14ac:dyDescent="0.2">
      <c r="A7" s="88" t="s">
        <v>3</v>
      </c>
      <c r="B7" s="89"/>
      <c r="C7" s="18" t="s">
        <v>4</v>
      </c>
      <c r="D7" s="37">
        <v>1</v>
      </c>
      <c r="E7" s="38">
        <v>2</v>
      </c>
      <c r="F7" s="38">
        <v>3</v>
      </c>
      <c r="G7" s="38">
        <v>4</v>
      </c>
      <c r="H7" s="38">
        <v>5</v>
      </c>
      <c r="I7" s="38">
        <v>6</v>
      </c>
      <c r="J7" s="38">
        <v>7</v>
      </c>
      <c r="K7" s="38">
        <v>8</v>
      </c>
      <c r="L7" s="38">
        <v>9</v>
      </c>
      <c r="M7" s="38">
        <v>10</v>
      </c>
      <c r="N7" s="38">
        <v>11</v>
      </c>
      <c r="O7" s="38">
        <v>12</v>
      </c>
      <c r="P7" s="38">
        <v>13</v>
      </c>
      <c r="Q7" s="38">
        <v>14</v>
      </c>
      <c r="R7" s="38">
        <v>15</v>
      </c>
      <c r="S7" s="38">
        <v>16</v>
      </c>
      <c r="T7" s="38">
        <v>17</v>
      </c>
      <c r="U7" s="38">
        <v>18</v>
      </c>
      <c r="V7" s="38">
        <v>19</v>
      </c>
      <c r="W7" s="39">
        <v>20</v>
      </c>
      <c r="X7" s="40" t="s">
        <v>5</v>
      </c>
      <c r="Y7" s="41" t="s">
        <v>6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6" hidden="1" customHeight="1" x14ac:dyDescent="0.2">
      <c r="A8" s="13"/>
      <c r="B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6" hidden="1" customHeight="1" x14ac:dyDescent="0.2">
      <c r="A9" s="13"/>
      <c r="B9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6" hidden="1" customHeight="1" x14ac:dyDescent="0.2">
      <c r="A10" s="13"/>
      <c r="B1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6" hidden="1" customHeight="1" x14ac:dyDescent="0.2">
      <c r="A11" s="13"/>
      <c r="B1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6" hidden="1" customHeight="1" x14ac:dyDescent="0.2">
      <c r="A12" s="13"/>
      <c r="B1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6" hidden="1" customHeight="1" x14ac:dyDescent="0.2">
      <c r="A13" s="13"/>
      <c r="B1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6" hidden="1" customHeight="1" x14ac:dyDescent="0.2">
      <c r="A14" s="13"/>
      <c r="B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6" hidden="1" customHeight="1" x14ac:dyDescent="0.2">
      <c r="A15" s="13"/>
      <c r="B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hidden="1" customHeight="1" x14ac:dyDescent="0.2">
      <c r="A16" s="13"/>
      <c r="B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7</v>
      </c>
      <c r="B97" s="42" t="s">
        <v>15</v>
      </c>
      <c r="C97" s="107" t="s">
        <v>16</v>
      </c>
      <c r="D97" s="108"/>
      <c r="E97" s="108"/>
      <c r="F97" s="108"/>
      <c r="G97" s="108"/>
      <c r="H97" s="108"/>
      <c r="I97" s="108"/>
      <c r="J97" s="108"/>
      <c r="K97" s="108"/>
      <c r="L97" s="108"/>
      <c r="M97" s="109" t="s">
        <v>17</v>
      </c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1">
        <v>2.5</v>
      </c>
      <c r="AA97" s="111"/>
      <c r="AB97" s="111"/>
      <c r="AC97" s="111"/>
      <c r="AD97" s="111"/>
      <c r="AE97" s="111"/>
      <c r="AF97" s="112"/>
      <c r="AG97" s="113" t="s">
        <v>18</v>
      </c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5"/>
      <c r="AW97" s="70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62" t="s">
        <v>19</v>
      </c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3"/>
      <c r="CL97" s="82" t="s">
        <v>20</v>
      </c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4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16" t="s">
        <v>21</v>
      </c>
      <c r="B98" s="43" t="s">
        <v>22</v>
      </c>
      <c r="C98" s="117" t="s">
        <v>23</v>
      </c>
      <c r="D98" s="118"/>
      <c r="E98" s="118"/>
      <c r="F98" s="118"/>
      <c r="G98" s="118"/>
      <c r="H98" s="118"/>
      <c r="I98" s="118"/>
      <c r="J98" s="118"/>
      <c r="K98" s="118"/>
      <c r="L98" s="118"/>
      <c r="M98" s="119" t="s">
        <v>24</v>
      </c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1" t="s">
        <v>25</v>
      </c>
      <c r="AA98" s="121"/>
      <c r="AB98" s="121"/>
      <c r="AC98" s="121"/>
      <c r="AD98" s="121"/>
      <c r="AE98" s="121"/>
      <c r="AF98" s="121"/>
      <c r="AG98" s="122">
        <f>TRUNC(MAX(D4:W6),3)</f>
        <v>0.19</v>
      </c>
      <c r="AH98" s="123"/>
      <c r="AI98" s="123"/>
      <c r="AJ98" s="123"/>
      <c r="AK98" s="123"/>
      <c r="AL98" s="124" t="s">
        <v>26</v>
      </c>
      <c r="AM98" s="125"/>
      <c r="AN98" s="125"/>
      <c r="AO98" s="125"/>
      <c r="AP98" s="125"/>
      <c r="AQ98" s="125"/>
      <c r="AR98" s="125"/>
      <c r="AS98" s="125"/>
      <c r="AT98" s="125"/>
      <c r="AU98" s="125"/>
      <c r="AV98" s="126"/>
      <c r="AW98" s="72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5"/>
      <c r="CL98" s="85" t="s">
        <v>27</v>
      </c>
      <c r="CM98" s="86"/>
      <c r="CN98" s="86"/>
      <c r="CO98" s="86"/>
      <c r="CP98" s="86"/>
      <c r="CQ98" s="86"/>
      <c r="CR98" s="86"/>
      <c r="CS98" s="86"/>
      <c r="CT98" s="86"/>
      <c r="CU98" s="86"/>
      <c r="CV98" s="86"/>
      <c r="CW98" s="86"/>
      <c r="CX98" s="86"/>
      <c r="CY98" s="86"/>
      <c r="CZ98" s="86"/>
      <c r="DA98" s="86"/>
      <c r="DB98" s="86"/>
      <c r="DC98" s="86"/>
      <c r="DD98" s="86"/>
      <c r="DE98" s="86"/>
      <c r="DF98" s="86"/>
      <c r="DG98" s="86"/>
      <c r="DH98" s="86"/>
      <c r="DI98" s="86"/>
      <c r="DJ98" s="86"/>
      <c r="DK98" s="86"/>
      <c r="DL98" s="86"/>
      <c r="DM98" s="86"/>
      <c r="DN98" s="86"/>
      <c r="DO98" s="86"/>
      <c r="DP98" s="86"/>
      <c r="DQ98" s="86"/>
      <c r="DR98" s="86"/>
      <c r="DS98" s="86"/>
      <c r="DT98" s="86"/>
      <c r="DU98" s="86"/>
      <c r="DV98" s="86"/>
      <c r="DW98" s="86"/>
      <c r="DX98" s="86"/>
      <c r="DY98" s="86"/>
      <c r="DZ98" s="87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16"/>
      <c r="B99" s="44" t="s">
        <v>28</v>
      </c>
      <c r="C99" s="127" t="s">
        <v>29</v>
      </c>
      <c r="D99" s="128"/>
      <c r="E99" s="128"/>
      <c r="F99" s="128"/>
      <c r="G99" s="128"/>
      <c r="H99" s="128"/>
      <c r="I99" s="128"/>
      <c r="J99" s="128"/>
      <c r="K99" s="128"/>
      <c r="L99" s="128"/>
      <c r="M99" s="119" t="s">
        <v>30</v>
      </c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9">
        <v>0.16500000000000001</v>
      </c>
      <c r="AA99" s="129"/>
      <c r="AB99" s="129"/>
      <c r="AC99" s="129"/>
      <c r="AD99" s="129"/>
      <c r="AE99" s="129"/>
      <c r="AF99" s="129"/>
      <c r="AG99" s="130">
        <f>TRUNC(AVERAGE(D4:W6),3)</f>
        <v>0.182</v>
      </c>
      <c r="AH99" s="131"/>
      <c r="AI99" s="131"/>
      <c r="AJ99" s="131"/>
      <c r="AK99" s="131"/>
      <c r="AL99" s="132" t="s">
        <v>31</v>
      </c>
      <c r="AM99" s="133"/>
      <c r="AN99" s="133"/>
      <c r="AO99" s="133"/>
      <c r="AP99" s="133"/>
      <c r="AQ99" s="133"/>
      <c r="AR99" s="133"/>
      <c r="AS99" s="133"/>
      <c r="AT99" s="133"/>
      <c r="AU99" s="133"/>
      <c r="AV99" s="134"/>
      <c r="AW99" s="72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5"/>
      <c r="CL99" s="79" t="s">
        <v>32</v>
      </c>
      <c r="CM99" s="80"/>
      <c r="CN99" s="80"/>
      <c r="CO99" s="80"/>
      <c r="CP99" s="80"/>
      <c r="CQ99" s="80"/>
      <c r="CR99" s="80"/>
      <c r="CS99" s="80"/>
      <c r="CT99" s="80"/>
      <c r="CU99" s="80"/>
      <c r="CV99" s="80"/>
      <c r="CW99" s="80"/>
      <c r="CX99" s="80"/>
      <c r="CY99" s="80"/>
      <c r="CZ99" s="80"/>
      <c r="DA99" s="80"/>
      <c r="DB99" s="80"/>
      <c r="DC99" s="80"/>
      <c r="DD99" s="80"/>
      <c r="DE99" s="80"/>
      <c r="DF99" s="80"/>
      <c r="DG99" s="80"/>
      <c r="DH99" s="80"/>
      <c r="DI99" s="80"/>
      <c r="DJ99" s="80"/>
      <c r="DK99" s="80"/>
      <c r="DL99" s="80"/>
      <c r="DM99" s="80"/>
      <c r="DN99" s="80"/>
      <c r="DO99" s="80"/>
      <c r="DP99" s="80"/>
      <c r="DQ99" s="80"/>
      <c r="DR99" s="80"/>
      <c r="DS99" s="80"/>
      <c r="DT99" s="80"/>
      <c r="DU99" s="80"/>
      <c r="DV99" s="80"/>
      <c r="DW99" s="80"/>
      <c r="DX99" s="80"/>
      <c r="DY99" s="80"/>
      <c r="DZ99" s="81"/>
    </row>
    <row r="100" spans="1:182" ht="36" customHeight="1" x14ac:dyDescent="0.2">
      <c r="A100" s="116"/>
      <c r="B100" s="45" t="s">
        <v>33</v>
      </c>
      <c r="C100" s="135" t="s">
        <v>34</v>
      </c>
      <c r="D100" s="136"/>
      <c r="E100" s="136"/>
      <c r="F100" s="136"/>
      <c r="G100" s="136"/>
      <c r="H100" s="136"/>
      <c r="I100" s="136"/>
      <c r="J100" s="136"/>
      <c r="K100" s="136"/>
      <c r="L100" s="136"/>
      <c r="M100" s="119" t="s">
        <v>35</v>
      </c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37">
        <v>7.4999999999999997E-2</v>
      </c>
      <c r="AA100" s="137"/>
      <c r="AB100" s="137"/>
      <c r="AC100" s="137"/>
      <c r="AD100" s="137"/>
      <c r="AE100" s="137"/>
      <c r="AF100" s="137"/>
      <c r="AG100" s="138">
        <f>TRUNC(MIN(D4:W6),3)</f>
        <v>0.17599999999999999</v>
      </c>
      <c r="AH100" s="131"/>
      <c r="AI100" s="131"/>
      <c r="AJ100" s="131"/>
      <c r="AK100" s="131"/>
      <c r="AL100" s="132" t="s">
        <v>36</v>
      </c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4"/>
      <c r="AW100" s="74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7"/>
      <c r="CL100" s="79" t="s">
        <v>37</v>
      </c>
      <c r="CM100" s="80"/>
      <c r="CN100" s="80"/>
      <c r="CO100" s="80"/>
      <c r="CP100" s="80"/>
      <c r="CQ100" s="80"/>
      <c r="CR100" s="80"/>
      <c r="CS100" s="80"/>
      <c r="CT100" s="80"/>
      <c r="CU100" s="80"/>
      <c r="CV100" s="80"/>
      <c r="CW100" s="80"/>
      <c r="CX100" s="80"/>
      <c r="CY100" s="80"/>
      <c r="CZ100" s="80"/>
      <c r="DA100" s="80"/>
      <c r="DB100" s="80"/>
      <c r="DC100" s="80"/>
      <c r="DD100" s="80"/>
      <c r="DE100" s="80"/>
      <c r="DF100" s="80"/>
      <c r="DG100" s="80"/>
      <c r="DH100" s="80"/>
      <c r="DI100" s="80"/>
      <c r="DJ100" s="80"/>
      <c r="DK100" s="80"/>
      <c r="DL100" s="80"/>
      <c r="DM100" s="80"/>
      <c r="DN100" s="80"/>
      <c r="DO100" s="80"/>
      <c r="DP100" s="80"/>
      <c r="DQ100" s="80"/>
      <c r="DR100" s="80"/>
      <c r="DS100" s="80"/>
      <c r="DT100" s="80"/>
      <c r="DU100" s="80"/>
      <c r="DV100" s="80"/>
      <c r="DW100" s="80"/>
      <c r="DX100" s="80"/>
      <c r="DY100" s="80"/>
      <c r="DZ100" s="81"/>
    </row>
    <row r="101" spans="1:182" ht="36" customHeight="1" x14ac:dyDescent="0.2">
      <c r="A101" s="116"/>
      <c r="B101" s="46" t="s">
        <v>38</v>
      </c>
      <c r="C101" s="139" t="s">
        <v>39</v>
      </c>
      <c r="D101" s="136"/>
      <c r="E101" s="136"/>
      <c r="F101" s="136"/>
      <c r="G101" s="136"/>
      <c r="H101" s="136"/>
      <c r="I101" s="136"/>
      <c r="J101" s="136"/>
      <c r="K101" s="136"/>
      <c r="L101" s="136"/>
      <c r="M101" s="140" t="s">
        <v>40</v>
      </c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2">
        <v>0.115</v>
      </c>
      <c r="AA101" s="142"/>
      <c r="AB101" s="142"/>
      <c r="AC101" s="142"/>
      <c r="AD101" s="142"/>
      <c r="AE101" s="142"/>
      <c r="AF101" s="142"/>
      <c r="AG101" s="143">
        <f>STDEV(D4:W6)</f>
        <v>4.2943427099318542E-3</v>
      </c>
      <c r="AH101" s="144"/>
      <c r="AI101" s="144"/>
      <c r="AJ101" s="144"/>
      <c r="AK101" s="144"/>
      <c r="AL101" s="145" t="s">
        <v>41</v>
      </c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7"/>
      <c r="AW101" s="68" t="s">
        <v>42</v>
      </c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9"/>
      <c r="CL101" s="101" t="s">
        <v>43</v>
      </c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2"/>
      <c r="DC101" s="102"/>
      <c r="DD101" s="102"/>
      <c r="DE101" s="102"/>
      <c r="DF101" s="102"/>
      <c r="DG101" s="102"/>
      <c r="DH101" s="102"/>
      <c r="DI101" s="102"/>
      <c r="DJ101" s="102"/>
      <c r="DK101" s="102"/>
      <c r="DL101" s="102"/>
      <c r="DM101" s="102"/>
      <c r="DN101" s="102"/>
      <c r="DO101" s="102"/>
      <c r="DP101" s="102"/>
      <c r="DQ101" s="102"/>
      <c r="DR101" s="102"/>
      <c r="DS101" s="102"/>
      <c r="DT101" s="102"/>
      <c r="DU101" s="102"/>
      <c r="DV101" s="102"/>
      <c r="DW101" s="102"/>
      <c r="DX101" s="102"/>
      <c r="DY101" s="102"/>
      <c r="DZ101" s="103"/>
    </row>
    <row r="102" spans="1:182" ht="36" customHeight="1" x14ac:dyDescent="0.35">
      <c r="B102" s="16" t="s">
        <v>44</v>
      </c>
    </row>
    <row r="103" spans="1:182" ht="36" customHeight="1" x14ac:dyDescent="0.2"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62" t="s">
        <v>19</v>
      </c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5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5"/>
    </row>
    <row r="108" spans="1:182" x14ac:dyDescent="0.2"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7"/>
    </row>
    <row r="110" spans="1:182" x14ac:dyDescent="0.2">
      <c r="BR110" s="62" t="s">
        <v>45</v>
      </c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3"/>
    </row>
    <row r="111" spans="1:182" x14ac:dyDescent="0.2"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5"/>
    </row>
    <row r="112" spans="1:182" x14ac:dyDescent="0.2"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5"/>
    </row>
    <row r="113" spans="70:89" x14ac:dyDescent="0.2"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7"/>
    </row>
    <row r="115" spans="70:89" x14ac:dyDescent="0.2">
      <c r="BR115" s="62" t="s">
        <v>46</v>
      </c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3"/>
    </row>
    <row r="116" spans="70:89" x14ac:dyDescent="0.2"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5"/>
    </row>
    <row r="117" spans="70:89" x14ac:dyDescent="0.2"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5"/>
    </row>
    <row r="118" spans="70:89" x14ac:dyDescent="0.2"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7"/>
    </row>
  </sheetData>
  <mergeCells count="46">
    <mergeCell ref="C101:L101"/>
    <mergeCell ref="M101:Y101"/>
    <mergeCell ref="Z101:AF101"/>
    <mergeCell ref="AG101:AK101"/>
    <mergeCell ref="AL101:AV101"/>
    <mergeCell ref="Z99:AF99"/>
    <mergeCell ref="AG99:AK99"/>
    <mergeCell ref="AL99:AV99"/>
    <mergeCell ref="C100:L100"/>
    <mergeCell ref="M100:Y100"/>
    <mergeCell ref="Z100:AF100"/>
    <mergeCell ref="AG100:AK100"/>
    <mergeCell ref="AL100:AV100"/>
    <mergeCell ref="CL101:DZ101"/>
    <mergeCell ref="X4:X6"/>
    <mergeCell ref="Y4:Y6"/>
    <mergeCell ref="A7:B7"/>
    <mergeCell ref="C97:L97"/>
    <mergeCell ref="M97:Y97"/>
    <mergeCell ref="Z97:AF97"/>
    <mergeCell ref="AG97:AV97"/>
    <mergeCell ref="A98:A101"/>
    <mergeCell ref="C98:L98"/>
    <mergeCell ref="M98:Y98"/>
    <mergeCell ref="Z98:AF98"/>
    <mergeCell ref="AG98:AK98"/>
    <mergeCell ref="AL98:AV98"/>
    <mergeCell ref="C99:L99"/>
    <mergeCell ref="M99:Y99"/>
    <mergeCell ref="A3:B3"/>
    <mergeCell ref="A5:A6"/>
    <mergeCell ref="A1:B2"/>
    <mergeCell ref="C1:DP1"/>
    <mergeCell ref="C2:DP2"/>
    <mergeCell ref="DQ1:DZ1"/>
    <mergeCell ref="DQ2:DZ2"/>
    <mergeCell ref="CL100:DZ100"/>
    <mergeCell ref="CL99:DZ99"/>
    <mergeCell ref="CL97:DZ97"/>
    <mergeCell ref="CL98:DZ98"/>
    <mergeCell ref="BR110:CK113"/>
    <mergeCell ref="BR115:CK118"/>
    <mergeCell ref="AW101:CK101"/>
    <mergeCell ref="AW97:BQ100"/>
    <mergeCell ref="BR105:CK108"/>
    <mergeCell ref="BR97:CK100"/>
  </mergeCells>
  <phoneticPr fontId="0" type="noConversion"/>
  <conditionalFormatting sqref="D4:W6 AG98:AG100">
    <cfRule type="cellIs" dxfId="32" priority="1" operator="between">
      <formula>0.001</formula>
      <formula>0.075</formula>
    </cfRule>
    <cfRule type="cellIs" dxfId="31" priority="2" operator="between">
      <formula>0.076</formula>
      <formula>0.115</formula>
    </cfRule>
    <cfRule type="cellIs" dxfId="30" priority="3" operator="between">
      <formula>0.116</formula>
      <formula>0.125</formula>
    </cfRule>
    <cfRule type="cellIs" dxfId="29" priority="4" operator="between">
      <formula>0.126</formula>
      <formula>0.135</formula>
    </cfRule>
    <cfRule type="cellIs" dxfId="28" priority="5" operator="between">
      <formula>0.136</formula>
      <formula>0.145</formula>
    </cfRule>
    <cfRule type="cellIs" dxfId="27" priority="6" operator="between">
      <formula>0.146</formula>
      <formula>0.155</formula>
    </cfRule>
    <cfRule type="cellIs" dxfId="26" priority="7" operator="between">
      <formula>0.156</formula>
      <formula>0.165</formula>
    </cfRule>
    <cfRule type="cellIs" dxfId="25" priority="8" operator="between">
      <formula>0.166</formula>
      <formula>0.175</formula>
    </cfRule>
    <cfRule type="cellIs" dxfId="24" priority="9" operator="between">
      <formula>0.176</formula>
      <formula>0.185</formula>
    </cfRule>
    <cfRule type="cellIs" dxfId="23" priority="10" operator="between">
      <formula>0.186</formula>
      <formula>0.999</formula>
    </cfRule>
    <cfRule type="containsText" dxfId="22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scale="36" pageOrder="overThenDown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4082-2C08-4EA2-A58E-EFA3AF935193}">
  <sheetPr>
    <pageSetUpPr fitToPage="1"/>
  </sheetPr>
  <dimension ref="A1:IK118"/>
  <sheetViews>
    <sheetView tabSelected="1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148">
        <f>Thickness!A1</f>
        <v>2025</v>
      </c>
      <c r="B1" s="149"/>
      <c r="C1" s="152" t="str">
        <f>IF(ISBLANK(Thickness!C1),"",(Thickness!C1))</f>
        <v/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3"/>
      <c r="CP1" s="153"/>
      <c r="CQ1" s="153"/>
      <c r="CR1" s="153"/>
      <c r="CS1" s="153"/>
      <c r="CT1" s="153"/>
      <c r="CU1" s="153"/>
      <c r="CV1" s="153"/>
      <c r="CW1" s="153"/>
      <c r="CX1" s="153"/>
      <c r="CY1" s="153"/>
      <c r="CZ1" s="153"/>
      <c r="DA1" s="153"/>
      <c r="DB1" s="153"/>
      <c r="DC1" s="153"/>
      <c r="DD1" s="153"/>
      <c r="DE1" s="153"/>
      <c r="DF1" s="153"/>
      <c r="DG1" s="153"/>
      <c r="DH1" s="153"/>
      <c r="DI1" s="153"/>
      <c r="DJ1" s="153"/>
      <c r="DK1" s="153"/>
      <c r="DL1" s="153"/>
      <c r="DM1" s="153"/>
      <c r="DN1" s="153"/>
      <c r="DO1" s="153"/>
      <c r="DP1" s="154"/>
      <c r="DQ1" s="76" t="s">
        <v>0</v>
      </c>
      <c r="DR1" s="77"/>
      <c r="DS1" s="77"/>
      <c r="DT1" s="77"/>
      <c r="DU1" s="77"/>
      <c r="DV1" s="77"/>
      <c r="DW1" s="77"/>
      <c r="DX1" s="77"/>
      <c r="DY1" s="77"/>
      <c r="DZ1" s="78"/>
    </row>
    <row r="2" spans="1:182" s="5" customFormat="1" ht="36" customHeight="1" x14ac:dyDescent="0.2">
      <c r="A2" s="150"/>
      <c r="B2" s="151"/>
      <c r="C2" s="98" t="s">
        <v>47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100"/>
      <c r="DQ2" s="76" t="s">
        <v>2</v>
      </c>
      <c r="DR2" s="77"/>
      <c r="DS2" s="77"/>
      <c r="DT2" s="77"/>
      <c r="DU2" s="77"/>
      <c r="DV2" s="77"/>
      <c r="DW2" s="77"/>
      <c r="DX2" s="77"/>
      <c r="DY2" s="77"/>
      <c r="DZ2" s="78"/>
      <c r="EA2" s="4"/>
    </row>
    <row r="3" spans="1:182" s="5" customFormat="1" ht="36" customHeight="1" x14ac:dyDescent="0.2">
      <c r="A3" s="88" t="s">
        <v>3</v>
      </c>
      <c r="B3" s="89"/>
      <c r="C3" s="18" t="s">
        <v>4</v>
      </c>
      <c r="D3" s="36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47">
        <v>20</v>
      </c>
      <c r="X3" s="40" t="s">
        <v>5</v>
      </c>
      <c r="Y3" s="41" t="s">
        <v>48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11" t="s">
        <v>9</v>
      </c>
      <c r="D4" s="25">
        <v>0.13200000000000001</v>
      </c>
      <c r="E4" s="26" t="s">
        <v>49</v>
      </c>
      <c r="F4" s="26" t="s">
        <v>49</v>
      </c>
      <c r="G4" s="26" t="s">
        <v>49</v>
      </c>
      <c r="H4" s="30" t="s">
        <v>49</v>
      </c>
      <c r="I4" s="33" t="s">
        <v>49</v>
      </c>
      <c r="J4" s="26" t="s">
        <v>49</v>
      </c>
      <c r="K4" s="26" t="s">
        <v>49</v>
      </c>
      <c r="L4" s="26" t="s">
        <v>49</v>
      </c>
      <c r="M4" s="30" t="s">
        <v>49</v>
      </c>
      <c r="N4" s="33" t="s">
        <v>49</v>
      </c>
      <c r="O4" s="26" t="s">
        <v>49</v>
      </c>
      <c r="P4" s="26" t="s">
        <v>49</v>
      </c>
      <c r="Q4" s="26" t="s">
        <v>49</v>
      </c>
      <c r="R4" s="30" t="s">
        <v>49</v>
      </c>
      <c r="S4" s="33" t="s">
        <v>49</v>
      </c>
      <c r="T4" s="26" t="s">
        <v>49</v>
      </c>
      <c r="U4" s="26" t="s">
        <v>49</v>
      </c>
      <c r="V4" s="26" t="s">
        <v>49</v>
      </c>
      <c r="W4" s="30" t="s">
        <v>49</v>
      </c>
      <c r="X4" s="104">
        <f t="shared" ref="X4:X6" si="0">IFERROR(AVERAGE(D4:W6),0)</f>
        <v>0.27200000000000002</v>
      </c>
      <c r="Y4" s="104">
        <f>MAX(D4:W6)</f>
        <v>0.41199999999999998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90" t="s">
        <v>10</v>
      </c>
      <c r="B5" s="7" t="s">
        <v>11</v>
      </c>
      <c r="C5" s="11" t="s">
        <v>12</v>
      </c>
      <c r="D5" s="29" t="s">
        <v>49</v>
      </c>
      <c r="E5" s="22" t="s">
        <v>49</v>
      </c>
      <c r="F5" s="22" t="s">
        <v>49</v>
      </c>
      <c r="G5" s="22" t="s">
        <v>49</v>
      </c>
      <c r="H5" s="31" t="s">
        <v>49</v>
      </c>
      <c r="I5" s="34" t="s">
        <v>49</v>
      </c>
      <c r="J5" s="22" t="s">
        <v>49</v>
      </c>
      <c r="K5" s="22" t="s">
        <v>49</v>
      </c>
      <c r="L5" s="22" t="s">
        <v>49</v>
      </c>
      <c r="M5" s="31" t="s">
        <v>49</v>
      </c>
      <c r="N5" s="34" t="s">
        <v>49</v>
      </c>
      <c r="O5" s="22" t="s">
        <v>49</v>
      </c>
      <c r="P5" s="22" t="s">
        <v>49</v>
      </c>
      <c r="Q5" s="22" t="s">
        <v>49</v>
      </c>
      <c r="R5" s="31" t="s">
        <v>49</v>
      </c>
      <c r="S5" s="34" t="s">
        <v>49</v>
      </c>
      <c r="T5" s="22" t="s">
        <v>49</v>
      </c>
      <c r="U5" s="22" t="s">
        <v>49</v>
      </c>
      <c r="V5" s="22" t="s">
        <v>49</v>
      </c>
      <c r="W5" s="31" t="s">
        <v>49</v>
      </c>
      <c r="X5" s="105">
        <f t="shared" si="0"/>
        <v>10.019619047619049</v>
      </c>
      <c r="Y5" s="105">
        <f>MAX(D5:W7)</f>
        <v>20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90"/>
      <c r="B6" s="8" t="s">
        <v>13</v>
      </c>
      <c r="C6" s="12" t="s">
        <v>14</v>
      </c>
      <c r="D6" s="27" t="s">
        <v>49</v>
      </c>
      <c r="E6" s="28" t="s">
        <v>49</v>
      </c>
      <c r="F6" s="28" t="s">
        <v>49</v>
      </c>
      <c r="G6" s="28" t="s">
        <v>49</v>
      </c>
      <c r="H6" s="32" t="s">
        <v>49</v>
      </c>
      <c r="I6" s="35" t="s">
        <v>49</v>
      </c>
      <c r="J6" s="28" t="s">
        <v>49</v>
      </c>
      <c r="K6" s="28" t="s">
        <v>49</v>
      </c>
      <c r="L6" s="28">
        <v>0.41199999999999998</v>
      </c>
      <c r="M6" s="32" t="s">
        <v>49</v>
      </c>
      <c r="N6" s="35" t="s">
        <v>49</v>
      </c>
      <c r="O6" s="28" t="s">
        <v>49</v>
      </c>
      <c r="P6" s="28" t="s">
        <v>49</v>
      </c>
      <c r="Q6" s="28" t="s">
        <v>49</v>
      </c>
      <c r="R6" s="32" t="s">
        <v>49</v>
      </c>
      <c r="S6" s="35" t="s">
        <v>49</v>
      </c>
      <c r="T6" s="28" t="s">
        <v>49</v>
      </c>
      <c r="U6" s="28" t="s">
        <v>49</v>
      </c>
      <c r="V6" s="28" t="s">
        <v>49</v>
      </c>
      <c r="W6" s="32" t="s">
        <v>49</v>
      </c>
      <c r="X6" s="106">
        <f t="shared" si="0"/>
        <v>10.019619047619049</v>
      </c>
      <c r="Y6" s="106">
        <f>MAX(D6:W8)</f>
        <v>20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6" customHeight="1" x14ac:dyDescent="0.2">
      <c r="A7" s="88" t="s">
        <v>3</v>
      </c>
      <c r="B7" s="89"/>
      <c r="C7" s="18" t="s">
        <v>4</v>
      </c>
      <c r="D7" s="48">
        <v>1</v>
      </c>
      <c r="E7" s="49">
        <v>2</v>
      </c>
      <c r="F7" s="49">
        <v>3</v>
      </c>
      <c r="G7" s="49">
        <v>4</v>
      </c>
      <c r="H7" s="49">
        <v>5</v>
      </c>
      <c r="I7" s="49">
        <v>6</v>
      </c>
      <c r="J7" s="49">
        <v>7</v>
      </c>
      <c r="K7" s="49">
        <v>8</v>
      </c>
      <c r="L7" s="49">
        <v>9</v>
      </c>
      <c r="M7" s="49">
        <v>10</v>
      </c>
      <c r="N7" s="49">
        <v>11</v>
      </c>
      <c r="O7" s="49">
        <v>12</v>
      </c>
      <c r="P7" s="49">
        <v>13</v>
      </c>
      <c r="Q7" s="49">
        <v>14</v>
      </c>
      <c r="R7" s="49">
        <v>15</v>
      </c>
      <c r="S7" s="49">
        <v>16</v>
      </c>
      <c r="T7" s="49">
        <v>17</v>
      </c>
      <c r="U7" s="49">
        <v>18</v>
      </c>
      <c r="V7" s="49">
        <v>19</v>
      </c>
      <c r="W7" s="50">
        <v>20</v>
      </c>
      <c r="X7" s="40" t="s">
        <v>5</v>
      </c>
      <c r="Y7" s="41" t="s">
        <v>48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6" hidden="1" customHeight="1" x14ac:dyDescent="0.2">
      <c r="A8" s="13"/>
      <c r="B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6" hidden="1" customHeight="1" x14ac:dyDescent="0.2">
      <c r="A9" s="13"/>
      <c r="B9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6" hidden="1" customHeight="1" x14ac:dyDescent="0.2">
      <c r="A10" s="13"/>
      <c r="B1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6" hidden="1" customHeight="1" x14ac:dyDescent="0.2">
      <c r="A11" s="13"/>
      <c r="B1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6" hidden="1" customHeight="1" x14ac:dyDescent="0.2">
      <c r="A12" s="13"/>
      <c r="B1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6" hidden="1" customHeight="1" x14ac:dyDescent="0.2">
      <c r="A13" s="13"/>
      <c r="B1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6" hidden="1" customHeight="1" x14ac:dyDescent="0.2">
      <c r="A14" s="13"/>
      <c r="B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6" hidden="1" customHeight="1" x14ac:dyDescent="0.2">
      <c r="A15" s="13"/>
      <c r="B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hidden="1" customHeight="1" x14ac:dyDescent="0.2">
      <c r="A16" s="13"/>
      <c r="B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/>
      <c r="B97" s="189" t="s">
        <v>50</v>
      </c>
      <c r="C97" s="190"/>
      <c r="D97" s="190"/>
      <c r="E97" s="190"/>
      <c r="F97" s="190"/>
      <c r="G97" s="190"/>
      <c r="H97" s="190"/>
      <c r="I97" s="190"/>
      <c r="J97" s="190"/>
      <c r="K97" s="190"/>
      <c r="L97" s="191"/>
      <c r="M97" s="176" t="s">
        <v>51</v>
      </c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8"/>
      <c r="AG97" s="113" t="s">
        <v>52</v>
      </c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5"/>
      <c r="AW97" s="70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62" t="s">
        <v>19</v>
      </c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3"/>
      <c r="CL97" s="173" t="str">
        <f>Thickness!CL97</f>
        <v xml:space="preserve">INTERNATIONAL PAPER </v>
      </c>
      <c r="CM97" s="174"/>
      <c r="CN97" s="174"/>
      <c r="CO97" s="174"/>
      <c r="CP97" s="174"/>
      <c r="CQ97" s="174"/>
      <c r="CR97" s="174"/>
      <c r="CS97" s="174"/>
      <c r="CT97" s="174"/>
      <c r="CU97" s="174"/>
      <c r="CV97" s="174"/>
      <c r="CW97" s="174"/>
      <c r="CX97" s="174"/>
      <c r="CY97" s="174"/>
      <c r="CZ97" s="174"/>
      <c r="DA97" s="174"/>
      <c r="DB97" s="174"/>
      <c r="DC97" s="174"/>
      <c r="DD97" s="174"/>
      <c r="DE97" s="174"/>
      <c r="DF97" s="174"/>
      <c r="DG97" s="174"/>
      <c r="DH97" s="174"/>
      <c r="DI97" s="174"/>
      <c r="DJ97" s="174"/>
      <c r="DK97" s="174"/>
      <c r="DL97" s="174"/>
      <c r="DM97" s="174"/>
      <c r="DN97" s="174"/>
      <c r="DO97" s="174"/>
      <c r="DP97" s="174"/>
      <c r="DQ97" s="174"/>
      <c r="DR97" s="174"/>
      <c r="DS97" s="174"/>
      <c r="DT97" s="174"/>
      <c r="DU97" s="174"/>
      <c r="DV97" s="174"/>
      <c r="DW97" s="174"/>
      <c r="DX97" s="174"/>
      <c r="DY97" s="174"/>
      <c r="DZ97" s="175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16" t="s">
        <v>21</v>
      </c>
      <c r="B98" s="192" t="s">
        <v>53</v>
      </c>
      <c r="C98" s="193"/>
      <c r="D98" s="193"/>
      <c r="E98" s="193"/>
      <c r="F98" s="193"/>
      <c r="G98" s="193"/>
      <c r="H98" s="193"/>
      <c r="I98" s="193"/>
      <c r="J98" s="193"/>
      <c r="K98" s="193"/>
      <c r="L98" s="194"/>
      <c r="M98" s="179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1"/>
      <c r="AG98" s="167" t="s">
        <v>54</v>
      </c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  <c r="AT98" s="168"/>
      <c r="AU98" s="168"/>
      <c r="AV98" s="169"/>
      <c r="AW98" s="72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5"/>
      <c r="CL98" s="155" t="str">
        <f>Thickness!CL98</f>
        <v>RIVERDALE MILL</v>
      </c>
      <c r="CM98" s="156"/>
      <c r="CN98" s="156"/>
      <c r="CO98" s="156"/>
      <c r="CP98" s="156"/>
      <c r="CQ98" s="156"/>
      <c r="CR98" s="156"/>
      <c r="CS98" s="156"/>
      <c r="CT98" s="156"/>
      <c r="CU98" s="156"/>
      <c r="CV98" s="156"/>
      <c r="CW98" s="156"/>
      <c r="CX98" s="156"/>
      <c r="CY98" s="156"/>
      <c r="CZ98" s="156"/>
      <c r="DA98" s="156"/>
      <c r="DB98" s="156"/>
      <c r="DC98" s="156"/>
      <c r="DD98" s="156"/>
      <c r="DE98" s="156"/>
      <c r="DF98" s="156"/>
      <c r="DG98" s="156"/>
      <c r="DH98" s="156"/>
      <c r="DI98" s="156"/>
      <c r="DJ98" s="156"/>
      <c r="DK98" s="156"/>
      <c r="DL98" s="156"/>
      <c r="DM98" s="156"/>
      <c r="DN98" s="156"/>
      <c r="DO98" s="156"/>
      <c r="DP98" s="156"/>
      <c r="DQ98" s="156"/>
      <c r="DR98" s="156"/>
      <c r="DS98" s="156"/>
      <c r="DT98" s="156"/>
      <c r="DU98" s="156"/>
      <c r="DV98" s="156"/>
      <c r="DW98" s="156"/>
      <c r="DX98" s="156"/>
      <c r="DY98" s="156"/>
      <c r="DZ98" s="157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16"/>
      <c r="B99" s="195" t="s">
        <v>55</v>
      </c>
      <c r="C99" s="196"/>
      <c r="D99" s="196"/>
      <c r="E99" s="196"/>
      <c r="F99" s="196"/>
      <c r="G99" s="196"/>
      <c r="H99" s="196"/>
      <c r="I99" s="196"/>
      <c r="J99" s="196"/>
      <c r="K99" s="196"/>
      <c r="L99" s="197"/>
      <c r="M99" s="161" t="s">
        <v>56</v>
      </c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3"/>
      <c r="AG99" s="170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2"/>
      <c r="AW99" s="72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5"/>
      <c r="CL99" s="158" t="s">
        <v>57</v>
      </c>
      <c r="CM99" s="159"/>
      <c r="CN99" s="159"/>
      <c r="CO99" s="159"/>
      <c r="CP99" s="159"/>
      <c r="CQ99" s="159"/>
      <c r="CR99" s="159"/>
      <c r="CS99" s="159"/>
      <c r="CT99" s="159"/>
      <c r="CU99" s="159"/>
      <c r="CV99" s="159"/>
      <c r="CW99" s="159"/>
      <c r="CX99" s="159"/>
      <c r="CY99" s="159"/>
      <c r="CZ99" s="159"/>
      <c r="DA99" s="159"/>
      <c r="DB99" s="159"/>
      <c r="DC99" s="159"/>
      <c r="DD99" s="159"/>
      <c r="DE99" s="159"/>
      <c r="DF99" s="159"/>
      <c r="DG99" s="159"/>
      <c r="DH99" s="159"/>
      <c r="DI99" s="159"/>
      <c r="DJ99" s="159"/>
      <c r="DK99" s="159"/>
      <c r="DL99" s="159"/>
      <c r="DM99" s="159"/>
      <c r="DN99" s="159"/>
      <c r="DO99" s="159"/>
      <c r="DP99" s="159"/>
      <c r="DQ99" s="159"/>
      <c r="DR99" s="159"/>
      <c r="DS99" s="159"/>
      <c r="DT99" s="159"/>
      <c r="DU99" s="159"/>
      <c r="DV99" s="159"/>
      <c r="DW99" s="159"/>
      <c r="DX99" s="159"/>
      <c r="DY99" s="159"/>
      <c r="DZ99" s="160"/>
    </row>
    <row r="100" spans="1:182" ht="36" customHeight="1" x14ac:dyDescent="0.2">
      <c r="A100" s="116"/>
      <c r="B100" s="198" t="s">
        <v>58</v>
      </c>
      <c r="C100" s="199"/>
      <c r="D100" s="199"/>
      <c r="E100" s="199"/>
      <c r="F100" s="199"/>
      <c r="G100" s="199"/>
      <c r="H100" s="199"/>
      <c r="I100" s="199"/>
      <c r="J100" s="199"/>
      <c r="K100" s="199"/>
      <c r="L100" s="200"/>
      <c r="M100" s="164" t="s">
        <v>59</v>
      </c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6"/>
      <c r="AG100" s="208">
        <v>0.27200000000000002</v>
      </c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U100" s="209"/>
      <c r="AV100" s="210"/>
      <c r="AW100" s="74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7"/>
      <c r="CL100" s="158" t="str">
        <f>Thickness!CL100</f>
        <v>NO. 1 RECOVERY BOILER</v>
      </c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59"/>
      <c r="CW100" s="159"/>
      <c r="CX100" s="159"/>
      <c r="CY100" s="159"/>
      <c r="CZ100" s="159"/>
      <c r="DA100" s="159"/>
      <c r="DB100" s="159"/>
      <c r="DC100" s="159"/>
      <c r="DD100" s="159"/>
      <c r="DE100" s="159"/>
      <c r="DF100" s="159"/>
      <c r="DG100" s="159"/>
      <c r="DH100" s="159"/>
      <c r="DI100" s="159"/>
      <c r="DJ100" s="159"/>
      <c r="DK100" s="159"/>
      <c r="DL100" s="159"/>
      <c r="DM100" s="159"/>
      <c r="DN100" s="159"/>
      <c r="DO100" s="159"/>
      <c r="DP100" s="159"/>
      <c r="DQ100" s="159"/>
      <c r="DR100" s="159"/>
      <c r="DS100" s="159"/>
      <c r="DT100" s="159"/>
      <c r="DU100" s="159"/>
      <c r="DV100" s="159"/>
      <c r="DW100" s="159"/>
      <c r="DX100" s="159"/>
      <c r="DY100" s="159"/>
      <c r="DZ100" s="160"/>
    </row>
    <row r="101" spans="1:182" ht="36" customHeight="1" x14ac:dyDescent="0.2">
      <c r="A101" s="116"/>
      <c r="B101" s="201" t="s">
        <v>60</v>
      </c>
      <c r="C101" s="202"/>
      <c r="D101" s="202"/>
      <c r="E101" s="202"/>
      <c r="F101" s="202"/>
      <c r="G101" s="202"/>
      <c r="H101" s="202"/>
      <c r="I101" s="202"/>
      <c r="J101" s="202"/>
      <c r="K101" s="202"/>
      <c r="L101" s="203"/>
      <c r="M101" s="184" t="s">
        <v>49</v>
      </c>
      <c r="N101" s="185"/>
      <c r="O101" s="185"/>
      <c r="P101" s="185"/>
      <c r="Q101" s="186"/>
      <c r="R101" s="187" t="s">
        <v>61</v>
      </c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8"/>
      <c r="AG101" s="211"/>
      <c r="AH101" s="212"/>
      <c r="AI101" s="212"/>
      <c r="AJ101" s="212"/>
      <c r="AK101" s="212"/>
      <c r="AL101" s="212"/>
      <c r="AM101" s="212"/>
      <c r="AN101" s="212"/>
      <c r="AO101" s="212"/>
      <c r="AP101" s="212"/>
      <c r="AQ101" s="212"/>
      <c r="AR101" s="212"/>
      <c r="AS101" s="212"/>
      <c r="AT101" s="212"/>
      <c r="AU101" s="212"/>
      <c r="AV101" s="213"/>
      <c r="AW101" s="68" t="str">
        <f>Thickness!AW101</f>
        <v>Job #  H449364  P.O. #  0018342455 W.O. #  N/A   Date:  5/05/2025</v>
      </c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3"/>
      <c r="CL101" s="205" t="str">
        <f>Thickness!CL101</f>
        <v>10 SOOTBLOWER PASS A1</v>
      </c>
      <c r="CM101" s="206"/>
      <c r="CN101" s="206"/>
      <c r="CO101" s="206"/>
      <c r="CP101" s="206"/>
      <c r="CQ101" s="206"/>
      <c r="CR101" s="206"/>
      <c r="CS101" s="206"/>
      <c r="CT101" s="206"/>
      <c r="CU101" s="206"/>
      <c r="CV101" s="206"/>
      <c r="CW101" s="206"/>
      <c r="CX101" s="206"/>
      <c r="CY101" s="206"/>
      <c r="CZ101" s="206"/>
      <c r="DA101" s="206"/>
      <c r="DB101" s="206"/>
      <c r="DC101" s="206"/>
      <c r="DD101" s="206"/>
      <c r="DE101" s="206"/>
      <c r="DF101" s="206"/>
      <c r="DG101" s="206"/>
      <c r="DH101" s="206"/>
      <c r="DI101" s="206"/>
      <c r="DJ101" s="206"/>
      <c r="DK101" s="206"/>
      <c r="DL101" s="206"/>
      <c r="DM101" s="206"/>
      <c r="DN101" s="206"/>
      <c r="DO101" s="206"/>
      <c r="DP101" s="206"/>
      <c r="DQ101" s="206"/>
      <c r="DR101" s="206"/>
      <c r="DS101" s="206"/>
      <c r="DT101" s="206"/>
      <c r="DU101" s="206"/>
      <c r="DV101" s="206"/>
      <c r="DW101" s="206"/>
      <c r="DX101" s="206"/>
      <c r="DY101" s="206"/>
      <c r="DZ101" s="207"/>
    </row>
    <row r="102" spans="1:182" ht="36" customHeight="1" x14ac:dyDescent="0.35">
      <c r="B102" s="16" t="s">
        <v>62</v>
      </c>
    </row>
    <row r="103" spans="1:182" ht="36" customHeight="1" x14ac:dyDescent="0.2"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62" t="s">
        <v>19</v>
      </c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5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5"/>
    </row>
    <row r="108" spans="1:182" x14ac:dyDescent="0.2"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7"/>
    </row>
    <row r="110" spans="1:182" x14ac:dyDescent="0.2">
      <c r="BR110" s="62" t="s">
        <v>45</v>
      </c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3"/>
    </row>
    <row r="111" spans="1:182" x14ac:dyDescent="0.2"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5"/>
    </row>
    <row r="112" spans="1:182" x14ac:dyDescent="0.2"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5"/>
    </row>
    <row r="113" spans="70:89" x14ac:dyDescent="0.2"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7"/>
    </row>
    <row r="115" spans="70:89" x14ac:dyDescent="0.2">
      <c r="BR115" s="62" t="s">
        <v>46</v>
      </c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3"/>
    </row>
    <row r="116" spans="70:89" x14ac:dyDescent="0.2"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5"/>
    </row>
    <row r="117" spans="70:89" x14ac:dyDescent="0.2"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5"/>
    </row>
    <row r="118" spans="70:89" x14ac:dyDescent="0.2"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7"/>
    </row>
  </sheetData>
  <mergeCells count="36">
    <mergeCell ref="X4:X6"/>
    <mergeCell ref="Y4:Y6"/>
    <mergeCell ref="A7:B7"/>
    <mergeCell ref="M103:AV103"/>
    <mergeCell ref="CL101:DZ101"/>
    <mergeCell ref="BR105:CK108"/>
    <mergeCell ref="BR110:CK113"/>
    <mergeCell ref="BR115:CK118"/>
    <mergeCell ref="AG100:AV101"/>
    <mergeCell ref="B97:L97"/>
    <mergeCell ref="B98:L98"/>
    <mergeCell ref="B99:L99"/>
    <mergeCell ref="B100:L100"/>
    <mergeCell ref="B101:L101"/>
    <mergeCell ref="A98:A101"/>
    <mergeCell ref="CL98:DZ98"/>
    <mergeCell ref="A5:A6"/>
    <mergeCell ref="AG97:AV97"/>
    <mergeCell ref="AW97:BQ100"/>
    <mergeCell ref="CL99:DZ99"/>
    <mergeCell ref="CL100:DZ100"/>
    <mergeCell ref="M99:AF99"/>
    <mergeCell ref="M100:AF100"/>
    <mergeCell ref="AG98:AV99"/>
    <mergeCell ref="BR97:CK100"/>
    <mergeCell ref="CL97:DZ97"/>
    <mergeCell ref="M97:AF98"/>
    <mergeCell ref="AW101:CK101"/>
    <mergeCell ref="M101:Q101"/>
    <mergeCell ref="R101:AF101"/>
    <mergeCell ref="A3:B3"/>
    <mergeCell ref="A1:B2"/>
    <mergeCell ref="C1:DP1"/>
    <mergeCell ref="DQ1:DZ1"/>
    <mergeCell ref="C2:DP2"/>
    <mergeCell ref="DQ2:DZ2"/>
  </mergeCells>
  <printOptions horizontalCentered="1"/>
  <pageMargins left="0.25" right="0.25" top="0.75" bottom="0.25" header="0" footer="0"/>
  <pageSetup scale="36"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8EC4-51E2-4B5B-AD0D-97D7E73CFDDA}">
  <sheetPr>
    <pageSetUpPr fitToPage="1"/>
  </sheetPr>
  <dimension ref="A1:IK118"/>
  <sheetViews>
    <sheetView tabSelected="1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229">
        <f>Thickness!A1</f>
        <v>2025</v>
      </c>
      <c r="B1" s="230"/>
      <c r="C1" s="152" t="str">
        <f>IF(ISBLANK(Thickness!C1),"",(Thickness!C1))</f>
        <v/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3"/>
      <c r="CP1" s="153"/>
      <c r="CQ1" s="153"/>
      <c r="CR1" s="153"/>
      <c r="CS1" s="153"/>
      <c r="CT1" s="153"/>
      <c r="CU1" s="153"/>
      <c r="CV1" s="153"/>
      <c r="CW1" s="153"/>
      <c r="CX1" s="153"/>
      <c r="CY1" s="153"/>
      <c r="CZ1" s="153"/>
      <c r="DA1" s="153"/>
      <c r="DB1" s="153"/>
      <c r="DC1" s="153"/>
      <c r="DD1" s="153"/>
      <c r="DE1" s="153"/>
      <c r="DF1" s="153"/>
      <c r="DG1" s="153"/>
      <c r="DH1" s="153"/>
      <c r="DI1" s="153"/>
      <c r="DJ1" s="153"/>
      <c r="DK1" s="153"/>
      <c r="DL1" s="153"/>
      <c r="DM1" s="153"/>
      <c r="DN1" s="153"/>
      <c r="DO1" s="153"/>
      <c r="DP1" s="154"/>
      <c r="DQ1" s="76" t="s">
        <v>0</v>
      </c>
      <c r="DR1" s="77"/>
      <c r="DS1" s="77"/>
      <c r="DT1" s="77"/>
      <c r="DU1" s="77"/>
      <c r="DV1" s="77"/>
      <c r="DW1" s="77"/>
      <c r="DX1" s="77"/>
      <c r="DY1" s="77"/>
      <c r="DZ1" s="78"/>
    </row>
    <row r="2" spans="1:182" s="5" customFormat="1" ht="36" customHeight="1" x14ac:dyDescent="0.2">
      <c r="A2" s="231"/>
      <c r="B2" s="232"/>
      <c r="C2" s="98" t="s">
        <v>63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100"/>
      <c r="DQ2" s="76" t="s">
        <v>2</v>
      </c>
      <c r="DR2" s="77"/>
      <c r="DS2" s="77"/>
      <c r="DT2" s="77"/>
      <c r="DU2" s="77"/>
      <c r="DV2" s="77"/>
      <c r="DW2" s="77"/>
      <c r="DX2" s="77"/>
      <c r="DY2" s="77"/>
      <c r="DZ2" s="78"/>
      <c r="EA2" s="4"/>
    </row>
    <row r="3" spans="1:182" s="5" customFormat="1" ht="36" customHeight="1" x14ac:dyDescent="0.2">
      <c r="A3" s="88" t="s">
        <v>3</v>
      </c>
      <c r="B3" s="89"/>
      <c r="C3" s="18" t="s">
        <v>4</v>
      </c>
      <c r="D3" s="36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47">
        <v>20</v>
      </c>
      <c r="X3" s="40" t="s">
        <v>5</v>
      </c>
      <c r="Y3" s="41" t="s">
        <v>6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11" t="s">
        <v>9</v>
      </c>
      <c r="D4" s="25">
        <v>0.17299999999999999</v>
      </c>
      <c r="E4" s="51">
        <v>0.18</v>
      </c>
      <c r="F4" s="51">
        <v>0.188</v>
      </c>
      <c r="G4" s="51" t="s">
        <v>10</v>
      </c>
      <c r="H4" s="52" t="s">
        <v>10</v>
      </c>
      <c r="I4" s="53">
        <v>0.187</v>
      </c>
      <c r="J4" s="51" t="s">
        <v>10</v>
      </c>
      <c r="K4" s="51" t="s">
        <v>10</v>
      </c>
      <c r="L4" s="51">
        <v>0.17899999999999999</v>
      </c>
      <c r="M4" s="52" t="s">
        <v>10</v>
      </c>
      <c r="N4" s="53" t="s">
        <v>10</v>
      </c>
      <c r="O4" s="51">
        <v>0.185</v>
      </c>
      <c r="P4" s="51" t="s">
        <v>10</v>
      </c>
      <c r="Q4" s="51" t="s">
        <v>10</v>
      </c>
      <c r="R4" s="52">
        <v>0.18099999999999999</v>
      </c>
      <c r="S4" s="53" t="s">
        <v>10</v>
      </c>
      <c r="T4" s="51" t="s">
        <v>10</v>
      </c>
      <c r="U4" s="51">
        <v>0.17799999999999999</v>
      </c>
      <c r="V4" s="51">
        <v>0.19</v>
      </c>
      <c r="W4" s="52">
        <v>0.184</v>
      </c>
      <c r="X4" s="104">
        <f t="shared" ref="X4:X6" si="0">IFERROR(AVERAGE(D4:W6),0)</f>
        <v>0.1825</v>
      </c>
      <c r="Y4" s="104">
        <f t="shared" ref="Y4:Y6" si="1">MIN(D4:W6)</f>
        <v>0.17299999999999999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90">
        <v>7.4999999999999997E-2</v>
      </c>
      <c r="B5" s="7" t="s">
        <v>11</v>
      </c>
      <c r="C5" s="11" t="s">
        <v>12</v>
      </c>
      <c r="D5" s="54">
        <v>0.17599999999999999</v>
      </c>
      <c r="E5" s="55">
        <v>0.182</v>
      </c>
      <c r="F5" s="55">
        <v>0.189</v>
      </c>
      <c r="G5" s="55" t="s">
        <v>10</v>
      </c>
      <c r="H5" s="56" t="s">
        <v>10</v>
      </c>
      <c r="I5" s="57">
        <v>0.183</v>
      </c>
      <c r="J5" s="55" t="s">
        <v>10</v>
      </c>
      <c r="K5" s="55" t="s">
        <v>10</v>
      </c>
      <c r="L5" s="55">
        <v>0.17899999999999999</v>
      </c>
      <c r="M5" s="56" t="s">
        <v>10</v>
      </c>
      <c r="N5" s="57" t="s">
        <v>10</v>
      </c>
      <c r="O5" s="55">
        <v>0.184</v>
      </c>
      <c r="P5" s="55" t="s">
        <v>10</v>
      </c>
      <c r="Q5" s="55" t="s">
        <v>10</v>
      </c>
      <c r="R5" s="56">
        <v>0.18099999999999999</v>
      </c>
      <c r="S5" s="57" t="s">
        <v>10</v>
      </c>
      <c r="T5" s="55" t="s">
        <v>10</v>
      </c>
      <c r="U5" s="55">
        <v>0.17799999999999999</v>
      </c>
      <c r="V5" s="55">
        <v>0.186</v>
      </c>
      <c r="W5" s="56">
        <v>0.186</v>
      </c>
      <c r="X5" s="105">
        <f t="shared" si="0"/>
        <v>5.3412500000000005</v>
      </c>
      <c r="Y5" s="105">
        <f t="shared" si="1"/>
        <v>0.17299999999999999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90"/>
      <c r="B6" s="8" t="s">
        <v>13</v>
      </c>
      <c r="C6" s="12" t="s">
        <v>14</v>
      </c>
      <c r="D6" s="58">
        <v>0.17599999999999999</v>
      </c>
      <c r="E6" s="59">
        <v>0.182</v>
      </c>
      <c r="F6" s="59">
        <v>0.189</v>
      </c>
      <c r="G6" s="59" t="s">
        <v>10</v>
      </c>
      <c r="H6" s="60" t="s">
        <v>10</v>
      </c>
      <c r="I6" s="61">
        <v>0.185</v>
      </c>
      <c r="J6" s="59" t="s">
        <v>10</v>
      </c>
      <c r="K6" s="59" t="s">
        <v>10</v>
      </c>
      <c r="L6" s="28">
        <v>0.17299999999999999</v>
      </c>
      <c r="M6" s="60" t="s">
        <v>10</v>
      </c>
      <c r="N6" s="61" t="s">
        <v>10</v>
      </c>
      <c r="O6" s="59">
        <v>0.185</v>
      </c>
      <c r="P6" s="59" t="s">
        <v>10</v>
      </c>
      <c r="Q6" s="59" t="s">
        <v>10</v>
      </c>
      <c r="R6" s="60">
        <v>0.18099999999999999</v>
      </c>
      <c r="S6" s="61" t="s">
        <v>10</v>
      </c>
      <c r="T6" s="59" t="s">
        <v>10</v>
      </c>
      <c r="U6" s="59">
        <v>0.17899999999999999</v>
      </c>
      <c r="V6" s="59">
        <v>0.19</v>
      </c>
      <c r="W6" s="60">
        <v>0.186</v>
      </c>
      <c r="X6" s="106">
        <f t="shared" si="0"/>
        <v>7.0608666666666666</v>
      </c>
      <c r="Y6" s="106">
        <f t="shared" si="1"/>
        <v>0.17299999999999999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6" customHeight="1" x14ac:dyDescent="0.2">
      <c r="A7" s="88" t="s">
        <v>3</v>
      </c>
      <c r="B7" s="89"/>
      <c r="C7" s="18" t="s">
        <v>4</v>
      </c>
      <c r="D7" s="48">
        <v>1</v>
      </c>
      <c r="E7" s="49">
        <v>2</v>
      </c>
      <c r="F7" s="49">
        <v>3</v>
      </c>
      <c r="G7" s="49">
        <v>4</v>
      </c>
      <c r="H7" s="49">
        <v>5</v>
      </c>
      <c r="I7" s="49">
        <v>6</v>
      </c>
      <c r="J7" s="49">
        <v>7</v>
      </c>
      <c r="K7" s="49">
        <v>8</v>
      </c>
      <c r="L7" s="49">
        <v>9</v>
      </c>
      <c r="M7" s="49">
        <v>10</v>
      </c>
      <c r="N7" s="49">
        <v>11</v>
      </c>
      <c r="O7" s="49">
        <v>12</v>
      </c>
      <c r="P7" s="49">
        <v>13</v>
      </c>
      <c r="Q7" s="49">
        <v>14</v>
      </c>
      <c r="R7" s="49">
        <v>15</v>
      </c>
      <c r="S7" s="49">
        <v>16</v>
      </c>
      <c r="T7" s="49">
        <v>17</v>
      </c>
      <c r="U7" s="49">
        <v>18</v>
      </c>
      <c r="V7" s="49">
        <v>19</v>
      </c>
      <c r="W7" s="50">
        <v>20</v>
      </c>
      <c r="X7" s="40" t="s">
        <v>5</v>
      </c>
      <c r="Y7" s="41" t="s">
        <v>6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6" hidden="1" customHeight="1" x14ac:dyDescent="0.2">
      <c r="A8" s="13"/>
      <c r="B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6" hidden="1" customHeight="1" x14ac:dyDescent="0.2">
      <c r="A9" s="13"/>
      <c r="B9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6" hidden="1" customHeight="1" x14ac:dyDescent="0.2">
      <c r="A10" s="13"/>
      <c r="B1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6" hidden="1" customHeight="1" x14ac:dyDescent="0.2">
      <c r="A11" s="13"/>
      <c r="B1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6" hidden="1" customHeight="1" x14ac:dyDescent="0.2">
      <c r="A12" s="13"/>
      <c r="B1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6" hidden="1" customHeight="1" x14ac:dyDescent="0.2">
      <c r="A13" s="13"/>
      <c r="B1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6" hidden="1" customHeight="1" x14ac:dyDescent="0.2">
      <c r="A14" s="13"/>
      <c r="B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6" hidden="1" customHeight="1" x14ac:dyDescent="0.2">
      <c r="A15" s="13"/>
      <c r="B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hidden="1" customHeight="1" x14ac:dyDescent="0.2">
      <c r="A16" s="13"/>
      <c r="B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7</v>
      </c>
      <c r="B97" s="42" t="s">
        <v>15</v>
      </c>
      <c r="C97" s="107" t="s">
        <v>16</v>
      </c>
      <c r="D97" s="108"/>
      <c r="E97" s="108"/>
      <c r="F97" s="108"/>
      <c r="G97" s="108"/>
      <c r="H97" s="108"/>
      <c r="I97" s="108"/>
      <c r="J97" s="108"/>
      <c r="K97" s="108"/>
      <c r="L97" s="108"/>
      <c r="M97" s="109" t="s">
        <v>17</v>
      </c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1">
        <v>2.5</v>
      </c>
      <c r="AA97" s="111"/>
      <c r="AB97" s="111"/>
      <c r="AC97" s="111"/>
      <c r="AD97" s="111"/>
      <c r="AE97" s="111"/>
      <c r="AF97" s="112"/>
      <c r="AG97" s="113" t="s">
        <v>64</v>
      </c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5"/>
      <c r="AW97" s="70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62" t="s">
        <v>19</v>
      </c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3"/>
      <c r="CL97" s="214" t="str">
        <f>Thickness!CL97</f>
        <v xml:space="preserve">INTERNATIONAL PAPER </v>
      </c>
      <c r="CM97" s="215"/>
      <c r="CN97" s="215"/>
      <c r="CO97" s="215"/>
      <c r="CP97" s="215"/>
      <c r="CQ97" s="215"/>
      <c r="CR97" s="215"/>
      <c r="CS97" s="215"/>
      <c r="CT97" s="215"/>
      <c r="CU97" s="215"/>
      <c r="CV97" s="215"/>
      <c r="CW97" s="215"/>
      <c r="CX97" s="215"/>
      <c r="CY97" s="215"/>
      <c r="CZ97" s="215"/>
      <c r="DA97" s="215"/>
      <c r="DB97" s="215"/>
      <c r="DC97" s="215"/>
      <c r="DD97" s="215"/>
      <c r="DE97" s="215"/>
      <c r="DF97" s="215"/>
      <c r="DG97" s="215"/>
      <c r="DH97" s="215"/>
      <c r="DI97" s="215"/>
      <c r="DJ97" s="215"/>
      <c r="DK97" s="215"/>
      <c r="DL97" s="215"/>
      <c r="DM97" s="215"/>
      <c r="DN97" s="215"/>
      <c r="DO97" s="215"/>
      <c r="DP97" s="215"/>
      <c r="DQ97" s="215"/>
      <c r="DR97" s="215"/>
      <c r="DS97" s="215"/>
      <c r="DT97" s="215"/>
      <c r="DU97" s="215"/>
      <c r="DV97" s="215"/>
      <c r="DW97" s="215"/>
      <c r="DX97" s="215"/>
      <c r="DY97" s="215"/>
      <c r="DZ97" s="216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16" t="s">
        <v>21</v>
      </c>
      <c r="B98" s="43" t="s">
        <v>22</v>
      </c>
      <c r="C98" s="117" t="s">
        <v>23</v>
      </c>
      <c r="D98" s="118"/>
      <c r="E98" s="118"/>
      <c r="F98" s="118"/>
      <c r="G98" s="118"/>
      <c r="H98" s="118"/>
      <c r="I98" s="118"/>
      <c r="J98" s="118"/>
      <c r="K98" s="118"/>
      <c r="L98" s="118"/>
      <c r="M98" s="119" t="s">
        <v>24</v>
      </c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1" t="s">
        <v>25</v>
      </c>
      <c r="AA98" s="121"/>
      <c r="AB98" s="121"/>
      <c r="AC98" s="121"/>
      <c r="AD98" s="121"/>
      <c r="AE98" s="121"/>
      <c r="AF98" s="121"/>
      <c r="AG98" s="122">
        <f>TRUNC(MAX(D4:W6),3)</f>
        <v>0.19</v>
      </c>
      <c r="AH98" s="123"/>
      <c r="AI98" s="123"/>
      <c r="AJ98" s="123"/>
      <c r="AK98" s="123"/>
      <c r="AL98" s="124" t="s">
        <v>26</v>
      </c>
      <c r="AM98" s="125"/>
      <c r="AN98" s="125"/>
      <c r="AO98" s="125"/>
      <c r="AP98" s="125"/>
      <c r="AQ98" s="125"/>
      <c r="AR98" s="125"/>
      <c r="AS98" s="125"/>
      <c r="AT98" s="125"/>
      <c r="AU98" s="125"/>
      <c r="AV98" s="126"/>
      <c r="AW98" s="72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5"/>
      <c r="CL98" s="217" t="str">
        <f>Thickness!CL98</f>
        <v>RIVERDALE MILL</v>
      </c>
      <c r="CM98" s="218"/>
      <c r="CN98" s="218"/>
      <c r="CO98" s="218"/>
      <c r="CP98" s="218"/>
      <c r="CQ98" s="218"/>
      <c r="CR98" s="218"/>
      <c r="CS98" s="218"/>
      <c r="CT98" s="218"/>
      <c r="CU98" s="218"/>
      <c r="CV98" s="218"/>
      <c r="CW98" s="218"/>
      <c r="CX98" s="218"/>
      <c r="CY98" s="218"/>
      <c r="CZ98" s="218"/>
      <c r="DA98" s="218"/>
      <c r="DB98" s="218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18"/>
      <c r="DR98" s="218"/>
      <c r="DS98" s="218"/>
      <c r="DT98" s="218"/>
      <c r="DU98" s="218"/>
      <c r="DV98" s="218"/>
      <c r="DW98" s="218"/>
      <c r="DX98" s="218"/>
      <c r="DY98" s="218"/>
      <c r="DZ98" s="219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16"/>
      <c r="B99" s="44" t="s">
        <v>28</v>
      </c>
      <c r="C99" s="127" t="s">
        <v>29</v>
      </c>
      <c r="D99" s="128"/>
      <c r="E99" s="128"/>
      <c r="F99" s="128"/>
      <c r="G99" s="128"/>
      <c r="H99" s="128"/>
      <c r="I99" s="128"/>
      <c r="J99" s="128"/>
      <c r="K99" s="128"/>
      <c r="L99" s="128"/>
      <c r="M99" s="119" t="s">
        <v>30</v>
      </c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9">
        <v>0.16500000000000001</v>
      </c>
      <c r="AA99" s="129"/>
      <c r="AB99" s="129"/>
      <c r="AC99" s="129"/>
      <c r="AD99" s="129"/>
      <c r="AE99" s="129"/>
      <c r="AF99" s="129"/>
      <c r="AG99" s="130">
        <f>TRUNC(AVERAGE(D4:W6),3)</f>
        <v>0.182</v>
      </c>
      <c r="AH99" s="131"/>
      <c r="AI99" s="131"/>
      <c r="AJ99" s="131"/>
      <c r="AK99" s="131"/>
      <c r="AL99" s="132" t="s">
        <v>31</v>
      </c>
      <c r="AM99" s="133"/>
      <c r="AN99" s="133"/>
      <c r="AO99" s="133"/>
      <c r="AP99" s="133"/>
      <c r="AQ99" s="133"/>
      <c r="AR99" s="133"/>
      <c r="AS99" s="133"/>
      <c r="AT99" s="133"/>
      <c r="AU99" s="133"/>
      <c r="AV99" s="134"/>
      <c r="AW99" s="72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5"/>
      <c r="CL99" s="220" t="s">
        <v>65</v>
      </c>
      <c r="CM99" s="221"/>
      <c r="CN99" s="221"/>
      <c r="CO99" s="221"/>
      <c r="CP99" s="221"/>
      <c r="CQ99" s="221"/>
      <c r="CR99" s="221"/>
      <c r="CS99" s="221"/>
      <c r="CT99" s="221"/>
      <c r="CU99" s="221"/>
      <c r="CV99" s="221"/>
      <c r="CW99" s="221"/>
      <c r="CX99" s="221"/>
      <c r="CY99" s="221"/>
      <c r="CZ99" s="221"/>
      <c r="DA99" s="221"/>
      <c r="DB99" s="221"/>
      <c r="DC99" s="221"/>
      <c r="DD99" s="221"/>
      <c r="DE99" s="221"/>
      <c r="DF99" s="221"/>
      <c r="DG99" s="221"/>
      <c r="DH99" s="221"/>
      <c r="DI99" s="221"/>
      <c r="DJ99" s="221"/>
      <c r="DK99" s="221"/>
      <c r="DL99" s="221"/>
      <c r="DM99" s="221"/>
      <c r="DN99" s="221"/>
      <c r="DO99" s="221"/>
      <c r="DP99" s="221"/>
      <c r="DQ99" s="221"/>
      <c r="DR99" s="221"/>
      <c r="DS99" s="221"/>
      <c r="DT99" s="221"/>
      <c r="DU99" s="221"/>
      <c r="DV99" s="221"/>
      <c r="DW99" s="221"/>
      <c r="DX99" s="221"/>
      <c r="DY99" s="221"/>
      <c r="DZ99" s="222"/>
    </row>
    <row r="100" spans="1:182" ht="36" customHeight="1" x14ac:dyDescent="0.2">
      <c r="A100" s="116"/>
      <c r="B100" s="45" t="s">
        <v>33</v>
      </c>
      <c r="C100" s="135" t="s">
        <v>34</v>
      </c>
      <c r="D100" s="136"/>
      <c r="E100" s="136"/>
      <c r="F100" s="136"/>
      <c r="G100" s="136"/>
      <c r="H100" s="136"/>
      <c r="I100" s="136"/>
      <c r="J100" s="136"/>
      <c r="K100" s="136"/>
      <c r="L100" s="136"/>
      <c r="M100" s="119" t="s">
        <v>35</v>
      </c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37">
        <v>7.4999999999999997E-2</v>
      </c>
      <c r="AA100" s="137"/>
      <c r="AB100" s="137"/>
      <c r="AC100" s="137"/>
      <c r="AD100" s="137"/>
      <c r="AE100" s="137"/>
      <c r="AF100" s="137"/>
      <c r="AG100" s="138">
        <f>TRUNC(MIN(D4:W6),3)</f>
        <v>0.17299999999999999</v>
      </c>
      <c r="AH100" s="131"/>
      <c r="AI100" s="131"/>
      <c r="AJ100" s="131"/>
      <c r="AK100" s="131"/>
      <c r="AL100" s="132" t="s">
        <v>36</v>
      </c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4"/>
      <c r="AW100" s="74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7"/>
      <c r="CL100" s="223" t="str">
        <f>Thickness!CL100</f>
        <v>NO. 1 RECOVERY BOILER</v>
      </c>
      <c r="CM100" s="224"/>
      <c r="CN100" s="224"/>
      <c r="CO100" s="224"/>
      <c r="CP100" s="224"/>
      <c r="CQ100" s="224"/>
      <c r="CR100" s="224"/>
      <c r="CS100" s="224"/>
      <c r="CT100" s="224"/>
      <c r="CU100" s="224"/>
      <c r="CV100" s="224"/>
      <c r="CW100" s="224"/>
      <c r="CX100" s="224"/>
      <c r="CY100" s="224"/>
      <c r="CZ100" s="224"/>
      <c r="DA100" s="224"/>
      <c r="DB100" s="224"/>
      <c r="DC100" s="224"/>
      <c r="DD100" s="224"/>
      <c r="DE100" s="224"/>
      <c r="DF100" s="224"/>
      <c r="DG100" s="224"/>
      <c r="DH100" s="224"/>
      <c r="DI100" s="224"/>
      <c r="DJ100" s="224"/>
      <c r="DK100" s="224"/>
      <c r="DL100" s="224"/>
      <c r="DM100" s="224"/>
      <c r="DN100" s="224"/>
      <c r="DO100" s="224"/>
      <c r="DP100" s="224"/>
      <c r="DQ100" s="224"/>
      <c r="DR100" s="224"/>
      <c r="DS100" s="224"/>
      <c r="DT100" s="224"/>
      <c r="DU100" s="224"/>
      <c r="DV100" s="224"/>
      <c r="DW100" s="224"/>
      <c r="DX100" s="224"/>
      <c r="DY100" s="224"/>
      <c r="DZ100" s="225"/>
    </row>
    <row r="101" spans="1:182" ht="36" customHeight="1" x14ac:dyDescent="0.2">
      <c r="A101" s="116"/>
      <c r="B101" s="46" t="s">
        <v>38</v>
      </c>
      <c r="C101" s="139" t="s">
        <v>39</v>
      </c>
      <c r="D101" s="136"/>
      <c r="E101" s="136"/>
      <c r="F101" s="136"/>
      <c r="G101" s="136"/>
      <c r="H101" s="136"/>
      <c r="I101" s="136"/>
      <c r="J101" s="136"/>
      <c r="K101" s="136"/>
      <c r="L101" s="136"/>
      <c r="M101" s="140" t="s">
        <v>40</v>
      </c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2">
        <v>0.115</v>
      </c>
      <c r="AA101" s="142"/>
      <c r="AB101" s="142"/>
      <c r="AC101" s="142"/>
      <c r="AD101" s="142"/>
      <c r="AE101" s="142"/>
      <c r="AF101" s="142"/>
      <c r="AG101" s="143">
        <f>STDEV(D4:W6)</f>
        <v>4.7832322068688676E-3</v>
      </c>
      <c r="AH101" s="144"/>
      <c r="AI101" s="144"/>
      <c r="AJ101" s="144"/>
      <c r="AK101" s="144"/>
      <c r="AL101" s="145" t="s">
        <v>41</v>
      </c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7"/>
      <c r="AW101" s="68" t="str">
        <f>Thickness!AW101</f>
        <v>Job #  H449364  P.O. #  0018342455 W.O. #  N/A   Date:  5/05/2025</v>
      </c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3"/>
      <c r="CL101" s="226" t="str">
        <f>Thickness!CL101</f>
        <v>10 SOOTBLOWER PASS A1</v>
      </c>
      <c r="CM101" s="227"/>
      <c r="CN101" s="227"/>
      <c r="CO101" s="227"/>
      <c r="CP101" s="227"/>
      <c r="CQ101" s="227"/>
      <c r="CR101" s="227"/>
      <c r="CS101" s="227"/>
      <c r="CT101" s="227"/>
      <c r="CU101" s="227"/>
      <c r="CV101" s="227"/>
      <c r="CW101" s="227"/>
      <c r="CX101" s="227"/>
      <c r="CY101" s="227"/>
      <c r="CZ101" s="227"/>
      <c r="DA101" s="227"/>
      <c r="DB101" s="227"/>
      <c r="DC101" s="227"/>
      <c r="DD101" s="227"/>
      <c r="DE101" s="227"/>
      <c r="DF101" s="227"/>
      <c r="DG101" s="227"/>
      <c r="DH101" s="227"/>
      <c r="DI101" s="227"/>
      <c r="DJ101" s="227"/>
      <c r="DK101" s="227"/>
      <c r="DL101" s="227"/>
      <c r="DM101" s="227"/>
      <c r="DN101" s="227"/>
      <c r="DO101" s="227"/>
      <c r="DP101" s="227"/>
      <c r="DQ101" s="227"/>
      <c r="DR101" s="227"/>
      <c r="DS101" s="227"/>
      <c r="DT101" s="227"/>
      <c r="DU101" s="227"/>
      <c r="DV101" s="227"/>
      <c r="DW101" s="227"/>
      <c r="DX101" s="227"/>
      <c r="DY101" s="227"/>
      <c r="DZ101" s="228"/>
    </row>
    <row r="102" spans="1:182" ht="36" customHeight="1" x14ac:dyDescent="0.35">
      <c r="B102" s="16" t="s">
        <v>66</v>
      </c>
    </row>
    <row r="103" spans="1:182" ht="36" customHeight="1" x14ac:dyDescent="0.2"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62" t="s">
        <v>19</v>
      </c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5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5"/>
    </row>
    <row r="108" spans="1:182" x14ac:dyDescent="0.2"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7"/>
    </row>
    <row r="110" spans="1:182" x14ac:dyDescent="0.2">
      <c r="BR110" s="62" t="s">
        <v>45</v>
      </c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3"/>
    </row>
    <row r="111" spans="1:182" x14ac:dyDescent="0.2"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5"/>
    </row>
    <row r="112" spans="1:182" x14ac:dyDescent="0.2"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5"/>
    </row>
    <row r="113" spans="70:89" x14ac:dyDescent="0.2"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7"/>
    </row>
    <row r="115" spans="70:89" x14ac:dyDescent="0.2">
      <c r="BR115" s="62" t="s">
        <v>46</v>
      </c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3"/>
    </row>
    <row r="116" spans="70:89" x14ac:dyDescent="0.2"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5"/>
    </row>
    <row r="117" spans="70:89" x14ac:dyDescent="0.2"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5"/>
    </row>
    <row r="118" spans="70:89" x14ac:dyDescent="0.2"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7"/>
    </row>
  </sheetData>
  <mergeCells count="46">
    <mergeCell ref="A7:B7"/>
    <mergeCell ref="C101:L101"/>
    <mergeCell ref="M101:Y101"/>
    <mergeCell ref="Z101:AF101"/>
    <mergeCell ref="AG101:AK101"/>
    <mergeCell ref="AL101:AV101"/>
    <mergeCell ref="C100:L100"/>
    <mergeCell ref="M100:Y100"/>
    <mergeCell ref="Z100:AF100"/>
    <mergeCell ref="AG100:AK100"/>
    <mergeCell ref="AL100:AV100"/>
    <mergeCell ref="AG98:AK98"/>
    <mergeCell ref="AL98:AV98"/>
    <mergeCell ref="C99:L99"/>
    <mergeCell ref="M99:Y99"/>
    <mergeCell ref="Z99:AF99"/>
    <mergeCell ref="AG99:AK99"/>
    <mergeCell ref="AL99:AV99"/>
    <mergeCell ref="A3:B3"/>
    <mergeCell ref="A1:B2"/>
    <mergeCell ref="C1:DP1"/>
    <mergeCell ref="DQ1:DZ1"/>
    <mergeCell ref="C2:DP2"/>
    <mergeCell ref="DQ2:DZ2"/>
    <mergeCell ref="A5:A6"/>
    <mergeCell ref="AW97:BQ100"/>
    <mergeCell ref="BR97:CK100"/>
    <mergeCell ref="CL100:DZ100"/>
    <mergeCell ref="AW101:CK101"/>
    <mergeCell ref="CL101:DZ101"/>
    <mergeCell ref="X4:X6"/>
    <mergeCell ref="Y4:Y6"/>
    <mergeCell ref="C97:L97"/>
    <mergeCell ref="M97:Y97"/>
    <mergeCell ref="Z97:AF97"/>
    <mergeCell ref="AG97:AV97"/>
    <mergeCell ref="A98:A101"/>
    <mergeCell ref="C98:L98"/>
    <mergeCell ref="M98:Y98"/>
    <mergeCell ref="Z98:AF98"/>
    <mergeCell ref="BR105:CK108"/>
    <mergeCell ref="BR110:CK113"/>
    <mergeCell ref="BR115:CK118"/>
    <mergeCell ref="CL97:DZ97"/>
    <mergeCell ref="CL98:DZ98"/>
    <mergeCell ref="CL99:DZ99"/>
  </mergeCells>
  <conditionalFormatting sqref="D4:W6 AG98:AG100">
    <cfRule type="cellIs" dxfId="21" priority="1" operator="between">
      <formula>0.001</formula>
      <formula>0.075</formula>
    </cfRule>
    <cfRule type="cellIs" dxfId="20" priority="2" operator="between">
      <formula>0.076</formula>
      <formula>0.115</formula>
    </cfRule>
    <cfRule type="cellIs" dxfId="19" priority="3" operator="between">
      <formula>0.116</formula>
      <formula>0.125</formula>
    </cfRule>
    <cfRule type="cellIs" dxfId="18" priority="4" operator="between">
      <formula>0.126</formula>
      <formula>0.135</formula>
    </cfRule>
    <cfRule type="cellIs" dxfId="17" priority="5" operator="between">
      <formula>0.136</formula>
      <formula>0.145</formula>
    </cfRule>
    <cfRule type="cellIs" dxfId="16" priority="6" operator="between">
      <formula>0.146</formula>
      <formula>0.155</formula>
    </cfRule>
    <cfRule type="cellIs" dxfId="15" priority="7" operator="between">
      <formula>0.156</formula>
      <formula>0.165</formula>
    </cfRule>
    <cfRule type="cellIs" dxfId="14" priority="8" operator="between">
      <formula>0.166</formula>
      <formula>0.175</formula>
    </cfRule>
    <cfRule type="cellIs" dxfId="13" priority="9" operator="between">
      <formula>0.176</formula>
      <formula>0.185</formula>
    </cfRule>
    <cfRule type="cellIs" dxfId="12" priority="10" operator="between">
      <formula>0.186</formula>
      <formula>0.999</formula>
    </cfRule>
    <cfRule type="containsText" dxfId="11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scale="36"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79F3-BCDB-45CC-8542-805B6776DD6C}">
  <sheetPr>
    <pageSetUpPr fitToPage="1"/>
  </sheetPr>
  <dimension ref="A1:IK118"/>
  <sheetViews>
    <sheetView tabSelected="1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266">
        <f>Thickness!A1</f>
        <v>2025</v>
      </c>
      <c r="B1" s="267"/>
      <c r="C1" s="152" t="str">
        <f>IF(ISBLANK(Thickness!C1),"",(Thickness!C1))</f>
        <v/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3"/>
      <c r="CP1" s="153"/>
      <c r="CQ1" s="153"/>
      <c r="CR1" s="153"/>
      <c r="CS1" s="153"/>
      <c r="CT1" s="153"/>
      <c r="CU1" s="153"/>
      <c r="CV1" s="153"/>
      <c r="CW1" s="153"/>
      <c r="CX1" s="153"/>
      <c r="CY1" s="153"/>
      <c r="CZ1" s="153"/>
      <c r="DA1" s="153"/>
      <c r="DB1" s="153"/>
      <c r="DC1" s="153"/>
      <c r="DD1" s="153"/>
      <c r="DE1" s="153"/>
      <c r="DF1" s="153"/>
      <c r="DG1" s="153"/>
      <c r="DH1" s="153"/>
      <c r="DI1" s="153"/>
      <c r="DJ1" s="153"/>
      <c r="DK1" s="153"/>
      <c r="DL1" s="153"/>
      <c r="DM1" s="153"/>
      <c r="DN1" s="153"/>
      <c r="DO1" s="153"/>
      <c r="DP1" s="154"/>
      <c r="DQ1" s="76" t="s">
        <v>0</v>
      </c>
      <c r="DR1" s="77"/>
      <c r="DS1" s="77"/>
      <c r="DT1" s="77"/>
      <c r="DU1" s="77"/>
      <c r="DV1" s="77"/>
      <c r="DW1" s="77"/>
      <c r="DX1" s="77"/>
      <c r="DY1" s="77"/>
      <c r="DZ1" s="78"/>
    </row>
    <row r="2" spans="1:182" s="5" customFormat="1" ht="36" customHeight="1" x14ac:dyDescent="0.2">
      <c r="A2" s="268"/>
      <c r="B2" s="269"/>
      <c r="C2" s="98" t="s">
        <v>67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100"/>
      <c r="DQ2" s="76" t="s">
        <v>2</v>
      </c>
      <c r="DR2" s="77"/>
      <c r="DS2" s="77"/>
      <c r="DT2" s="77"/>
      <c r="DU2" s="77"/>
      <c r="DV2" s="77"/>
      <c r="DW2" s="77"/>
      <c r="DX2" s="77"/>
      <c r="DY2" s="77"/>
      <c r="DZ2" s="78"/>
      <c r="EA2" s="4"/>
    </row>
    <row r="3" spans="1:182" s="5" customFormat="1" ht="36" customHeight="1" x14ac:dyDescent="0.2">
      <c r="A3" s="88" t="s">
        <v>3</v>
      </c>
      <c r="B3" s="89"/>
      <c r="C3" s="18" t="s">
        <v>4</v>
      </c>
      <c r="D3" s="36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47">
        <v>20</v>
      </c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271" t="s">
        <v>68</v>
      </c>
      <c r="D4" s="273" t="s">
        <v>69</v>
      </c>
      <c r="E4" s="276" t="s">
        <v>49</v>
      </c>
      <c r="F4" s="276" t="s">
        <v>49</v>
      </c>
      <c r="G4" s="276" t="s">
        <v>49</v>
      </c>
      <c r="H4" s="279" t="s">
        <v>49</v>
      </c>
      <c r="I4" s="282" t="s">
        <v>49</v>
      </c>
      <c r="J4" s="276" t="s">
        <v>49</v>
      </c>
      <c r="K4" s="276" t="s">
        <v>49</v>
      </c>
      <c r="L4" s="276" t="s">
        <v>69</v>
      </c>
      <c r="M4" s="279" t="s">
        <v>49</v>
      </c>
      <c r="N4" s="282" t="s">
        <v>49</v>
      </c>
      <c r="O4" s="276" t="s">
        <v>49</v>
      </c>
      <c r="P4" s="276" t="s">
        <v>49</v>
      </c>
      <c r="Q4" s="276" t="s">
        <v>49</v>
      </c>
      <c r="R4" s="279" t="s">
        <v>49</v>
      </c>
      <c r="S4" s="282" t="s">
        <v>49</v>
      </c>
      <c r="T4" s="276" t="s">
        <v>49</v>
      </c>
      <c r="U4" s="276" t="s">
        <v>49</v>
      </c>
      <c r="V4" s="276" t="s">
        <v>49</v>
      </c>
      <c r="W4" s="279" t="s">
        <v>49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90" t="s">
        <v>10</v>
      </c>
      <c r="B5" s="7" t="s">
        <v>11</v>
      </c>
      <c r="C5" s="272"/>
      <c r="D5" s="274" t="s">
        <v>69</v>
      </c>
      <c r="E5" s="277" t="s">
        <v>49</v>
      </c>
      <c r="F5" s="277" t="s">
        <v>49</v>
      </c>
      <c r="G5" s="277" t="s">
        <v>49</v>
      </c>
      <c r="H5" s="280" t="s">
        <v>49</v>
      </c>
      <c r="I5" s="283" t="s">
        <v>49</v>
      </c>
      <c r="J5" s="277" t="s">
        <v>49</v>
      </c>
      <c r="K5" s="277" t="s">
        <v>49</v>
      </c>
      <c r="L5" s="277" t="s">
        <v>69</v>
      </c>
      <c r="M5" s="280" t="s">
        <v>49</v>
      </c>
      <c r="N5" s="283" t="s">
        <v>49</v>
      </c>
      <c r="O5" s="277" t="s">
        <v>49</v>
      </c>
      <c r="P5" s="277" t="s">
        <v>49</v>
      </c>
      <c r="Q5" s="277" t="s">
        <v>49</v>
      </c>
      <c r="R5" s="280" t="s">
        <v>49</v>
      </c>
      <c r="S5" s="283" t="s">
        <v>49</v>
      </c>
      <c r="T5" s="277" t="s">
        <v>49</v>
      </c>
      <c r="U5" s="277" t="s">
        <v>49</v>
      </c>
      <c r="V5" s="277" t="s">
        <v>49</v>
      </c>
      <c r="W5" s="280" t="s">
        <v>49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90"/>
      <c r="B6" s="8" t="s">
        <v>13</v>
      </c>
      <c r="C6" s="272"/>
      <c r="D6" s="275" t="s">
        <v>69</v>
      </c>
      <c r="E6" s="278" t="s">
        <v>49</v>
      </c>
      <c r="F6" s="278" t="s">
        <v>49</v>
      </c>
      <c r="G6" s="278" t="s">
        <v>49</v>
      </c>
      <c r="H6" s="281" t="s">
        <v>49</v>
      </c>
      <c r="I6" s="284" t="s">
        <v>49</v>
      </c>
      <c r="J6" s="278" t="s">
        <v>49</v>
      </c>
      <c r="K6" s="278" t="s">
        <v>49</v>
      </c>
      <c r="L6" s="278" t="s">
        <v>69</v>
      </c>
      <c r="M6" s="281" t="s">
        <v>49</v>
      </c>
      <c r="N6" s="284" t="s">
        <v>49</v>
      </c>
      <c r="O6" s="278" t="s">
        <v>49</v>
      </c>
      <c r="P6" s="278" t="s">
        <v>49</v>
      </c>
      <c r="Q6" s="278" t="s">
        <v>49</v>
      </c>
      <c r="R6" s="281" t="s">
        <v>49</v>
      </c>
      <c r="S6" s="284" t="s">
        <v>49</v>
      </c>
      <c r="T6" s="278" t="s">
        <v>49</v>
      </c>
      <c r="U6" s="278" t="s">
        <v>49</v>
      </c>
      <c r="V6" s="278" t="s">
        <v>49</v>
      </c>
      <c r="W6" s="281" t="s">
        <v>49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6" customHeight="1" x14ac:dyDescent="0.2">
      <c r="A7" s="88" t="s">
        <v>3</v>
      </c>
      <c r="B7" s="89"/>
      <c r="C7" s="18" t="s">
        <v>4</v>
      </c>
      <c r="D7" s="48">
        <v>1</v>
      </c>
      <c r="E7" s="49">
        <v>2</v>
      </c>
      <c r="F7" s="49">
        <v>3</v>
      </c>
      <c r="G7" s="49">
        <v>4</v>
      </c>
      <c r="H7" s="49">
        <v>5</v>
      </c>
      <c r="I7" s="49">
        <v>6</v>
      </c>
      <c r="J7" s="49">
        <v>7</v>
      </c>
      <c r="K7" s="49">
        <v>8</v>
      </c>
      <c r="L7" s="49">
        <v>9</v>
      </c>
      <c r="M7" s="49">
        <v>10</v>
      </c>
      <c r="N7" s="49">
        <v>11</v>
      </c>
      <c r="O7" s="49">
        <v>12</v>
      </c>
      <c r="P7" s="49">
        <v>13</v>
      </c>
      <c r="Q7" s="49">
        <v>14</v>
      </c>
      <c r="R7" s="49">
        <v>15</v>
      </c>
      <c r="S7" s="49">
        <v>16</v>
      </c>
      <c r="T7" s="49">
        <v>17</v>
      </c>
      <c r="U7" s="49">
        <v>18</v>
      </c>
      <c r="V7" s="49">
        <v>19</v>
      </c>
      <c r="W7" s="50">
        <v>20</v>
      </c>
      <c r="X7" s="19"/>
      <c r="Y7" s="19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6" hidden="1" customHeight="1" x14ac:dyDescent="0.2">
      <c r="A8" s="13"/>
      <c r="B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6" hidden="1" customHeight="1" x14ac:dyDescent="0.2">
      <c r="A9" s="13"/>
      <c r="B9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6" hidden="1" customHeight="1" x14ac:dyDescent="0.2">
      <c r="A10" s="13"/>
      <c r="B1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6" hidden="1" customHeight="1" x14ac:dyDescent="0.2">
      <c r="A11" s="13"/>
      <c r="B1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6" hidden="1" customHeight="1" x14ac:dyDescent="0.2">
      <c r="A12" s="13"/>
      <c r="B1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6" hidden="1" customHeight="1" x14ac:dyDescent="0.2">
      <c r="A13" s="13"/>
      <c r="B1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6" hidden="1" customHeight="1" x14ac:dyDescent="0.2">
      <c r="A14" s="13"/>
      <c r="B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6" hidden="1" customHeight="1" x14ac:dyDescent="0.2">
      <c r="A15" s="13"/>
      <c r="B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hidden="1" customHeight="1" x14ac:dyDescent="0.2">
      <c r="A16" s="13"/>
      <c r="B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/>
      <c r="B97" s="189" t="s">
        <v>70</v>
      </c>
      <c r="C97" s="190"/>
      <c r="D97" s="190"/>
      <c r="E97" s="190"/>
      <c r="F97" s="190"/>
      <c r="G97" s="190"/>
      <c r="H97" s="190"/>
      <c r="I97" s="190"/>
      <c r="J97" s="190"/>
      <c r="K97" s="190"/>
      <c r="L97" s="191"/>
      <c r="M97" s="176" t="s">
        <v>71</v>
      </c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8"/>
      <c r="AG97" s="260" t="s">
        <v>72</v>
      </c>
      <c r="AH97" s="261"/>
      <c r="AI97" s="261"/>
      <c r="AJ97" s="261"/>
      <c r="AK97" s="261"/>
      <c r="AL97" s="261"/>
      <c r="AM97" s="261"/>
      <c r="AN97" s="261"/>
      <c r="AO97" s="261"/>
      <c r="AP97" s="261"/>
      <c r="AQ97" s="261"/>
      <c r="AR97" s="261"/>
      <c r="AS97" s="261"/>
      <c r="AT97" s="261"/>
      <c r="AU97" s="261"/>
      <c r="AV97" s="262"/>
      <c r="AW97" s="70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62" t="s">
        <v>19</v>
      </c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3"/>
      <c r="CL97" s="245" t="str">
        <f>Thickness!CL97</f>
        <v xml:space="preserve">INTERNATIONAL PAPER </v>
      </c>
      <c r="CM97" s="246"/>
      <c r="CN97" s="246"/>
      <c r="CO97" s="246"/>
      <c r="CP97" s="246"/>
      <c r="CQ97" s="246"/>
      <c r="CR97" s="246"/>
      <c r="CS97" s="246"/>
      <c r="CT97" s="246"/>
      <c r="CU97" s="246"/>
      <c r="CV97" s="246"/>
      <c r="CW97" s="246"/>
      <c r="CX97" s="246"/>
      <c r="CY97" s="246"/>
      <c r="CZ97" s="246"/>
      <c r="DA97" s="246"/>
      <c r="DB97" s="246"/>
      <c r="DC97" s="246"/>
      <c r="DD97" s="246"/>
      <c r="DE97" s="246"/>
      <c r="DF97" s="246"/>
      <c r="DG97" s="246"/>
      <c r="DH97" s="246"/>
      <c r="DI97" s="246"/>
      <c r="DJ97" s="246"/>
      <c r="DK97" s="246"/>
      <c r="DL97" s="246"/>
      <c r="DM97" s="246"/>
      <c r="DN97" s="246"/>
      <c r="DO97" s="246"/>
      <c r="DP97" s="246"/>
      <c r="DQ97" s="246"/>
      <c r="DR97" s="246"/>
      <c r="DS97" s="246"/>
      <c r="DT97" s="246"/>
      <c r="DU97" s="246"/>
      <c r="DV97" s="246"/>
      <c r="DW97" s="246"/>
      <c r="DX97" s="246"/>
      <c r="DY97" s="246"/>
      <c r="DZ97" s="247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16" t="s">
        <v>21</v>
      </c>
      <c r="B98" s="270" t="s">
        <v>73</v>
      </c>
      <c r="C98" s="193"/>
      <c r="D98" s="193"/>
      <c r="E98" s="193"/>
      <c r="F98" s="193"/>
      <c r="G98" s="193"/>
      <c r="H98" s="193"/>
      <c r="I98" s="193"/>
      <c r="J98" s="193"/>
      <c r="K98" s="193"/>
      <c r="L98" s="194"/>
      <c r="M98" s="179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1"/>
      <c r="AG98" s="263"/>
      <c r="AH98" s="264"/>
      <c r="AI98" s="264"/>
      <c r="AJ98" s="264"/>
      <c r="AK98" s="264"/>
      <c r="AL98" s="264"/>
      <c r="AM98" s="264"/>
      <c r="AN98" s="264"/>
      <c r="AO98" s="264"/>
      <c r="AP98" s="264"/>
      <c r="AQ98" s="264"/>
      <c r="AR98" s="264"/>
      <c r="AS98" s="264"/>
      <c r="AT98" s="264"/>
      <c r="AU98" s="264"/>
      <c r="AV98" s="265"/>
      <c r="AW98" s="72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5"/>
      <c r="CL98" s="248" t="str">
        <f>Thickness!CL98</f>
        <v>RIVERDALE MILL</v>
      </c>
      <c r="CM98" s="249"/>
      <c r="CN98" s="249"/>
      <c r="CO98" s="249"/>
      <c r="CP98" s="249"/>
      <c r="CQ98" s="249"/>
      <c r="CR98" s="249"/>
      <c r="CS98" s="249"/>
      <c r="CT98" s="249"/>
      <c r="CU98" s="249"/>
      <c r="CV98" s="249"/>
      <c r="CW98" s="249"/>
      <c r="CX98" s="249"/>
      <c r="CY98" s="249"/>
      <c r="CZ98" s="249"/>
      <c r="DA98" s="249"/>
      <c r="DB98" s="249"/>
      <c r="DC98" s="249"/>
      <c r="DD98" s="249"/>
      <c r="DE98" s="249"/>
      <c r="DF98" s="249"/>
      <c r="DG98" s="249"/>
      <c r="DH98" s="249"/>
      <c r="DI98" s="249"/>
      <c r="DJ98" s="249"/>
      <c r="DK98" s="249"/>
      <c r="DL98" s="249"/>
      <c r="DM98" s="249"/>
      <c r="DN98" s="249"/>
      <c r="DO98" s="249"/>
      <c r="DP98" s="249"/>
      <c r="DQ98" s="249"/>
      <c r="DR98" s="249"/>
      <c r="DS98" s="249"/>
      <c r="DT98" s="249"/>
      <c r="DU98" s="249"/>
      <c r="DV98" s="249"/>
      <c r="DW98" s="249"/>
      <c r="DX98" s="249"/>
      <c r="DY98" s="249"/>
      <c r="DZ98" s="250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16"/>
      <c r="B99" s="251" t="s">
        <v>74</v>
      </c>
      <c r="C99" s="252"/>
      <c r="D99" s="252"/>
      <c r="E99" s="252"/>
      <c r="F99" s="252"/>
      <c r="G99" s="252"/>
      <c r="H99" s="252"/>
      <c r="I99" s="252"/>
      <c r="J99" s="252"/>
      <c r="K99" s="252"/>
      <c r="L99" s="253"/>
      <c r="M99" s="161" t="s">
        <v>56</v>
      </c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3"/>
      <c r="AG99" s="263"/>
      <c r="AH99" s="264"/>
      <c r="AI99" s="264"/>
      <c r="AJ99" s="264"/>
      <c r="AK99" s="264"/>
      <c r="AL99" s="264"/>
      <c r="AM99" s="264"/>
      <c r="AN99" s="264"/>
      <c r="AO99" s="264"/>
      <c r="AP99" s="264"/>
      <c r="AQ99" s="264"/>
      <c r="AR99" s="264"/>
      <c r="AS99" s="264"/>
      <c r="AT99" s="264"/>
      <c r="AU99" s="264"/>
      <c r="AV99" s="265"/>
      <c r="AW99" s="72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5"/>
      <c r="CL99" s="236" t="s">
        <v>75</v>
      </c>
      <c r="CM99" s="237"/>
      <c r="CN99" s="237"/>
      <c r="CO99" s="237"/>
      <c r="CP99" s="237"/>
      <c r="CQ99" s="237"/>
      <c r="CR99" s="237"/>
      <c r="CS99" s="237"/>
      <c r="CT99" s="237"/>
      <c r="CU99" s="237"/>
      <c r="CV99" s="237"/>
      <c r="CW99" s="237"/>
      <c r="CX99" s="237"/>
      <c r="CY99" s="237"/>
      <c r="CZ99" s="237"/>
      <c r="DA99" s="237"/>
      <c r="DB99" s="237"/>
      <c r="DC99" s="237"/>
      <c r="DD99" s="237"/>
      <c r="DE99" s="237"/>
      <c r="DF99" s="237"/>
      <c r="DG99" s="237"/>
      <c r="DH99" s="237"/>
      <c r="DI99" s="237"/>
      <c r="DJ99" s="237"/>
      <c r="DK99" s="237"/>
      <c r="DL99" s="237"/>
      <c r="DM99" s="237"/>
      <c r="DN99" s="237"/>
      <c r="DO99" s="237"/>
      <c r="DP99" s="237"/>
      <c r="DQ99" s="237"/>
      <c r="DR99" s="237"/>
      <c r="DS99" s="237"/>
      <c r="DT99" s="237"/>
      <c r="DU99" s="237"/>
      <c r="DV99" s="237"/>
      <c r="DW99" s="237"/>
      <c r="DX99" s="237"/>
      <c r="DY99" s="237"/>
      <c r="DZ99" s="238"/>
    </row>
    <row r="100" spans="1:182" ht="36" customHeight="1" x14ac:dyDescent="0.2">
      <c r="A100" s="116"/>
      <c r="B100" s="233" t="s">
        <v>76</v>
      </c>
      <c r="C100" s="234"/>
      <c r="D100" s="234"/>
      <c r="E100" s="234"/>
      <c r="F100" s="234"/>
      <c r="G100" s="234"/>
      <c r="H100" s="234"/>
      <c r="I100" s="234"/>
      <c r="J100" s="234"/>
      <c r="K100" s="234"/>
      <c r="L100" s="235"/>
      <c r="M100" s="164" t="s">
        <v>59</v>
      </c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6"/>
      <c r="AG100" s="254" t="s">
        <v>69</v>
      </c>
      <c r="AH100" s="255"/>
      <c r="AI100" s="255"/>
      <c r="AJ100" s="255"/>
      <c r="AK100" s="255"/>
      <c r="AL100" s="255"/>
      <c r="AM100" s="255"/>
      <c r="AN100" s="255"/>
      <c r="AO100" s="255"/>
      <c r="AP100" s="255"/>
      <c r="AQ100" s="255"/>
      <c r="AR100" s="255"/>
      <c r="AS100" s="255"/>
      <c r="AT100" s="255"/>
      <c r="AU100" s="255"/>
      <c r="AV100" s="256"/>
      <c r="AW100" s="74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7"/>
      <c r="CL100" s="236" t="str">
        <f>Thickness!CL100</f>
        <v>NO. 1 RECOVERY BOILER</v>
      </c>
      <c r="CM100" s="237"/>
      <c r="CN100" s="237"/>
      <c r="CO100" s="237"/>
      <c r="CP100" s="237"/>
      <c r="CQ100" s="237"/>
      <c r="CR100" s="237"/>
      <c r="CS100" s="237"/>
      <c r="CT100" s="237"/>
      <c r="CU100" s="237"/>
      <c r="CV100" s="237"/>
      <c r="CW100" s="237"/>
      <c r="CX100" s="237"/>
      <c r="CY100" s="237"/>
      <c r="CZ100" s="237"/>
      <c r="DA100" s="237"/>
      <c r="DB100" s="237"/>
      <c r="DC100" s="237"/>
      <c r="DD100" s="237"/>
      <c r="DE100" s="237"/>
      <c r="DF100" s="237"/>
      <c r="DG100" s="237"/>
      <c r="DH100" s="237"/>
      <c r="DI100" s="237"/>
      <c r="DJ100" s="237"/>
      <c r="DK100" s="237"/>
      <c r="DL100" s="237"/>
      <c r="DM100" s="237"/>
      <c r="DN100" s="237"/>
      <c r="DO100" s="237"/>
      <c r="DP100" s="237"/>
      <c r="DQ100" s="237"/>
      <c r="DR100" s="237"/>
      <c r="DS100" s="237"/>
      <c r="DT100" s="237"/>
      <c r="DU100" s="237"/>
      <c r="DV100" s="237"/>
      <c r="DW100" s="237"/>
      <c r="DX100" s="237"/>
      <c r="DY100" s="237"/>
      <c r="DZ100" s="238"/>
    </row>
    <row r="101" spans="1:182" ht="36" customHeight="1" x14ac:dyDescent="0.2">
      <c r="A101" s="116"/>
      <c r="B101" s="239" t="s">
        <v>77</v>
      </c>
      <c r="C101" s="240"/>
      <c r="D101" s="240"/>
      <c r="E101" s="240"/>
      <c r="F101" s="240"/>
      <c r="G101" s="240"/>
      <c r="H101" s="240"/>
      <c r="I101" s="240"/>
      <c r="J101" s="240"/>
      <c r="K101" s="240"/>
      <c r="L101" s="241"/>
      <c r="M101" s="184" t="s">
        <v>49</v>
      </c>
      <c r="N101" s="185"/>
      <c r="O101" s="185"/>
      <c r="P101" s="185"/>
      <c r="Q101" s="186"/>
      <c r="R101" s="187" t="s">
        <v>61</v>
      </c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8"/>
      <c r="AG101" s="257"/>
      <c r="AH101" s="258"/>
      <c r="AI101" s="258"/>
      <c r="AJ101" s="258"/>
      <c r="AK101" s="258"/>
      <c r="AL101" s="258"/>
      <c r="AM101" s="258"/>
      <c r="AN101" s="258"/>
      <c r="AO101" s="258"/>
      <c r="AP101" s="258"/>
      <c r="AQ101" s="258"/>
      <c r="AR101" s="258"/>
      <c r="AS101" s="258"/>
      <c r="AT101" s="258"/>
      <c r="AU101" s="258"/>
      <c r="AV101" s="259"/>
      <c r="AW101" s="68" t="str">
        <f>Thickness!AW101</f>
        <v>Job #  H449364  P.O. #  0018342455 W.O. #  N/A   Date:  5/05/2025</v>
      </c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3"/>
      <c r="CL101" s="242" t="str">
        <f>Thickness!CL101</f>
        <v>10 SOOTBLOWER PASS A1</v>
      </c>
      <c r="CM101" s="243"/>
      <c r="CN101" s="243"/>
      <c r="CO101" s="243"/>
      <c r="CP101" s="243"/>
      <c r="CQ101" s="243"/>
      <c r="CR101" s="243"/>
      <c r="CS101" s="243"/>
      <c r="CT101" s="243"/>
      <c r="CU101" s="243"/>
      <c r="CV101" s="243"/>
      <c r="CW101" s="243"/>
      <c r="CX101" s="243"/>
      <c r="CY101" s="243"/>
      <c r="CZ101" s="243"/>
      <c r="DA101" s="243"/>
      <c r="DB101" s="243"/>
      <c r="DC101" s="243"/>
      <c r="DD101" s="243"/>
      <c r="DE101" s="243"/>
      <c r="DF101" s="243"/>
      <c r="DG101" s="243"/>
      <c r="DH101" s="243"/>
      <c r="DI101" s="243"/>
      <c r="DJ101" s="243"/>
      <c r="DK101" s="243"/>
      <c r="DL101" s="243"/>
      <c r="DM101" s="243"/>
      <c r="DN101" s="243"/>
      <c r="DO101" s="243"/>
      <c r="DP101" s="243"/>
      <c r="DQ101" s="243"/>
      <c r="DR101" s="243"/>
      <c r="DS101" s="243"/>
      <c r="DT101" s="243"/>
      <c r="DU101" s="243"/>
      <c r="DV101" s="243"/>
      <c r="DW101" s="243"/>
      <c r="DX101" s="243"/>
      <c r="DY101" s="243"/>
      <c r="DZ101" s="244"/>
    </row>
    <row r="102" spans="1:182" ht="36" customHeight="1" x14ac:dyDescent="0.35">
      <c r="B102" s="16" t="s">
        <v>78</v>
      </c>
    </row>
    <row r="103" spans="1:182" ht="36" customHeight="1" x14ac:dyDescent="0.2"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62" t="s">
        <v>19</v>
      </c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5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5"/>
    </row>
    <row r="108" spans="1:182" x14ac:dyDescent="0.2"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7"/>
    </row>
    <row r="110" spans="1:182" x14ac:dyDescent="0.2">
      <c r="BR110" s="62" t="s">
        <v>45</v>
      </c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3"/>
    </row>
    <row r="111" spans="1:182" x14ac:dyDescent="0.2"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5"/>
    </row>
    <row r="112" spans="1:182" x14ac:dyDescent="0.2"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5"/>
    </row>
    <row r="113" spans="70:89" x14ac:dyDescent="0.2"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7"/>
    </row>
    <row r="115" spans="70:89" x14ac:dyDescent="0.2">
      <c r="BR115" s="62" t="s">
        <v>46</v>
      </c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3"/>
    </row>
    <row r="116" spans="70:89" x14ac:dyDescent="0.2"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5"/>
    </row>
    <row r="117" spans="70:89" x14ac:dyDescent="0.2"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5"/>
    </row>
    <row r="118" spans="70:89" x14ac:dyDescent="0.2"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7"/>
    </row>
  </sheetData>
  <mergeCells count="53">
    <mergeCell ref="W4:W6"/>
    <mergeCell ref="R4:R6"/>
    <mergeCell ref="S4:S6"/>
    <mergeCell ref="T4:T6"/>
    <mergeCell ref="U4:U6"/>
    <mergeCell ref="V4:V6"/>
    <mergeCell ref="M4:M6"/>
    <mergeCell ref="N4:N6"/>
    <mergeCell ref="O4:O6"/>
    <mergeCell ref="P4:P6"/>
    <mergeCell ref="Q4:Q6"/>
    <mergeCell ref="H4:H6"/>
    <mergeCell ref="I4:I6"/>
    <mergeCell ref="J4:J6"/>
    <mergeCell ref="K4:K6"/>
    <mergeCell ref="L4:L6"/>
    <mergeCell ref="A3:B3"/>
    <mergeCell ref="M97:AF98"/>
    <mergeCell ref="M99:AF99"/>
    <mergeCell ref="M100:AF100"/>
    <mergeCell ref="M101:Q101"/>
    <mergeCell ref="R101:AF101"/>
    <mergeCell ref="A5:A6"/>
    <mergeCell ref="B97:L97"/>
    <mergeCell ref="A98:A101"/>
    <mergeCell ref="B98:L98"/>
    <mergeCell ref="C4:C6"/>
    <mergeCell ref="A7:B7"/>
    <mergeCell ref="D4:D6"/>
    <mergeCell ref="E4:E6"/>
    <mergeCell ref="F4:F6"/>
    <mergeCell ref="G4:G6"/>
    <mergeCell ref="A1:B2"/>
    <mergeCell ref="C1:DP1"/>
    <mergeCell ref="DQ1:DZ1"/>
    <mergeCell ref="C2:DP2"/>
    <mergeCell ref="DQ2:DZ2"/>
    <mergeCell ref="BR110:CK113"/>
    <mergeCell ref="BR115:CK118"/>
    <mergeCell ref="B100:L100"/>
    <mergeCell ref="CL100:DZ100"/>
    <mergeCell ref="B101:L101"/>
    <mergeCell ref="AW101:CK101"/>
    <mergeCell ref="CL101:DZ101"/>
    <mergeCell ref="BR105:CK108"/>
    <mergeCell ref="AW97:BQ100"/>
    <mergeCell ref="BR97:CK100"/>
    <mergeCell ref="CL97:DZ97"/>
    <mergeCell ref="CL98:DZ98"/>
    <mergeCell ref="B99:L99"/>
    <mergeCell ref="CL99:DZ99"/>
    <mergeCell ref="AG100:AV101"/>
    <mergeCell ref="AG97:AV99"/>
  </mergeCells>
  <printOptions horizontalCentered="1"/>
  <pageMargins left="0.25" right="0.25" top="0.75" bottom="0.25" header="0" footer="0"/>
  <pageSetup scale="36" pageOrder="overThenDown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3497-1681-4D2B-865A-85D751B414D3}">
  <sheetPr>
    <pageSetUpPr fitToPage="1"/>
  </sheetPr>
  <dimension ref="A1:IK118"/>
  <sheetViews>
    <sheetView zoomScale="50" zoomScaleNormal="50" workbookViewId="0">
      <selection activeCell="A8" sqref="A8:XFD67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299">
        <f>Thickness!A1</f>
        <v>2025</v>
      </c>
      <c r="B1" s="300"/>
      <c r="C1" s="152" t="str">
        <f>IF(ISBLANK(Thickness!C1),"",(Thickness!C1))</f>
        <v/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3"/>
      <c r="CP1" s="153"/>
      <c r="CQ1" s="153"/>
      <c r="CR1" s="153"/>
      <c r="CS1" s="153"/>
      <c r="CT1" s="153"/>
      <c r="CU1" s="153"/>
      <c r="CV1" s="153"/>
      <c r="CW1" s="153"/>
      <c r="CX1" s="153"/>
      <c r="CY1" s="153"/>
      <c r="CZ1" s="153"/>
      <c r="DA1" s="153"/>
      <c r="DB1" s="153"/>
      <c r="DC1" s="153"/>
      <c r="DD1" s="153"/>
      <c r="DE1" s="153"/>
      <c r="DF1" s="153"/>
      <c r="DG1" s="153"/>
      <c r="DH1" s="153"/>
      <c r="DI1" s="153"/>
      <c r="DJ1" s="153"/>
      <c r="DK1" s="153"/>
      <c r="DL1" s="153"/>
      <c r="DM1" s="153"/>
      <c r="DN1" s="153"/>
      <c r="DO1" s="153"/>
      <c r="DP1" s="154"/>
      <c r="DQ1" s="76" t="s">
        <v>0</v>
      </c>
      <c r="DR1" s="77"/>
      <c r="DS1" s="77"/>
      <c r="DT1" s="77"/>
      <c r="DU1" s="77"/>
      <c r="DV1" s="77"/>
      <c r="DW1" s="77"/>
      <c r="DX1" s="77"/>
      <c r="DY1" s="77"/>
      <c r="DZ1" s="78"/>
    </row>
    <row r="2" spans="1:182" s="5" customFormat="1" ht="36" customHeight="1" x14ac:dyDescent="0.2">
      <c r="A2" s="301"/>
      <c r="B2" s="302"/>
      <c r="C2" s="152" t="s">
        <v>79</v>
      </c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4"/>
      <c r="DQ2" s="76" t="s">
        <v>2</v>
      </c>
      <c r="DR2" s="77"/>
      <c r="DS2" s="77"/>
      <c r="DT2" s="77"/>
      <c r="DU2" s="77"/>
      <c r="DV2" s="77"/>
      <c r="DW2" s="77"/>
      <c r="DX2" s="77"/>
      <c r="DY2" s="77"/>
      <c r="DZ2" s="78"/>
      <c r="EA2" s="4"/>
    </row>
    <row r="3" spans="1:182" s="5" customFormat="1" ht="36" customHeight="1" x14ac:dyDescent="0.2">
      <c r="A3" s="88" t="s">
        <v>3</v>
      </c>
      <c r="B3" s="89"/>
      <c r="C3" s="18" t="s">
        <v>4</v>
      </c>
      <c r="D3" s="36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47">
        <v>20</v>
      </c>
      <c r="X3" s="40" t="s">
        <v>5</v>
      </c>
      <c r="Y3" s="41" t="s">
        <v>6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288" t="s">
        <v>80</v>
      </c>
      <c r="D4" s="303">
        <f>MIN(Thickness!D4:D6)</f>
        <v>0.17599999999999999</v>
      </c>
      <c r="E4" s="306">
        <f>MIN(Thickness!E4:E6)</f>
        <v>0.18</v>
      </c>
      <c r="F4" s="306">
        <f>MIN(Thickness!F4:F6)</f>
        <v>0.188</v>
      </c>
      <c r="G4" s="306" t="s">
        <v>10</v>
      </c>
      <c r="H4" s="309" t="s">
        <v>10</v>
      </c>
      <c r="I4" s="312">
        <f>MIN(Thickness!I4:I6)</f>
        <v>0.183</v>
      </c>
      <c r="J4" s="306" t="s">
        <v>10</v>
      </c>
      <c r="K4" s="306" t="s">
        <v>10</v>
      </c>
      <c r="L4" s="306">
        <f>MIN(Thickness!L4:L6)</f>
        <v>0.17899999999999999</v>
      </c>
      <c r="M4" s="309" t="s">
        <v>10</v>
      </c>
      <c r="N4" s="312" t="s">
        <v>10</v>
      </c>
      <c r="O4" s="306">
        <f>MIN(Thickness!O4:O6)</f>
        <v>0.184</v>
      </c>
      <c r="P4" s="306" t="s">
        <v>10</v>
      </c>
      <c r="Q4" s="306" t="s">
        <v>10</v>
      </c>
      <c r="R4" s="309">
        <f>MIN(Thickness!R4:R6)</f>
        <v>0.18099999999999999</v>
      </c>
      <c r="S4" s="312" t="s">
        <v>10</v>
      </c>
      <c r="T4" s="306" t="s">
        <v>10</v>
      </c>
      <c r="U4" s="306">
        <f>MIN(Thickness!U4:U6)</f>
        <v>0.17799999999999999</v>
      </c>
      <c r="V4" s="306">
        <f>MIN(Thickness!V4:V6)</f>
        <v>0.186</v>
      </c>
      <c r="W4" s="309">
        <f>MIN(Thickness!W4:W6)</f>
        <v>0.184</v>
      </c>
      <c r="X4" s="104">
        <f t="shared" ref="X4:X6" si="0">IFERROR(AVERAGE(D4:W6),0)</f>
        <v>0.18190000000000001</v>
      </c>
      <c r="Y4" s="104">
        <f t="shared" ref="Y4:Y6" si="1">MIN(D4:W6)</f>
        <v>0.17599999999999999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90">
        <v>7.4999999999999997E-2</v>
      </c>
      <c r="B5" s="7" t="s">
        <v>11</v>
      </c>
      <c r="C5" s="289"/>
      <c r="D5" s="304"/>
      <c r="E5" s="307"/>
      <c r="F5" s="307"/>
      <c r="G5" s="307" t="s">
        <v>10</v>
      </c>
      <c r="H5" s="310" t="s">
        <v>10</v>
      </c>
      <c r="I5" s="313"/>
      <c r="J5" s="307" t="s">
        <v>10</v>
      </c>
      <c r="K5" s="307" t="s">
        <v>10</v>
      </c>
      <c r="L5" s="307"/>
      <c r="M5" s="310" t="s">
        <v>10</v>
      </c>
      <c r="N5" s="313" t="s">
        <v>10</v>
      </c>
      <c r="O5" s="307"/>
      <c r="P5" s="307" t="s">
        <v>10</v>
      </c>
      <c r="Q5" s="307" t="s">
        <v>10</v>
      </c>
      <c r="R5" s="310"/>
      <c r="S5" s="313" t="s">
        <v>10</v>
      </c>
      <c r="T5" s="307" t="s">
        <v>10</v>
      </c>
      <c r="U5" s="307"/>
      <c r="V5" s="307"/>
      <c r="W5" s="310"/>
      <c r="X5" s="105">
        <f t="shared" si="0"/>
        <v>10.5</v>
      </c>
      <c r="Y5" s="105">
        <f t="shared" si="1"/>
        <v>1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90"/>
      <c r="B6" s="8" t="s">
        <v>13</v>
      </c>
      <c r="C6" s="289"/>
      <c r="D6" s="305"/>
      <c r="E6" s="308"/>
      <c r="F6" s="308"/>
      <c r="G6" s="308" t="s">
        <v>10</v>
      </c>
      <c r="H6" s="311" t="s">
        <v>10</v>
      </c>
      <c r="I6" s="314"/>
      <c r="J6" s="308" t="s">
        <v>10</v>
      </c>
      <c r="K6" s="308" t="s">
        <v>10</v>
      </c>
      <c r="L6" s="308"/>
      <c r="M6" s="311" t="s">
        <v>10</v>
      </c>
      <c r="N6" s="314" t="s">
        <v>10</v>
      </c>
      <c r="O6" s="308"/>
      <c r="P6" s="308" t="s">
        <v>10</v>
      </c>
      <c r="Q6" s="308" t="s">
        <v>10</v>
      </c>
      <c r="R6" s="311"/>
      <c r="S6" s="314" t="s">
        <v>10</v>
      </c>
      <c r="T6" s="308" t="s">
        <v>10</v>
      </c>
      <c r="U6" s="308"/>
      <c r="V6" s="308"/>
      <c r="W6" s="311"/>
      <c r="X6" s="106">
        <f t="shared" si="0"/>
        <v>10.5</v>
      </c>
      <c r="Y6" s="106">
        <f t="shared" si="1"/>
        <v>1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6" customHeight="1" x14ac:dyDescent="0.2">
      <c r="A7" s="88" t="s">
        <v>3</v>
      </c>
      <c r="B7" s="89"/>
      <c r="C7" s="18" t="s">
        <v>4</v>
      </c>
      <c r="D7" s="48">
        <v>1</v>
      </c>
      <c r="E7" s="49">
        <v>2</v>
      </c>
      <c r="F7" s="49">
        <v>3</v>
      </c>
      <c r="G7" s="49">
        <v>4</v>
      </c>
      <c r="H7" s="49">
        <v>5</v>
      </c>
      <c r="I7" s="49">
        <v>6</v>
      </c>
      <c r="J7" s="49">
        <v>7</v>
      </c>
      <c r="K7" s="49">
        <v>8</v>
      </c>
      <c r="L7" s="49">
        <v>9</v>
      </c>
      <c r="M7" s="49">
        <v>10</v>
      </c>
      <c r="N7" s="49">
        <v>11</v>
      </c>
      <c r="O7" s="49">
        <v>12</v>
      </c>
      <c r="P7" s="49">
        <v>13</v>
      </c>
      <c r="Q7" s="49">
        <v>14</v>
      </c>
      <c r="R7" s="49">
        <v>15</v>
      </c>
      <c r="S7" s="49">
        <v>16</v>
      </c>
      <c r="T7" s="49">
        <v>17</v>
      </c>
      <c r="U7" s="49">
        <v>18</v>
      </c>
      <c r="V7" s="49">
        <v>19</v>
      </c>
      <c r="W7" s="50">
        <v>20</v>
      </c>
      <c r="X7" s="40" t="s">
        <v>5</v>
      </c>
      <c r="Y7" s="41" t="s">
        <v>6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6" hidden="1" customHeight="1" x14ac:dyDescent="0.2">
      <c r="A8" s="13"/>
      <c r="B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6" hidden="1" customHeight="1" x14ac:dyDescent="0.2">
      <c r="A9" s="13"/>
      <c r="B9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6" hidden="1" customHeight="1" x14ac:dyDescent="0.2">
      <c r="A10" s="13"/>
      <c r="B1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6" hidden="1" customHeight="1" x14ac:dyDescent="0.2">
      <c r="A11" s="13"/>
      <c r="B1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6" hidden="1" customHeight="1" x14ac:dyDescent="0.2">
      <c r="A12" s="13"/>
      <c r="B1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6" hidden="1" customHeight="1" x14ac:dyDescent="0.2">
      <c r="A13" s="13"/>
      <c r="B1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6" hidden="1" customHeight="1" x14ac:dyDescent="0.2">
      <c r="A14" s="13"/>
      <c r="B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6" hidden="1" customHeight="1" x14ac:dyDescent="0.2">
      <c r="A15" s="13"/>
      <c r="B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hidden="1" customHeight="1" x14ac:dyDescent="0.2">
      <c r="A16" s="13"/>
      <c r="B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7</v>
      </c>
      <c r="B97" s="42" t="s">
        <v>15</v>
      </c>
      <c r="C97" s="107" t="s">
        <v>16</v>
      </c>
      <c r="D97" s="108"/>
      <c r="E97" s="108"/>
      <c r="F97" s="108"/>
      <c r="G97" s="108"/>
      <c r="H97" s="108"/>
      <c r="I97" s="108"/>
      <c r="J97" s="108"/>
      <c r="K97" s="108"/>
      <c r="L97" s="108"/>
      <c r="M97" s="109" t="s">
        <v>17</v>
      </c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1">
        <v>2.5</v>
      </c>
      <c r="AA97" s="111"/>
      <c r="AB97" s="111"/>
      <c r="AC97" s="111"/>
      <c r="AD97" s="111"/>
      <c r="AE97" s="111"/>
      <c r="AF97" s="112"/>
      <c r="AG97" s="113" t="s">
        <v>18</v>
      </c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5"/>
      <c r="AW97" s="70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62" t="s">
        <v>19</v>
      </c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3"/>
      <c r="CL97" s="293" t="str">
        <f>Thickness!CL97</f>
        <v xml:space="preserve">INTERNATIONAL PAPER </v>
      </c>
      <c r="CM97" s="294"/>
      <c r="CN97" s="294"/>
      <c r="CO97" s="294"/>
      <c r="CP97" s="294"/>
      <c r="CQ97" s="294"/>
      <c r="CR97" s="294"/>
      <c r="CS97" s="294"/>
      <c r="CT97" s="294"/>
      <c r="CU97" s="294"/>
      <c r="CV97" s="294"/>
      <c r="CW97" s="294"/>
      <c r="CX97" s="294"/>
      <c r="CY97" s="294"/>
      <c r="CZ97" s="294"/>
      <c r="DA97" s="294"/>
      <c r="DB97" s="294"/>
      <c r="DC97" s="294"/>
      <c r="DD97" s="294"/>
      <c r="DE97" s="294"/>
      <c r="DF97" s="294"/>
      <c r="DG97" s="294"/>
      <c r="DH97" s="294"/>
      <c r="DI97" s="294"/>
      <c r="DJ97" s="294"/>
      <c r="DK97" s="294"/>
      <c r="DL97" s="294"/>
      <c r="DM97" s="294"/>
      <c r="DN97" s="294"/>
      <c r="DO97" s="294"/>
      <c r="DP97" s="294"/>
      <c r="DQ97" s="294"/>
      <c r="DR97" s="294"/>
      <c r="DS97" s="294"/>
      <c r="DT97" s="294"/>
      <c r="DU97" s="294"/>
      <c r="DV97" s="294"/>
      <c r="DW97" s="294"/>
      <c r="DX97" s="294"/>
      <c r="DY97" s="294"/>
      <c r="DZ97" s="295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16" t="s">
        <v>21</v>
      </c>
      <c r="B98" s="43" t="s">
        <v>22</v>
      </c>
      <c r="C98" s="117" t="s">
        <v>23</v>
      </c>
      <c r="D98" s="118"/>
      <c r="E98" s="118"/>
      <c r="F98" s="118"/>
      <c r="G98" s="118"/>
      <c r="H98" s="118"/>
      <c r="I98" s="118"/>
      <c r="J98" s="118"/>
      <c r="K98" s="118"/>
      <c r="L98" s="118"/>
      <c r="M98" s="119" t="s">
        <v>24</v>
      </c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1" t="s">
        <v>25</v>
      </c>
      <c r="AA98" s="121"/>
      <c r="AB98" s="121"/>
      <c r="AC98" s="121"/>
      <c r="AD98" s="121"/>
      <c r="AE98" s="121"/>
      <c r="AF98" s="121"/>
      <c r="AG98" s="122">
        <f>TRUNC(MAX(D4:W6),3)</f>
        <v>0.188</v>
      </c>
      <c r="AH98" s="123"/>
      <c r="AI98" s="123"/>
      <c r="AJ98" s="123"/>
      <c r="AK98" s="123"/>
      <c r="AL98" s="124" t="s">
        <v>26</v>
      </c>
      <c r="AM98" s="125"/>
      <c r="AN98" s="125"/>
      <c r="AO98" s="125"/>
      <c r="AP98" s="125"/>
      <c r="AQ98" s="125"/>
      <c r="AR98" s="125"/>
      <c r="AS98" s="125"/>
      <c r="AT98" s="125"/>
      <c r="AU98" s="125"/>
      <c r="AV98" s="126"/>
      <c r="AW98" s="72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5"/>
      <c r="CL98" s="296" t="str">
        <f>Thickness!CL98</f>
        <v>RIVERDALE MILL</v>
      </c>
      <c r="CM98" s="297"/>
      <c r="CN98" s="297"/>
      <c r="CO98" s="297"/>
      <c r="CP98" s="297"/>
      <c r="CQ98" s="297"/>
      <c r="CR98" s="297"/>
      <c r="CS98" s="297"/>
      <c r="CT98" s="297"/>
      <c r="CU98" s="297"/>
      <c r="CV98" s="297"/>
      <c r="CW98" s="297"/>
      <c r="CX98" s="297"/>
      <c r="CY98" s="297"/>
      <c r="CZ98" s="297"/>
      <c r="DA98" s="297"/>
      <c r="DB98" s="297"/>
      <c r="DC98" s="297"/>
      <c r="DD98" s="297"/>
      <c r="DE98" s="297"/>
      <c r="DF98" s="297"/>
      <c r="DG98" s="297"/>
      <c r="DH98" s="297"/>
      <c r="DI98" s="297"/>
      <c r="DJ98" s="297"/>
      <c r="DK98" s="297"/>
      <c r="DL98" s="297"/>
      <c r="DM98" s="297"/>
      <c r="DN98" s="297"/>
      <c r="DO98" s="297"/>
      <c r="DP98" s="297"/>
      <c r="DQ98" s="297"/>
      <c r="DR98" s="297"/>
      <c r="DS98" s="297"/>
      <c r="DT98" s="297"/>
      <c r="DU98" s="297"/>
      <c r="DV98" s="297"/>
      <c r="DW98" s="297"/>
      <c r="DX98" s="297"/>
      <c r="DY98" s="297"/>
      <c r="DZ98" s="298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16"/>
      <c r="B99" s="44" t="s">
        <v>28</v>
      </c>
      <c r="C99" s="127" t="s">
        <v>29</v>
      </c>
      <c r="D99" s="128"/>
      <c r="E99" s="128"/>
      <c r="F99" s="128"/>
      <c r="G99" s="128"/>
      <c r="H99" s="128"/>
      <c r="I99" s="128"/>
      <c r="J99" s="128"/>
      <c r="K99" s="128"/>
      <c r="L99" s="128"/>
      <c r="M99" s="119" t="s">
        <v>30</v>
      </c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9">
        <v>0.16500000000000001</v>
      </c>
      <c r="AA99" s="129"/>
      <c r="AB99" s="129"/>
      <c r="AC99" s="129"/>
      <c r="AD99" s="129"/>
      <c r="AE99" s="129"/>
      <c r="AF99" s="129"/>
      <c r="AG99" s="130">
        <f>TRUNC(AVERAGE(D4:W6),3)</f>
        <v>0.18099999999999999</v>
      </c>
      <c r="AH99" s="131"/>
      <c r="AI99" s="131"/>
      <c r="AJ99" s="131"/>
      <c r="AK99" s="131"/>
      <c r="AL99" s="132" t="s">
        <v>31</v>
      </c>
      <c r="AM99" s="133"/>
      <c r="AN99" s="133"/>
      <c r="AO99" s="133"/>
      <c r="AP99" s="133"/>
      <c r="AQ99" s="133"/>
      <c r="AR99" s="133"/>
      <c r="AS99" s="133"/>
      <c r="AT99" s="133"/>
      <c r="AU99" s="133"/>
      <c r="AV99" s="134"/>
      <c r="AW99" s="72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5"/>
      <c r="CL99" s="290" t="s">
        <v>81</v>
      </c>
      <c r="CM99" s="291"/>
      <c r="CN99" s="291"/>
      <c r="CO99" s="291"/>
      <c r="CP99" s="291"/>
      <c r="CQ99" s="291"/>
      <c r="CR99" s="291"/>
      <c r="CS99" s="291"/>
      <c r="CT99" s="291"/>
      <c r="CU99" s="291"/>
      <c r="CV99" s="291"/>
      <c r="CW99" s="291"/>
      <c r="CX99" s="291"/>
      <c r="CY99" s="291"/>
      <c r="CZ99" s="291"/>
      <c r="DA99" s="291"/>
      <c r="DB99" s="291"/>
      <c r="DC99" s="291"/>
      <c r="DD99" s="291"/>
      <c r="DE99" s="291"/>
      <c r="DF99" s="291"/>
      <c r="DG99" s="291"/>
      <c r="DH99" s="291"/>
      <c r="DI99" s="291"/>
      <c r="DJ99" s="291"/>
      <c r="DK99" s="291"/>
      <c r="DL99" s="291"/>
      <c r="DM99" s="291"/>
      <c r="DN99" s="291"/>
      <c r="DO99" s="291"/>
      <c r="DP99" s="291"/>
      <c r="DQ99" s="291"/>
      <c r="DR99" s="291"/>
      <c r="DS99" s="291"/>
      <c r="DT99" s="291"/>
      <c r="DU99" s="291"/>
      <c r="DV99" s="291"/>
      <c r="DW99" s="291"/>
      <c r="DX99" s="291"/>
      <c r="DY99" s="291"/>
      <c r="DZ99" s="292"/>
    </row>
    <row r="100" spans="1:182" ht="36" customHeight="1" x14ac:dyDescent="0.2">
      <c r="A100" s="116"/>
      <c r="B100" s="45" t="s">
        <v>33</v>
      </c>
      <c r="C100" s="135" t="s">
        <v>34</v>
      </c>
      <c r="D100" s="136"/>
      <c r="E100" s="136"/>
      <c r="F100" s="136"/>
      <c r="G100" s="136"/>
      <c r="H100" s="136"/>
      <c r="I100" s="136"/>
      <c r="J100" s="136"/>
      <c r="K100" s="136"/>
      <c r="L100" s="136"/>
      <c r="M100" s="119" t="s">
        <v>35</v>
      </c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37">
        <v>7.4999999999999997E-2</v>
      </c>
      <c r="AA100" s="137"/>
      <c r="AB100" s="137"/>
      <c r="AC100" s="137"/>
      <c r="AD100" s="137"/>
      <c r="AE100" s="137"/>
      <c r="AF100" s="137"/>
      <c r="AG100" s="138">
        <f>TRUNC(MIN(D4:W6),3)</f>
        <v>0.17599999999999999</v>
      </c>
      <c r="AH100" s="131"/>
      <c r="AI100" s="131"/>
      <c r="AJ100" s="131"/>
      <c r="AK100" s="131"/>
      <c r="AL100" s="132" t="s">
        <v>36</v>
      </c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4"/>
      <c r="AW100" s="74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7"/>
      <c r="CL100" s="290" t="str">
        <f>Thickness!CL100</f>
        <v>NO. 1 RECOVERY BOILER</v>
      </c>
      <c r="CM100" s="291"/>
      <c r="CN100" s="291"/>
      <c r="CO100" s="291"/>
      <c r="CP100" s="291"/>
      <c r="CQ100" s="291"/>
      <c r="CR100" s="291"/>
      <c r="CS100" s="291"/>
      <c r="CT100" s="291"/>
      <c r="CU100" s="291"/>
      <c r="CV100" s="291"/>
      <c r="CW100" s="291"/>
      <c r="CX100" s="291"/>
      <c r="CY100" s="291"/>
      <c r="CZ100" s="291"/>
      <c r="DA100" s="291"/>
      <c r="DB100" s="291"/>
      <c r="DC100" s="291"/>
      <c r="DD100" s="291"/>
      <c r="DE100" s="291"/>
      <c r="DF100" s="291"/>
      <c r="DG100" s="291"/>
      <c r="DH100" s="291"/>
      <c r="DI100" s="291"/>
      <c r="DJ100" s="291"/>
      <c r="DK100" s="291"/>
      <c r="DL100" s="291"/>
      <c r="DM100" s="291"/>
      <c r="DN100" s="291"/>
      <c r="DO100" s="291"/>
      <c r="DP100" s="291"/>
      <c r="DQ100" s="291"/>
      <c r="DR100" s="291"/>
      <c r="DS100" s="291"/>
      <c r="DT100" s="291"/>
      <c r="DU100" s="291"/>
      <c r="DV100" s="291"/>
      <c r="DW100" s="291"/>
      <c r="DX100" s="291"/>
      <c r="DY100" s="291"/>
      <c r="DZ100" s="292"/>
    </row>
    <row r="101" spans="1:182" ht="36" customHeight="1" x14ac:dyDescent="0.2">
      <c r="A101" s="116"/>
      <c r="B101" s="46" t="s">
        <v>38</v>
      </c>
      <c r="C101" s="139" t="s">
        <v>39</v>
      </c>
      <c r="D101" s="136"/>
      <c r="E101" s="136"/>
      <c r="F101" s="136"/>
      <c r="G101" s="136"/>
      <c r="H101" s="136"/>
      <c r="I101" s="136"/>
      <c r="J101" s="136"/>
      <c r="K101" s="136"/>
      <c r="L101" s="136"/>
      <c r="M101" s="140" t="s">
        <v>40</v>
      </c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2">
        <v>0.115</v>
      </c>
      <c r="AA101" s="142"/>
      <c r="AB101" s="142"/>
      <c r="AC101" s="142"/>
      <c r="AD101" s="142"/>
      <c r="AE101" s="142"/>
      <c r="AF101" s="142"/>
      <c r="AG101" s="143">
        <f>STDEV(D4:W6)</f>
        <v>3.7549966711037208E-3</v>
      </c>
      <c r="AH101" s="144"/>
      <c r="AI101" s="144"/>
      <c r="AJ101" s="144"/>
      <c r="AK101" s="144"/>
      <c r="AL101" s="145" t="s">
        <v>41</v>
      </c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7"/>
      <c r="AW101" s="68" t="str">
        <f>Thickness!AW101</f>
        <v>Job #  H449364  P.O. #  0018342455 W.O. #  N/A   Date:  5/05/2025</v>
      </c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3"/>
      <c r="CL101" s="285" t="str">
        <f>Thickness!CL101</f>
        <v>10 SOOTBLOWER PASS A1</v>
      </c>
      <c r="CM101" s="286"/>
      <c r="CN101" s="286"/>
      <c r="CO101" s="286"/>
      <c r="CP101" s="286"/>
      <c r="CQ101" s="286"/>
      <c r="CR101" s="286"/>
      <c r="CS101" s="286"/>
      <c r="CT101" s="286"/>
      <c r="CU101" s="286"/>
      <c r="CV101" s="286"/>
      <c r="CW101" s="286"/>
      <c r="CX101" s="286"/>
      <c r="CY101" s="286"/>
      <c r="CZ101" s="286"/>
      <c r="DA101" s="286"/>
      <c r="DB101" s="286"/>
      <c r="DC101" s="286"/>
      <c r="DD101" s="286"/>
      <c r="DE101" s="286"/>
      <c r="DF101" s="286"/>
      <c r="DG101" s="286"/>
      <c r="DH101" s="286"/>
      <c r="DI101" s="286"/>
      <c r="DJ101" s="286"/>
      <c r="DK101" s="286"/>
      <c r="DL101" s="286"/>
      <c r="DM101" s="286"/>
      <c r="DN101" s="286"/>
      <c r="DO101" s="286"/>
      <c r="DP101" s="286"/>
      <c r="DQ101" s="286"/>
      <c r="DR101" s="286"/>
      <c r="DS101" s="286"/>
      <c r="DT101" s="286"/>
      <c r="DU101" s="286"/>
      <c r="DV101" s="286"/>
      <c r="DW101" s="286"/>
      <c r="DX101" s="286"/>
      <c r="DY101" s="286"/>
      <c r="DZ101" s="287"/>
    </row>
    <row r="102" spans="1:182" ht="36" customHeight="1" x14ac:dyDescent="0.35">
      <c r="B102" s="16" t="s">
        <v>82</v>
      </c>
    </row>
    <row r="103" spans="1:182" ht="36" customHeight="1" x14ac:dyDescent="0.2"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62" t="s">
        <v>19</v>
      </c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5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5"/>
    </row>
    <row r="108" spans="1:182" x14ac:dyDescent="0.2"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7"/>
    </row>
    <row r="110" spans="1:182" x14ac:dyDescent="0.2">
      <c r="BR110" s="62" t="s">
        <v>45</v>
      </c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3"/>
    </row>
    <row r="111" spans="1:182" x14ac:dyDescent="0.2"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5"/>
    </row>
    <row r="112" spans="1:182" x14ac:dyDescent="0.2"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5"/>
    </row>
    <row r="113" spans="70:89" x14ac:dyDescent="0.2"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7"/>
    </row>
    <row r="115" spans="70:89" x14ac:dyDescent="0.2">
      <c r="BR115" s="62" t="s">
        <v>46</v>
      </c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3"/>
    </row>
    <row r="116" spans="70:89" x14ac:dyDescent="0.2"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5"/>
    </row>
    <row r="117" spans="70:89" x14ac:dyDescent="0.2"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5"/>
    </row>
    <row r="118" spans="70:89" x14ac:dyDescent="0.2"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7"/>
    </row>
  </sheetData>
  <mergeCells count="67">
    <mergeCell ref="T4:T6"/>
    <mergeCell ref="U4:U6"/>
    <mergeCell ref="V4:V6"/>
    <mergeCell ref="W4:W6"/>
    <mergeCell ref="O4:O6"/>
    <mergeCell ref="P4:P6"/>
    <mergeCell ref="Q4:Q6"/>
    <mergeCell ref="R4:R6"/>
    <mergeCell ref="S4:S6"/>
    <mergeCell ref="A7:B7"/>
    <mergeCell ref="D4:D6"/>
    <mergeCell ref="E4:E6"/>
    <mergeCell ref="F4:F6"/>
    <mergeCell ref="G4:G6"/>
    <mergeCell ref="AL100:AV100"/>
    <mergeCell ref="C101:L101"/>
    <mergeCell ref="M101:Y101"/>
    <mergeCell ref="Z101:AF101"/>
    <mergeCell ref="AG101:AK101"/>
    <mergeCell ref="AL101:AV101"/>
    <mergeCell ref="AL98:AV98"/>
    <mergeCell ref="C99:L99"/>
    <mergeCell ref="M99:Y99"/>
    <mergeCell ref="Z99:AF99"/>
    <mergeCell ref="AG99:AK99"/>
    <mergeCell ref="AL99:AV99"/>
    <mergeCell ref="A98:A101"/>
    <mergeCell ref="C98:L98"/>
    <mergeCell ref="M98:Y98"/>
    <mergeCell ref="Z98:AF98"/>
    <mergeCell ref="AG98:AK98"/>
    <mergeCell ref="C100:L100"/>
    <mergeCell ref="M100:Y100"/>
    <mergeCell ref="Z100:AF100"/>
    <mergeCell ref="AG100:AK100"/>
    <mergeCell ref="A5:A6"/>
    <mergeCell ref="A3:B3"/>
    <mergeCell ref="A1:B2"/>
    <mergeCell ref="C1:DP1"/>
    <mergeCell ref="DQ1:DZ1"/>
    <mergeCell ref="C2:DP2"/>
    <mergeCell ref="DQ2:DZ2"/>
    <mergeCell ref="X4:X6"/>
    <mergeCell ref="Y4:Y6"/>
    <mergeCell ref="H4:H6"/>
    <mergeCell ref="I4:I6"/>
    <mergeCell ref="J4:J6"/>
    <mergeCell ref="K4:K6"/>
    <mergeCell ref="L4:L6"/>
    <mergeCell ref="M4:M6"/>
    <mergeCell ref="N4:N6"/>
    <mergeCell ref="CL101:DZ101"/>
    <mergeCell ref="BR105:CK108"/>
    <mergeCell ref="BR110:CK113"/>
    <mergeCell ref="BR115:CK118"/>
    <mergeCell ref="C4:C6"/>
    <mergeCell ref="AW101:CK101"/>
    <mergeCell ref="CL99:DZ99"/>
    <mergeCell ref="CL100:DZ100"/>
    <mergeCell ref="BR97:CK100"/>
    <mergeCell ref="CL97:DZ97"/>
    <mergeCell ref="CL98:DZ98"/>
    <mergeCell ref="AW97:BQ100"/>
    <mergeCell ref="C97:L97"/>
    <mergeCell ref="M97:Y97"/>
    <mergeCell ref="Z97:AF97"/>
    <mergeCell ref="AG97:AV97"/>
  </mergeCells>
  <conditionalFormatting sqref="D4:W6 AG98:AG100">
    <cfRule type="cellIs" dxfId="10" priority="1" operator="between">
      <formula>0.001</formula>
      <formula>0.075</formula>
    </cfRule>
    <cfRule type="cellIs" dxfId="9" priority="2" operator="between">
      <formula>0.076</formula>
      <formula>0.115</formula>
    </cfRule>
    <cfRule type="cellIs" dxfId="8" priority="3" operator="between">
      <formula>0.116</formula>
      <formula>0.125</formula>
    </cfRule>
    <cfRule type="cellIs" dxfId="7" priority="4" operator="between">
      <formula>0.126</formula>
      <formula>0.135</formula>
    </cfRule>
    <cfRule type="cellIs" dxfId="6" priority="5" operator="between">
      <formula>0.136</formula>
      <formula>0.145</formula>
    </cfRule>
    <cfRule type="cellIs" dxfId="5" priority="6" operator="between">
      <formula>0.146</formula>
      <formula>0.155</formula>
    </cfRule>
    <cfRule type="cellIs" dxfId="4" priority="7" operator="between">
      <formula>0.156</formula>
      <formula>0.165</formula>
    </cfRule>
    <cfRule type="cellIs" dxfId="3" priority="8" operator="between">
      <formula>0.166</formula>
      <formula>0.175</formula>
    </cfRule>
    <cfRule type="cellIs" dxfId="2" priority="9" operator="between">
      <formula>0.176</formula>
      <formula>0.185</formula>
    </cfRule>
    <cfRule type="cellIs" dxfId="1" priority="10" operator="between">
      <formula>0.186</formula>
      <formula>0.999</formula>
    </cfRule>
    <cfRule type="containsText" dxfId="0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scale="36"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Thickness</vt:lpstr>
      <vt:lpstr>Corrosion</vt:lpstr>
      <vt:lpstr>Projection</vt:lpstr>
      <vt:lpstr>Retirement</vt:lpstr>
      <vt:lpstr>Low</vt:lpstr>
      <vt:lpstr>Corrosion!Print_Area</vt:lpstr>
      <vt:lpstr>Low!Print_Area</vt:lpstr>
      <vt:lpstr>Projection!Print_Area</vt:lpstr>
      <vt:lpstr>Retirement!Print_Area</vt:lpstr>
      <vt:lpstr>Thickness!Print_Area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Smith</dc:creator>
  <cp:lastModifiedBy>Dave Smith</cp:lastModifiedBy>
  <cp:lastPrinted>2025-05-11T14:51:31Z</cp:lastPrinted>
  <dcterms:created xsi:type="dcterms:W3CDTF">2007-12-19T20:22:39Z</dcterms:created>
  <dcterms:modified xsi:type="dcterms:W3CDTF">2025-05-11T14:52:35Z</dcterms:modified>
</cp:coreProperties>
</file>