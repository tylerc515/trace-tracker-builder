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0DAF236A-76C0-49C8-A248-2448B22CF0C4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state="hidden" r:id="rId2"/>
    <sheet name="Projection" sheetId="3" state="hidden" r:id="rId3"/>
    <sheet name="Retirement" sheetId="4" state="hidden" r:id="rId4"/>
    <sheet name="Low" sheetId="5" state="hidden" r:id="rId5"/>
  </sheets>
  <definedNames>
    <definedName name="_xlnm.Print_Area" localSheetId="1">Corrosion!$A$1:$DZ$101</definedName>
    <definedName name="_xlnm.Print_Area" localSheetId="4">Low!$A$1:$DZ$101</definedName>
    <definedName name="_xlnm.Print_Area" localSheetId="2">Projection!$A$1:$DZ$101</definedName>
    <definedName name="_xlnm.Print_Area" localSheetId="3">Retirement!$A$1:$DZ$101</definedName>
    <definedName name="_xlnm.Print_Area" localSheetId="0">Thickness!$A$1:$DZ$101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01" i="5" l="1"/>
  <c r="AW101" i="5"/>
  <c r="CL100" i="5"/>
  <c r="CL98" i="5"/>
  <c r="CL97" i="5"/>
  <c r="BV15" i="5"/>
  <c r="BU15" i="5"/>
  <c r="BV14" i="5"/>
  <c r="BU14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BV12" i="5" s="1"/>
  <c r="G13" i="5"/>
  <c r="F13" i="5"/>
  <c r="E13" i="5"/>
  <c r="D13" i="5"/>
  <c r="BU11" i="5" s="1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BV9" i="5" s="1"/>
  <c r="H10" i="5"/>
  <c r="G10" i="5"/>
  <c r="F10" i="5"/>
  <c r="BU10" i="5" s="1"/>
  <c r="E10" i="5"/>
  <c r="BU9" i="5" s="1"/>
  <c r="D10" i="5"/>
  <c r="BV10" i="5" s="1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V6" i="5" s="1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AG99" i="5" s="1"/>
  <c r="L4" i="5"/>
  <c r="K4" i="5"/>
  <c r="J4" i="5"/>
  <c r="I4" i="5"/>
  <c r="H4" i="5"/>
  <c r="G4" i="5"/>
  <c r="F4" i="5"/>
  <c r="E4" i="5"/>
  <c r="D4" i="5"/>
  <c r="AG101" i="5" s="1"/>
  <c r="C1" i="5"/>
  <c r="A1" i="5"/>
  <c r="CL101" i="4"/>
  <c r="AW101" i="4"/>
  <c r="CL100" i="4"/>
  <c r="CL98" i="4"/>
  <c r="CL97" i="4"/>
  <c r="C1" i="4"/>
  <c r="A1" i="4"/>
  <c r="CL101" i="3"/>
  <c r="AW101" i="3"/>
  <c r="AG101" i="3"/>
  <c r="CL100" i="3"/>
  <c r="AG100" i="3"/>
  <c r="AG99" i="3"/>
  <c r="CL98" i="3"/>
  <c r="AG98" i="3"/>
  <c r="CL97" i="3"/>
  <c r="BV15" i="3"/>
  <c r="BU15" i="3"/>
  <c r="BV14" i="3"/>
  <c r="BU14" i="3"/>
  <c r="BV13" i="3"/>
  <c r="BU13" i="3"/>
  <c r="BV12" i="3"/>
  <c r="BU12" i="3"/>
  <c r="BV11" i="3"/>
  <c r="BU11" i="3"/>
  <c r="BV10" i="3"/>
  <c r="BU10" i="3"/>
  <c r="BV9" i="3"/>
  <c r="BU9" i="3"/>
  <c r="BV8" i="3"/>
  <c r="BU8" i="3"/>
  <c r="BV7" i="3"/>
  <c r="BU7" i="3"/>
  <c r="BV6" i="3"/>
  <c r="BU6" i="3"/>
  <c r="BV5" i="3"/>
  <c r="BU5" i="3"/>
  <c r="BV4" i="3"/>
  <c r="BU4" i="3"/>
  <c r="C1" i="3"/>
  <c r="A1" i="3"/>
  <c r="CL101" i="2"/>
  <c r="AW101" i="2"/>
  <c r="CL100" i="2"/>
  <c r="CL98" i="2"/>
  <c r="CL97" i="2"/>
  <c r="BV15" i="2"/>
  <c r="BU15" i="2"/>
  <c r="BV14" i="2"/>
  <c r="BU14" i="2"/>
  <c r="BV13" i="2"/>
  <c r="BU13" i="2"/>
  <c r="BV12" i="2"/>
  <c r="BU12" i="2"/>
  <c r="BV11" i="2"/>
  <c r="BU11" i="2"/>
  <c r="BV10" i="2"/>
  <c r="BU10" i="2"/>
  <c r="BV9" i="2"/>
  <c r="BU9" i="2"/>
  <c r="BV8" i="2"/>
  <c r="BU8" i="2"/>
  <c r="BV7" i="2"/>
  <c r="BU7" i="2"/>
  <c r="BV6" i="2"/>
  <c r="BU6" i="2"/>
  <c r="BV5" i="2"/>
  <c r="BU5" i="2"/>
  <c r="BV4" i="2"/>
  <c r="BU4" i="2"/>
  <c r="C1" i="2"/>
  <c r="A1" i="2"/>
  <c r="AG101" i="1"/>
  <c r="AG100" i="1"/>
  <c r="AG99" i="1"/>
  <c r="AG98" i="1"/>
  <c r="BV15" i="1"/>
  <c r="BU15" i="1"/>
  <c r="BV14" i="1"/>
  <c r="BU14" i="1"/>
  <c r="BV13" i="1"/>
  <c r="BU13" i="1"/>
  <c r="BV12" i="1"/>
  <c r="BU12" i="1"/>
  <c r="BV11" i="1"/>
  <c r="BU11" i="1"/>
  <c r="BV10" i="1"/>
  <c r="BU10" i="1"/>
  <c r="BV9" i="1"/>
  <c r="BU9" i="1"/>
  <c r="BV8" i="1"/>
  <c r="BU8" i="1"/>
  <c r="BV7" i="1"/>
  <c r="BU7" i="1"/>
  <c r="BV6" i="1"/>
  <c r="BU6" i="1"/>
  <c r="BV5" i="1"/>
  <c r="BU5" i="1"/>
  <c r="BV4" i="1"/>
  <c r="BU4" i="1"/>
  <c r="BV7" i="5" l="1"/>
  <c r="BU8" i="5"/>
  <c r="BV8" i="5"/>
  <c r="BU13" i="5"/>
  <c r="BU7" i="5"/>
  <c r="BV13" i="5"/>
  <c r="BU4" i="5"/>
  <c r="BV4" i="5"/>
  <c r="BU5" i="5"/>
  <c r="BV5" i="5"/>
  <c r="BU6" i="5"/>
  <c r="AG98" i="5"/>
  <c r="BV11" i="5"/>
  <c r="BU12" i="5"/>
  <c r="AG100" i="5"/>
</calcChain>
</file>

<file path=xl/sharedStrings.xml><?xml version="1.0" encoding="utf-8"?>
<sst xmlns="http://schemas.openxmlformats.org/spreadsheetml/2006/main" count="916" uniqueCount="74">
  <si>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</si>
  <si>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</si>
  <si>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</si>
  <si>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</si>
  <si>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</si>
  <si>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</si>
  <si>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</si>
  <si>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A</t>
  </si>
  <si>
    <t>FRONT WALL</t>
  </si>
  <si>
    <t>L</t>
  </si>
  <si>
    <t/>
  </si>
  <si>
    <t>6 IN SCAN</t>
  </si>
  <si>
    <t>C</t>
  </si>
  <si>
    <t>ABOVE STUD LINE</t>
  </si>
  <si>
    <t>R</t>
  </si>
  <si>
    <t>LEFT WALL</t>
  </si>
  <si>
    <t>REAR WALL</t>
  </si>
  <si>
    <t>RIGHT WALL</t>
  </si>
  <si>
    <t>OUTSIDE DIAMETER:</t>
  </si>
  <si>
    <t>INSPECTION RESULTS</t>
  </si>
  <si>
    <t>APPLIED TECHNICAL SERVICES 
1049 Triad Court
Marietta, Georgia 30062
Office # (770) 423-1400
Fax # (770) 514-3299
www.atslab.com</t>
  </si>
  <si>
    <t xml:space="preserve">INTERNATIONAL PAPER </t>
  </si>
  <si>
    <t>LEGEND</t>
  </si>
  <si>
    <t>TUBE MATERIAL:</t>
  </si>
  <si>
    <t>SA-210 A1</t>
  </si>
  <si>
    <t>MAX. THICKNESS</t>
  </si>
  <si>
    <t>RIVERDALE MILL</t>
  </si>
  <si>
    <t>NOMINAL WALL:</t>
  </si>
  <si>
    <t>AVG. THICKNESS</t>
  </si>
  <si>
    <t>TUBE WALL THICKNESS SURVEY</t>
  </si>
  <si>
    <t>ASME MIN:</t>
  </si>
  <si>
    <t>MIN. THICKNESS</t>
  </si>
  <si>
    <t>NO. 1 RECOVERY BOILER</t>
  </si>
  <si>
    <t>MILL FLAG:</t>
  </si>
  <si>
    <t>STD DEV.</t>
  </si>
  <si>
    <t>Job #  H449364  P.O. #  0018342455 W.O. #  N/A   Date:  5/05/2025</t>
  </si>
  <si>
    <t>99 ABOVE STUD LINE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</si>
  <si>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</si>
  <si>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</si>
  <si>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</si>
  <si>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</si>
  <si>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</si>
  <si>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</si>
  <si>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</si>
  <si>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</si>
  <si>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</si>
  <si>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</si>
  <si>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2012, 2013, 2014, 2016</t>
  </si>
  <si>
    <t>CALCULATED CORROSION RATE</t>
  </si>
  <si>
    <t>10-20 mpy (LOSS)</t>
  </si>
  <si>
    <t>INSPECTION DATA</t>
  </si>
  <si>
    <t>&gt; 20 mpy (LOSS)</t>
  </si>
  <si>
    <t>ND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</si>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</sst>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.000"/>
    <numFmt numFmtId="166" formatCode="0.0"/>
    <numFmt numFmtId="167" formatCode="[$-409]mmmm\ yyyy;@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14" fillId="20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17" xfId="0" applyNumberFormat="1" applyFont="1" applyBorder="1" applyAlignment="1">
      <alignment horizontal="center" vertical="center" textRotation="180"/>
    </xf>
    <xf numFmtId="1" fontId="7" fillId="0" borderId="18" xfId="0" applyNumberFormat="1" applyFont="1" applyBorder="1" applyAlignment="1">
      <alignment horizontal="center" vertical="center" textRotation="180"/>
    </xf>
    <xf numFmtId="1" fontId="7" fillId="0" borderId="21" xfId="0" applyNumberFormat="1" applyFont="1" applyBorder="1" applyAlignment="1">
      <alignment horizontal="center" vertical="center" textRotation="180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165" fontId="14" fillId="20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1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0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1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1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0" borderId="10" xfId="0" quotePrefix="1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6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76">
        <v>2025</v>
      </c>
      <c r="B1" s="77"/>
      <c r="C1" s="80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2"/>
      <c r="DQ1" s="61" t="s">
        <v>0</v>
      </c>
      <c r="DR1" s="62"/>
      <c r="DS1" s="62"/>
      <c r="DT1" s="62"/>
      <c r="DU1" s="62"/>
      <c r="DV1" s="62"/>
      <c r="DW1" s="62"/>
      <c r="DX1" s="62"/>
      <c r="DY1" s="62"/>
      <c r="DZ1" s="63"/>
    </row>
    <row r="2" spans="1:182" s="5" customFormat="1" ht="36" customHeight="1" x14ac:dyDescent="0.2">
      <c r="A2" s="78"/>
      <c r="B2" s="79"/>
      <c r="C2" s="83" t="s">
        <v>1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5"/>
      <c r="DQ2" s="61" t="s">
        <v>2</v>
      </c>
      <c r="DR2" s="62"/>
      <c r="DS2" s="62"/>
      <c r="DT2" s="62"/>
      <c r="DU2" s="62"/>
      <c r="DV2" s="62"/>
      <c r="DW2" s="62"/>
      <c r="DX2" s="62"/>
      <c r="DY2" s="62"/>
      <c r="DZ2" s="63"/>
      <c r="EA2" s="4"/>
    </row>
    <row r="3" spans="1:182" s="5" customFormat="1" ht="36" customHeight="1" x14ac:dyDescent="0.2">
      <c r="A3" s="73" t="s">
        <v>3</v>
      </c>
      <c r="B3" s="74"/>
      <c r="C3" s="18" t="s">
        <v>4</v>
      </c>
      <c r="D3" s="37">
        <v>1</v>
      </c>
      <c r="E3" s="38">
        <v>2</v>
      </c>
      <c r="F3" s="38">
        <v>3</v>
      </c>
      <c r="G3" s="38">
        <v>4</v>
      </c>
      <c r="H3" s="38">
        <v>5</v>
      </c>
      <c r="I3" s="38">
        <v>6</v>
      </c>
      <c r="J3" s="38">
        <v>7</v>
      </c>
      <c r="K3" s="38">
        <v>8</v>
      </c>
      <c r="L3" s="38">
        <v>9</v>
      </c>
      <c r="M3" s="38">
        <v>10</v>
      </c>
      <c r="N3" s="38">
        <v>11</v>
      </c>
      <c r="O3" s="38">
        <v>12</v>
      </c>
      <c r="P3" s="38">
        <v>13</v>
      </c>
      <c r="Q3" s="38">
        <v>14</v>
      </c>
      <c r="R3" s="38">
        <v>15</v>
      </c>
      <c r="S3" s="38">
        <v>16</v>
      </c>
      <c r="T3" s="38">
        <v>17</v>
      </c>
      <c r="U3" s="38">
        <v>18</v>
      </c>
      <c r="V3" s="38">
        <v>19</v>
      </c>
      <c r="W3" s="38">
        <v>20</v>
      </c>
      <c r="X3" s="38">
        <v>21</v>
      </c>
      <c r="Y3" s="38">
        <v>22</v>
      </c>
      <c r="Z3" s="38">
        <v>23</v>
      </c>
      <c r="AA3" s="38">
        <v>24</v>
      </c>
      <c r="AB3" s="38">
        <v>25</v>
      </c>
      <c r="AC3" s="38">
        <v>26</v>
      </c>
      <c r="AD3" s="38">
        <v>27</v>
      </c>
      <c r="AE3" s="38">
        <v>28</v>
      </c>
      <c r="AF3" s="38">
        <v>29</v>
      </c>
      <c r="AG3" s="38">
        <v>30</v>
      </c>
      <c r="AH3" s="38">
        <v>31</v>
      </c>
      <c r="AI3" s="38">
        <v>32</v>
      </c>
      <c r="AJ3" s="38">
        <v>33</v>
      </c>
      <c r="AK3" s="38">
        <v>34</v>
      </c>
      <c r="AL3" s="38">
        <v>35</v>
      </c>
      <c r="AM3" s="38">
        <v>36</v>
      </c>
      <c r="AN3" s="38">
        <v>37</v>
      </c>
      <c r="AO3" s="38">
        <v>38</v>
      </c>
      <c r="AP3" s="38">
        <v>39</v>
      </c>
      <c r="AQ3" s="38">
        <v>40</v>
      </c>
      <c r="AR3" s="38">
        <v>41</v>
      </c>
      <c r="AS3" s="38">
        <v>42</v>
      </c>
      <c r="AT3" s="38">
        <v>43</v>
      </c>
      <c r="AU3" s="38">
        <v>44</v>
      </c>
      <c r="AV3" s="38">
        <v>45</v>
      </c>
      <c r="AW3" s="38">
        <v>46</v>
      </c>
      <c r="AX3" s="38">
        <v>47</v>
      </c>
      <c r="AY3" s="38">
        <v>48</v>
      </c>
      <c r="AZ3" s="38">
        <v>49</v>
      </c>
      <c r="BA3" s="38">
        <v>50</v>
      </c>
      <c r="BB3" s="38">
        <v>51</v>
      </c>
      <c r="BC3" s="38">
        <v>52</v>
      </c>
      <c r="BD3" s="38">
        <v>53</v>
      </c>
      <c r="BE3" s="38">
        <v>54</v>
      </c>
      <c r="BF3" s="38">
        <v>55</v>
      </c>
      <c r="BG3" s="38">
        <v>56</v>
      </c>
      <c r="BH3" s="38">
        <v>57</v>
      </c>
      <c r="BI3" s="38">
        <v>58</v>
      </c>
      <c r="BJ3" s="38">
        <v>59</v>
      </c>
      <c r="BK3" s="38">
        <v>60</v>
      </c>
      <c r="BL3" s="38">
        <v>61</v>
      </c>
      <c r="BM3" s="38">
        <v>62</v>
      </c>
      <c r="BN3" s="38">
        <v>63</v>
      </c>
      <c r="BO3" s="38">
        <v>64</v>
      </c>
      <c r="BP3" s="38">
        <v>65</v>
      </c>
      <c r="BQ3" s="38">
        <v>66</v>
      </c>
      <c r="BR3" s="38">
        <v>67</v>
      </c>
      <c r="BS3" s="38">
        <v>68</v>
      </c>
      <c r="BT3" s="39">
        <v>69</v>
      </c>
      <c r="BU3" s="40" t="s">
        <v>5</v>
      </c>
      <c r="BV3" s="41" t="s">
        <v>6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 t="s">
        <v>10</v>
      </c>
      <c r="E4" s="26" t="s">
        <v>10</v>
      </c>
      <c r="F4" s="26" t="s">
        <v>10</v>
      </c>
      <c r="G4" s="26" t="s">
        <v>10</v>
      </c>
      <c r="H4" s="30" t="s">
        <v>10</v>
      </c>
      <c r="I4" s="33" t="s">
        <v>10</v>
      </c>
      <c r="J4" s="26" t="s">
        <v>10</v>
      </c>
      <c r="K4" s="26" t="s">
        <v>10</v>
      </c>
      <c r="L4" s="26" t="s">
        <v>10</v>
      </c>
      <c r="M4" s="30" t="s">
        <v>10</v>
      </c>
      <c r="N4" s="33" t="s">
        <v>10</v>
      </c>
      <c r="O4" s="26" t="s">
        <v>10</v>
      </c>
      <c r="P4" s="26" t="s">
        <v>10</v>
      </c>
      <c r="Q4" s="26" t="s">
        <v>10</v>
      </c>
      <c r="R4" s="30" t="s">
        <v>10</v>
      </c>
      <c r="S4" s="33" t="s">
        <v>10</v>
      </c>
      <c r="T4" s="26" t="s">
        <v>10</v>
      </c>
      <c r="U4" s="26" t="s">
        <v>10</v>
      </c>
      <c r="V4" s="26" t="s">
        <v>10</v>
      </c>
      <c r="W4" s="30" t="s">
        <v>10</v>
      </c>
      <c r="X4" s="33" t="s">
        <v>10</v>
      </c>
      <c r="Y4" s="26" t="s">
        <v>10</v>
      </c>
      <c r="Z4" s="26" t="s">
        <v>10</v>
      </c>
      <c r="AA4" s="26" t="s">
        <v>10</v>
      </c>
      <c r="AB4" s="30" t="s">
        <v>10</v>
      </c>
      <c r="AC4" s="33" t="s">
        <v>10</v>
      </c>
      <c r="AD4" s="26" t="s">
        <v>10</v>
      </c>
      <c r="AE4" s="26" t="s">
        <v>10</v>
      </c>
      <c r="AF4" s="26" t="s">
        <v>10</v>
      </c>
      <c r="AG4" s="30" t="s">
        <v>10</v>
      </c>
      <c r="AH4" s="33" t="s">
        <v>10</v>
      </c>
      <c r="AI4" s="26" t="s">
        <v>10</v>
      </c>
      <c r="AJ4" s="26" t="s">
        <v>10</v>
      </c>
      <c r="AK4" s="26" t="s">
        <v>10</v>
      </c>
      <c r="AL4" s="30" t="s">
        <v>10</v>
      </c>
      <c r="AM4" s="33" t="s">
        <v>10</v>
      </c>
      <c r="AN4" s="26" t="s">
        <v>10</v>
      </c>
      <c r="AO4" s="26" t="s">
        <v>10</v>
      </c>
      <c r="AP4" s="26" t="s">
        <v>10</v>
      </c>
      <c r="AQ4" s="30" t="s">
        <v>10</v>
      </c>
      <c r="AR4" s="33" t="s">
        <v>10</v>
      </c>
      <c r="AS4" s="26" t="s">
        <v>10</v>
      </c>
      <c r="AT4" s="26" t="s">
        <v>10</v>
      </c>
      <c r="AU4" s="26" t="s">
        <v>10</v>
      </c>
      <c r="AV4" s="30" t="s">
        <v>10</v>
      </c>
      <c r="AW4" s="33" t="s">
        <v>10</v>
      </c>
      <c r="AX4" s="26" t="s">
        <v>10</v>
      </c>
      <c r="AY4" s="26" t="s">
        <v>10</v>
      </c>
      <c r="AZ4" s="26" t="s">
        <v>10</v>
      </c>
      <c r="BA4" s="30" t="s">
        <v>10</v>
      </c>
      <c r="BB4" s="33" t="s">
        <v>10</v>
      </c>
      <c r="BC4" s="26" t="s">
        <v>10</v>
      </c>
      <c r="BD4" s="26" t="s">
        <v>10</v>
      </c>
      <c r="BE4" s="26" t="s">
        <v>10</v>
      </c>
      <c r="BF4" s="30" t="s">
        <v>10</v>
      </c>
      <c r="BG4" s="33" t="s">
        <v>10</v>
      </c>
      <c r="BH4" s="26" t="s">
        <v>10</v>
      </c>
      <c r="BI4" s="26" t="s">
        <v>10</v>
      </c>
      <c r="BJ4" s="26" t="s">
        <v>10</v>
      </c>
      <c r="BK4" s="30" t="s">
        <v>10</v>
      </c>
      <c r="BL4" s="33" t="s">
        <v>10</v>
      </c>
      <c r="BM4" s="26" t="s">
        <v>10</v>
      </c>
      <c r="BN4" s="26" t="s">
        <v>10</v>
      </c>
      <c r="BO4" s="26" t="s">
        <v>10</v>
      </c>
      <c r="BP4" s="30" t="s">
        <v>10</v>
      </c>
      <c r="BQ4" s="33" t="s">
        <v>10</v>
      </c>
      <c r="BR4" s="26" t="s">
        <v>10</v>
      </c>
      <c r="BS4" s="26" t="s">
        <v>10</v>
      </c>
      <c r="BT4" s="30" t="s">
        <v>10</v>
      </c>
      <c r="BU4" s="89">
        <f t="shared" ref="BU4:BU6" si="0">IFERROR(AVERAGE(D4:BT6),0)</f>
        <v>0.23747619047619045</v>
      </c>
      <c r="BV4" s="89">
        <f t="shared" ref="BV4:BV6" si="1">MIN(D4:BT6)</f>
        <v>0.20300000000000001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75">
        <v>8.3000000000000004E-2</v>
      </c>
      <c r="B5" s="7" t="s">
        <v>11</v>
      </c>
      <c r="C5" s="11" t="s">
        <v>12</v>
      </c>
      <c r="D5" s="29">
        <v>0.32300000000000001</v>
      </c>
      <c r="E5" s="22">
        <v>0.218</v>
      </c>
      <c r="F5" s="22">
        <v>0.219</v>
      </c>
      <c r="G5" s="22">
        <v>0.224</v>
      </c>
      <c r="H5" s="31">
        <v>0.218</v>
      </c>
      <c r="I5" s="34">
        <v>0.21299999999999999</v>
      </c>
      <c r="J5" s="22">
        <v>0.219</v>
      </c>
      <c r="K5" s="22">
        <v>0.22700000000000001</v>
      </c>
      <c r="L5" s="22">
        <v>0.22900000000000001</v>
      </c>
      <c r="M5" s="31">
        <v>0.219</v>
      </c>
      <c r="N5" s="34">
        <v>0.22700000000000001</v>
      </c>
      <c r="O5" s="22">
        <v>0.22600000000000001</v>
      </c>
      <c r="P5" s="22">
        <v>0.22</v>
      </c>
      <c r="Q5" s="22">
        <v>0.22500000000000001</v>
      </c>
      <c r="R5" s="31">
        <v>0.23200000000000001</v>
      </c>
      <c r="S5" s="34">
        <v>0.26800000000000002</v>
      </c>
      <c r="T5" s="22">
        <v>0.33900000000000002</v>
      </c>
      <c r="U5" s="22">
        <v>0.33100000000000002</v>
      </c>
      <c r="V5" s="22">
        <v>0.26800000000000002</v>
      </c>
      <c r="W5" s="31">
        <v>0.22</v>
      </c>
      <c r="X5" s="34">
        <v>0.222</v>
      </c>
      <c r="Y5" s="22">
        <v>0.22700000000000001</v>
      </c>
      <c r="Z5" s="22">
        <v>0.22500000000000001</v>
      </c>
      <c r="AA5" s="22">
        <v>0.224</v>
      </c>
      <c r="AB5" s="31">
        <v>0.22500000000000001</v>
      </c>
      <c r="AC5" s="34">
        <v>0.218</v>
      </c>
      <c r="AD5" s="22">
        <v>0.22900000000000001</v>
      </c>
      <c r="AE5" s="22">
        <v>0.23100000000000001</v>
      </c>
      <c r="AF5" s="22">
        <v>0.219</v>
      </c>
      <c r="AG5" s="31">
        <v>0.22800000000000001</v>
      </c>
      <c r="AH5" s="34">
        <v>0.22800000000000001</v>
      </c>
      <c r="AI5" s="22">
        <v>0.22600000000000001</v>
      </c>
      <c r="AJ5" s="22">
        <v>0.223</v>
      </c>
      <c r="AK5" s="22">
        <v>0.21299999999999999</v>
      </c>
      <c r="AL5" s="31">
        <v>0.224</v>
      </c>
      <c r="AM5" s="34">
        <v>0.22900000000000001</v>
      </c>
      <c r="AN5" s="22">
        <v>0.23899999999999999</v>
      </c>
      <c r="AO5" s="22">
        <v>0.217</v>
      </c>
      <c r="AP5" s="22">
        <v>0.223</v>
      </c>
      <c r="AQ5" s="31">
        <v>0.23100000000000001</v>
      </c>
      <c r="AR5" s="34">
        <v>0.23200000000000001</v>
      </c>
      <c r="AS5" s="22">
        <v>0.23300000000000001</v>
      </c>
      <c r="AT5" s="22">
        <v>0.22700000000000001</v>
      </c>
      <c r="AU5" s="22">
        <v>0.224</v>
      </c>
      <c r="AV5" s="31">
        <v>0.26800000000000002</v>
      </c>
      <c r="AW5" s="34">
        <v>0.33700000000000002</v>
      </c>
      <c r="AX5" s="22">
        <v>0.33100000000000002</v>
      </c>
      <c r="AY5" s="22">
        <v>0.26400000000000001</v>
      </c>
      <c r="AZ5" s="22">
        <v>0.22800000000000001</v>
      </c>
      <c r="BA5" s="31">
        <v>0.22500000000000001</v>
      </c>
      <c r="BB5" s="34">
        <v>0.224</v>
      </c>
      <c r="BC5" s="22">
        <v>0.22800000000000001</v>
      </c>
      <c r="BD5" s="22">
        <v>0.219</v>
      </c>
      <c r="BE5" s="22">
        <v>0.22900000000000001</v>
      </c>
      <c r="BF5" s="31">
        <v>0.23400000000000001</v>
      </c>
      <c r="BG5" s="34">
        <v>0.23499999999999999</v>
      </c>
      <c r="BH5" s="22">
        <v>0.22900000000000001</v>
      </c>
      <c r="BI5" s="22">
        <v>0.20300000000000001</v>
      </c>
      <c r="BJ5" s="22">
        <v>0.22600000000000001</v>
      </c>
      <c r="BK5" s="31">
        <v>0.224</v>
      </c>
      <c r="BL5" s="34">
        <v>0.223</v>
      </c>
      <c r="BM5" s="22">
        <v>0.222</v>
      </c>
      <c r="BN5" s="22">
        <v>0.33</v>
      </c>
      <c r="BO5" s="22" t="s">
        <v>10</v>
      </c>
      <c r="BP5" s="31" t="s">
        <v>10</v>
      </c>
      <c r="BQ5" s="34" t="s">
        <v>10</v>
      </c>
      <c r="BR5" s="22" t="s">
        <v>10</v>
      </c>
      <c r="BS5" s="22" t="s">
        <v>10</v>
      </c>
      <c r="BT5" s="31" t="s">
        <v>10</v>
      </c>
      <c r="BU5" s="90">
        <f t="shared" si="0"/>
        <v>0.23747619047619045</v>
      </c>
      <c r="BV5" s="90">
        <f t="shared" si="1"/>
        <v>0.20300000000000001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75"/>
      <c r="B6" s="8" t="s">
        <v>13</v>
      </c>
      <c r="C6" s="12" t="s">
        <v>14</v>
      </c>
      <c r="D6" s="27" t="s">
        <v>10</v>
      </c>
      <c r="E6" s="28" t="s">
        <v>10</v>
      </c>
      <c r="F6" s="28" t="s">
        <v>10</v>
      </c>
      <c r="G6" s="28" t="s">
        <v>10</v>
      </c>
      <c r="H6" s="32" t="s">
        <v>10</v>
      </c>
      <c r="I6" s="35" t="s">
        <v>10</v>
      </c>
      <c r="J6" s="28" t="s">
        <v>10</v>
      </c>
      <c r="K6" s="28" t="s">
        <v>10</v>
      </c>
      <c r="L6" s="28" t="s">
        <v>10</v>
      </c>
      <c r="M6" s="32" t="s">
        <v>10</v>
      </c>
      <c r="N6" s="35" t="s">
        <v>10</v>
      </c>
      <c r="O6" s="28" t="s">
        <v>10</v>
      </c>
      <c r="P6" s="28" t="s">
        <v>10</v>
      </c>
      <c r="Q6" s="28" t="s">
        <v>10</v>
      </c>
      <c r="R6" s="32" t="s">
        <v>10</v>
      </c>
      <c r="S6" s="35" t="s">
        <v>10</v>
      </c>
      <c r="T6" s="28" t="s">
        <v>10</v>
      </c>
      <c r="U6" s="28" t="s">
        <v>10</v>
      </c>
      <c r="V6" s="28" t="s">
        <v>10</v>
      </c>
      <c r="W6" s="32" t="s">
        <v>10</v>
      </c>
      <c r="X6" s="35" t="s">
        <v>10</v>
      </c>
      <c r="Y6" s="28" t="s">
        <v>10</v>
      </c>
      <c r="Z6" s="28" t="s">
        <v>10</v>
      </c>
      <c r="AA6" s="28" t="s">
        <v>10</v>
      </c>
      <c r="AB6" s="32" t="s">
        <v>10</v>
      </c>
      <c r="AC6" s="35" t="s">
        <v>10</v>
      </c>
      <c r="AD6" s="28" t="s">
        <v>10</v>
      </c>
      <c r="AE6" s="28" t="s">
        <v>10</v>
      </c>
      <c r="AF6" s="28" t="s">
        <v>10</v>
      </c>
      <c r="AG6" s="32" t="s">
        <v>10</v>
      </c>
      <c r="AH6" s="35" t="s">
        <v>10</v>
      </c>
      <c r="AI6" s="28" t="s">
        <v>10</v>
      </c>
      <c r="AJ6" s="28" t="s">
        <v>10</v>
      </c>
      <c r="AK6" s="28" t="s">
        <v>10</v>
      </c>
      <c r="AL6" s="32" t="s">
        <v>10</v>
      </c>
      <c r="AM6" s="35" t="s">
        <v>10</v>
      </c>
      <c r="AN6" s="28" t="s">
        <v>10</v>
      </c>
      <c r="AO6" s="28" t="s">
        <v>10</v>
      </c>
      <c r="AP6" s="28" t="s">
        <v>10</v>
      </c>
      <c r="AQ6" s="32" t="s">
        <v>10</v>
      </c>
      <c r="AR6" s="35" t="s">
        <v>10</v>
      </c>
      <c r="AS6" s="28" t="s">
        <v>10</v>
      </c>
      <c r="AT6" s="28" t="s">
        <v>10</v>
      </c>
      <c r="AU6" s="28" t="s">
        <v>10</v>
      </c>
      <c r="AV6" s="32" t="s">
        <v>10</v>
      </c>
      <c r="AW6" s="35" t="s">
        <v>10</v>
      </c>
      <c r="AX6" s="28" t="s">
        <v>10</v>
      </c>
      <c r="AY6" s="28" t="s">
        <v>10</v>
      </c>
      <c r="AZ6" s="28" t="s">
        <v>10</v>
      </c>
      <c r="BA6" s="32" t="s">
        <v>10</v>
      </c>
      <c r="BB6" s="35" t="s">
        <v>10</v>
      </c>
      <c r="BC6" s="28" t="s">
        <v>10</v>
      </c>
      <c r="BD6" s="28" t="s">
        <v>10</v>
      </c>
      <c r="BE6" s="28" t="s">
        <v>10</v>
      </c>
      <c r="BF6" s="32" t="s">
        <v>10</v>
      </c>
      <c r="BG6" s="35" t="s">
        <v>10</v>
      </c>
      <c r="BH6" s="28" t="s">
        <v>10</v>
      </c>
      <c r="BI6" s="28" t="s">
        <v>10</v>
      </c>
      <c r="BJ6" s="28" t="s">
        <v>10</v>
      </c>
      <c r="BK6" s="32" t="s">
        <v>10</v>
      </c>
      <c r="BL6" s="35" t="s">
        <v>10</v>
      </c>
      <c r="BM6" s="28" t="s">
        <v>10</v>
      </c>
      <c r="BN6" s="28" t="s">
        <v>10</v>
      </c>
      <c r="BO6" s="28" t="s">
        <v>10</v>
      </c>
      <c r="BP6" s="32" t="s">
        <v>10</v>
      </c>
      <c r="BQ6" s="35" t="s">
        <v>10</v>
      </c>
      <c r="BR6" s="28" t="s">
        <v>10</v>
      </c>
      <c r="BS6" s="28" t="s">
        <v>10</v>
      </c>
      <c r="BT6" s="32" t="s">
        <v>10</v>
      </c>
      <c r="BU6" s="91">
        <f t="shared" si="0"/>
        <v>0.22850724637681161</v>
      </c>
      <c r="BV6" s="91">
        <f t="shared" si="1"/>
        <v>0.217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7</v>
      </c>
      <c r="B7" s="6" t="s">
        <v>15</v>
      </c>
      <c r="C7" s="11" t="s">
        <v>9</v>
      </c>
      <c r="D7" s="25" t="s">
        <v>10</v>
      </c>
      <c r="E7" s="26" t="s">
        <v>10</v>
      </c>
      <c r="F7" s="26" t="s">
        <v>10</v>
      </c>
      <c r="G7" s="26" t="s">
        <v>10</v>
      </c>
      <c r="H7" s="30" t="s">
        <v>10</v>
      </c>
      <c r="I7" s="33" t="s">
        <v>10</v>
      </c>
      <c r="J7" s="26" t="s">
        <v>10</v>
      </c>
      <c r="K7" s="26" t="s">
        <v>10</v>
      </c>
      <c r="L7" s="26" t="s">
        <v>10</v>
      </c>
      <c r="M7" s="30" t="s">
        <v>10</v>
      </c>
      <c r="N7" s="33" t="s">
        <v>10</v>
      </c>
      <c r="O7" s="26" t="s">
        <v>10</v>
      </c>
      <c r="P7" s="26" t="s">
        <v>10</v>
      </c>
      <c r="Q7" s="26" t="s">
        <v>10</v>
      </c>
      <c r="R7" s="30" t="s">
        <v>10</v>
      </c>
      <c r="S7" s="33" t="s">
        <v>10</v>
      </c>
      <c r="T7" s="26" t="s">
        <v>10</v>
      </c>
      <c r="U7" s="26" t="s">
        <v>10</v>
      </c>
      <c r="V7" s="26" t="s">
        <v>10</v>
      </c>
      <c r="W7" s="30" t="s">
        <v>10</v>
      </c>
      <c r="X7" s="33" t="s">
        <v>10</v>
      </c>
      <c r="Y7" s="26" t="s">
        <v>10</v>
      </c>
      <c r="Z7" s="26" t="s">
        <v>10</v>
      </c>
      <c r="AA7" s="26" t="s">
        <v>10</v>
      </c>
      <c r="AB7" s="30" t="s">
        <v>10</v>
      </c>
      <c r="AC7" s="33" t="s">
        <v>10</v>
      </c>
      <c r="AD7" s="26" t="s">
        <v>10</v>
      </c>
      <c r="AE7" s="26" t="s">
        <v>10</v>
      </c>
      <c r="AF7" s="26" t="s">
        <v>10</v>
      </c>
      <c r="AG7" s="30" t="s">
        <v>10</v>
      </c>
      <c r="AH7" s="33" t="s">
        <v>10</v>
      </c>
      <c r="AI7" s="26" t="s">
        <v>10</v>
      </c>
      <c r="AJ7" s="26" t="s">
        <v>10</v>
      </c>
      <c r="AK7" s="26" t="s">
        <v>10</v>
      </c>
      <c r="AL7" s="30" t="s">
        <v>10</v>
      </c>
      <c r="AM7" s="33" t="s">
        <v>10</v>
      </c>
      <c r="AN7" s="26" t="s">
        <v>10</v>
      </c>
      <c r="AO7" s="26" t="s">
        <v>10</v>
      </c>
      <c r="AP7" s="26" t="s">
        <v>10</v>
      </c>
      <c r="AQ7" s="30" t="s">
        <v>10</v>
      </c>
      <c r="AR7" s="33" t="s">
        <v>10</v>
      </c>
      <c r="AS7" s="26" t="s">
        <v>10</v>
      </c>
      <c r="AT7" s="26" t="s">
        <v>10</v>
      </c>
      <c r="AU7" s="26" t="s">
        <v>10</v>
      </c>
      <c r="AV7" s="30" t="s">
        <v>10</v>
      </c>
      <c r="AW7" s="33" t="s">
        <v>10</v>
      </c>
      <c r="AX7" s="26" t="s">
        <v>10</v>
      </c>
      <c r="AY7" s="26" t="s">
        <v>10</v>
      </c>
      <c r="AZ7" s="26" t="s">
        <v>10</v>
      </c>
      <c r="BA7" s="30" t="s">
        <v>10</v>
      </c>
      <c r="BB7" s="33" t="s">
        <v>10</v>
      </c>
      <c r="BC7" s="26" t="s">
        <v>10</v>
      </c>
      <c r="BD7" s="26" t="s">
        <v>10</v>
      </c>
      <c r="BE7" s="26" t="s">
        <v>10</v>
      </c>
      <c r="BF7" s="30" t="s">
        <v>10</v>
      </c>
      <c r="BG7" s="33" t="s">
        <v>10</v>
      </c>
      <c r="BH7" s="26" t="s">
        <v>10</v>
      </c>
      <c r="BI7" s="26" t="s">
        <v>10</v>
      </c>
      <c r="BJ7" s="26" t="s">
        <v>10</v>
      </c>
      <c r="BK7" s="30" t="s">
        <v>10</v>
      </c>
      <c r="BL7" s="33" t="s">
        <v>10</v>
      </c>
      <c r="BM7" s="26" t="s">
        <v>10</v>
      </c>
      <c r="BN7" s="26" t="s">
        <v>10</v>
      </c>
      <c r="BO7" s="26" t="s">
        <v>10</v>
      </c>
      <c r="BP7" s="30" t="s">
        <v>10</v>
      </c>
      <c r="BQ7" s="33" t="s">
        <v>10</v>
      </c>
      <c r="BR7" s="26" t="s">
        <v>10</v>
      </c>
      <c r="BS7" s="26" t="s">
        <v>10</v>
      </c>
      <c r="BT7" s="30" t="s">
        <v>10</v>
      </c>
      <c r="BU7" s="89">
        <f t="shared" ref="BU7:BU9" si="2">IFERROR(AVERAGE(D7:BT9),0)</f>
        <v>0.22850724637681161</v>
      </c>
      <c r="BV7" s="89">
        <f t="shared" ref="BV7:BV9" si="3">MIN(D7:BT9)</f>
        <v>0.217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75">
        <v>8.3000000000000004E-2</v>
      </c>
      <c r="B8" s="7" t="s">
        <v>11</v>
      </c>
      <c r="C8" s="11" t="s">
        <v>12</v>
      </c>
      <c r="D8" s="29">
        <v>0.221</v>
      </c>
      <c r="E8" s="22">
        <v>0.218</v>
      </c>
      <c r="F8" s="22">
        <v>0.22900000000000001</v>
      </c>
      <c r="G8" s="22">
        <v>0.22700000000000001</v>
      </c>
      <c r="H8" s="31">
        <v>0.222</v>
      </c>
      <c r="I8" s="34">
        <v>0.27400000000000002</v>
      </c>
      <c r="J8" s="22">
        <v>0.27</v>
      </c>
      <c r="K8" s="22">
        <v>0.26600000000000001</v>
      </c>
      <c r="L8" s="22">
        <v>0.26800000000000002</v>
      </c>
      <c r="M8" s="31">
        <v>0.26500000000000001</v>
      </c>
      <c r="N8" s="34">
        <v>0.26600000000000001</v>
      </c>
      <c r="O8" s="22">
        <v>0.22500000000000001</v>
      </c>
      <c r="P8" s="22">
        <v>0.22900000000000001</v>
      </c>
      <c r="Q8" s="22">
        <v>0.22600000000000001</v>
      </c>
      <c r="R8" s="31">
        <v>0.222</v>
      </c>
      <c r="S8" s="34">
        <v>0.22900000000000001</v>
      </c>
      <c r="T8" s="22">
        <v>0.224</v>
      </c>
      <c r="U8" s="22">
        <v>0.22700000000000001</v>
      </c>
      <c r="V8" s="22">
        <v>0.224</v>
      </c>
      <c r="W8" s="31">
        <v>0.22700000000000001</v>
      </c>
      <c r="X8" s="34">
        <v>0.22800000000000001</v>
      </c>
      <c r="Y8" s="22">
        <v>0.224</v>
      </c>
      <c r="Z8" s="22">
        <v>0.222</v>
      </c>
      <c r="AA8" s="22">
        <v>0.217</v>
      </c>
      <c r="AB8" s="31">
        <v>0.222</v>
      </c>
      <c r="AC8" s="34">
        <v>0.217</v>
      </c>
      <c r="AD8" s="22">
        <v>0.22600000000000001</v>
      </c>
      <c r="AE8" s="22">
        <v>0.22900000000000001</v>
      </c>
      <c r="AF8" s="22">
        <v>0.22600000000000001</v>
      </c>
      <c r="AG8" s="31">
        <v>0.22500000000000001</v>
      </c>
      <c r="AH8" s="34">
        <v>0.223</v>
      </c>
      <c r="AI8" s="22">
        <v>0.224</v>
      </c>
      <c r="AJ8" s="22">
        <v>0.22800000000000001</v>
      </c>
      <c r="AK8" s="22">
        <v>0.224</v>
      </c>
      <c r="AL8" s="31">
        <v>0.221</v>
      </c>
      <c r="AM8" s="34">
        <v>0.224</v>
      </c>
      <c r="AN8" s="22">
        <v>0.23200000000000001</v>
      </c>
      <c r="AO8" s="22">
        <v>0.23200000000000001</v>
      </c>
      <c r="AP8" s="22">
        <v>0.22600000000000001</v>
      </c>
      <c r="AQ8" s="31">
        <v>0.219</v>
      </c>
      <c r="AR8" s="34">
        <v>0.23200000000000001</v>
      </c>
      <c r="AS8" s="22">
        <v>0.22700000000000001</v>
      </c>
      <c r="AT8" s="22">
        <v>0.22500000000000001</v>
      </c>
      <c r="AU8" s="22">
        <v>0.22700000000000001</v>
      </c>
      <c r="AV8" s="31">
        <v>0.22800000000000001</v>
      </c>
      <c r="AW8" s="34">
        <v>0.222</v>
      </c>
      <c r="AX8" s="22">
        <v>0.222</v>
      </c>
      <c r="AY8" s="22">
        <v>0.222</v>
      </c>
      <c r="AZ8" s="22">
        <v>0.22700000000000001</v>
      </c>
      <c r="BA8" s="31">
        <v>0.22500000000000001</v>
      </c>
      <c r="BB8" s="34">
        <v>0.22600000000000001</v>
      </c>
      <c r="BC8" s="22">
        <v>0.23100000000000001</v>
      </c>
      <c r="BD8" s="22">
        <v>0.223</v>
      </c>
      <c r="BE8" s="22">
        <v>0.22700000000000001</v>
      </c>
      <c r="BF8" s="31">
        <v>0.22600000000000001</v>
      </c>
      <c r="BG8" s="34">
        <v>0.222</v>
      </c>
      <c r="BH8" s="22">
        <v>0.222</v>
      </c>
      <c r="BI8" s="22">
        <v>0.22700000000000001</v>
      </c>
      <c r="BJ8" s="22">
        <v>0.22600000000000001</v>
      </c>
      <c r="BK8" s="31">
        <v>0.22700000000000001</v>
      </c>
      <c r="BL8" s="34">
        <v>0.22800000000000001</v>
      </c>
      <c r="BM8" s="22">
        <v>0.223</v>
      </c>
      <c r="BN8" s="22">
        <v>0.22700000000000001</v>
      </c>
      <c r="BO8" s="22">
        <v>0.223</v>
      </c>
      <c r="BP8" s="31">
        <v>0.219</v>
      </c>
      <c r="BQ8" s="34">
        <v>0.223</v>
      </c>
      <c r="BR8" s="22">
        <v>0.224</v>
      </c>
      <c r="BS8" s="22">
        <v>0.219</v>
      </c>
      <c r="BT8" s="31">
        <v>0.219</v>
      </c>
      <c r="BU8" s="90">
        <f t="shared" si="2"/>
        <v>0.22850724637681161</v>
      </c>
      <c r="BV8" s="90">
        <f t="shared" si="3"/>
        <v>0.217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75"/>
      <c r="B9" s="8" t="s">
        <v>13</v>
      </c>
      <c r="C9" s="12" t="s">
        <v>14</v>
      </c>
      <c r="D9" s="27" t="s">
        <v>10</v>
      </c>
      <c r="E9" s="28" t="s">
        <v>10</v>
      </c>
      <c r="F9" s="28" t="s">
        <v>10</v>
      </c>
      <c r="G9" s="28" t="s">
        <v>10</v>
      </c>
      <c r="H9" s="32" t="s">
        <v>10</v>
      </c>
      <c r="I9" s="35" t="s">
        <v>10</v>
      </c>
      <c r="J9" s="28" t="s">
        <v>10</v>
      </c>
      <c r="K9" s="28" t="s">
        <v>10</v>
      </c>
      <c r="L9" s="28" t="s">
        <v>10</v>
      </c>
      <c r="M9" s="32" t="s">
        <v>10</v>
      </c>
      <c r="N9" s="35" t="s">
        <v>10</v>
      </c>
      <c r="O9" s="28" t="s">
        <v>10</v>
      </c>
      <c r="P9" s="28" t="s">
        <v>10</v>
      </c>
      <c r="Q9" s="28" t="s">
        <v>10</v>
      </c>
      <c r="R9" s="32" t="s">
        <v>10</v>
      </c>
      <c r="S9" s="35" t="s">
        <v>10</v>
      </c>
      <c r="T9" s="28" t="s">
        <v>10</v>
      </c>
      <c r="U9" s="28" t="s">
        <v>10</v>
      </c>
      <c r="V9" s="28" t="s">
        <v>10</v>
      </c>
      <c r="W9" s="32" t="s">
        <v>10</v>
      </c>
      <c r="X9" s="35" t="s">
        <v>10</v>
      </c>
      <c r="Y9" s="28" t="s">
        <v>10</v>
      </c>
      <c r="Z9" s="28" t="s">
        <v>10</v>
      </c>
      <c r="AA9" s="28" t="s">
        <v>10</v>
      </c>
      <c r="AB9" s="32" t="s">
        <v>10</v>
      </c>
      <c r="AC9" s="35" t="s">
        <v>10</v>
      </c>
      <c r="AD9" s="28" t="s">
        <v>10</v>
      </c>
      <c r="AE9" s="28" t="s">
        <v>10</v>
      </c>
      <c r="AF9" s="28" t="s">
        <v>10</v>
      </c>
      <c r="AG9" s="32" t="s">
        <v>10</v>
      </c>
      <c r="AH9" s="35" t="s">
        <v>10</v>
      </c>
      <c r="AI9" s="28" t="s">
        <v>10</v>
      </c>
      <c r="AJ9" s="28" t="s">
        <v>10</v>
      </c>
      <c r="AK9" s="28" t="s">
        <v>10</v>
      </c>
      <c r="AL9" s="32" t="s">
        <v>10</v>
      </c>
      <c r="AM9" s="35" t="s">
        <v>10</v>
      </c>
      <c r="AN9" s="28" t="s">
        <v>10</v>
      </c>
      <c r="AO9" s="28" t="s">
        <v>10</v>
      </c>
      <c r="AP9" s="28" t="s">
        <v>10</v>
      </c>
      <c r="AQ9" s="32" t="s">
        <v>10</v>
      </c>
      <c r="AR9" s="35" t="s">
        <v>10</v>
      </c>
      <c r="AS9" s="28" t="s">
        <v>10</v>
      </c>
      <c r="AT9" s="28" t="s">
        <v>10</v>
      </c>
      <c r="AU9" s="28" t="s">
        <v>10</v>
      </c>
      <c r="AV9" s="32" t="s">
        <v>10</v>
      </c>
      <c r="AW9" s="35" t="s">
        <v>10</v>
      </c>
      <c r="AX9" s="28" t="s">
        <v>10</v>
      </c>
      <c r="AY9" s="28" t="s">
        <v>10</v>
      </c>
      <c r="AZ9" s="28" t="s">
        <v>10</v>
      </c>
      <c r="BA9" s="32" t="s">
        <v>10</v>
      </c>
      <c r="BB9" s="35" t="s">
        <v>10</v>
      </c>
      <c r="BC9" s="28" t="s">
        <v>10</v>
      </c>
      <c r="BD9" s="28" t="s">
        <v>10</v>
      </c>
      <c r="BE9" s="28" t="s">
        <v>10</v>
      </c>
      <c r="BF9" s="32" t="s">
        <v>10</v>
      </c>
      <c r="BG9" s="35" t="s">
        <v>10</v>
      </c>
      <c r="BH9" s="28" t="s">
        <v>10</v>
      </c>
      <c r="BI9" s="28" t="s">
        <v>10</v>
      </c>
      <c r="BJ9" s="28" t="s">
        <v>10</v>
      </c>
      <c r="BK9" s="32" t="s">
        <v>10</v>
      </c>
      <c r="BL9" s="35" t="s">
        <v>10</v>
      </c>
      <c r="BM9" s="28" t="s">
        <v>10</v>
      </c>
      <c r="BN9" s="28" t="s">
        <v>10</v>
      </c>
      <c r="BO9" s="28" t="s">
        <v>10</v>
      </c>
      <c r="BP9" s="32" t="s">
        <v>10</v>
      </c>
      <c r="BQ9" s="35" t="s">
        <v>10</v>
      </c>
      <c r="BR9" s="28" t="s">
        <v>10</v>
      </c>
      <c r="BS9" s="28" t="s">
        <v>10</v>
      </c>
      <c r="BT9" s="32" t="s">
        <v>10</v>
      </c>
      <c r="BU9" s="91">
        <f t="shared" si="2"/>
        <v>0.22072580645161297</v>
      </c>
      <c r="BV9" s="91">
        <f t="shared" si="3"/>
        <v>0.214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7</v>
      </c>
      <c r="B10" s="6" t="s">
        <v>16</v>
      </c>
      <c r="C10" s="11" t="s">
        <v>9</v>
      </c>
      <c r="D10" s="25" t="s">
        <v>10</v>
      </c>
      <c r="E10" s="26" t="s">
        <v>10</v>
      </c>
      <c r="F10" s="26" t="s">
        <v>10</v>
      </c>
      <c r="G10" s="26" t="s">
        <v>10</v>
      </c>
      <c r="H10" s="30" t="s">
        <v>10</v>
      </c>
      <c r="I10" s="33" t="s">
        <v>10</v>
      </c>
      <c r="J10" s="26" t="s">
        <v>10</v>
      </c>
      <c r="K10" s="26" t="s">
        <v>10</v>
      </c>
      <c r="L10" s="26" t="s">
        <v>10</v>
      </c>
      <c r="M10" s="30" t="s">
        <v>10</v>
      </c>
      <c r="N10" s="33" t="s">
        <v>10</v>
      </c>
      <c r="O10" s="26" t="s">
        <v>10</v>
      </c>
      <c r="P10" s="26" t="s">
        <v>10</v>
      </c>
      <c r="Q10" s="26" t="s">
        <v>10</v>
      </c>
      <c r="R10" s="30" t="s">
        <v>10</v>
      </c>
      <c r="S10" s="33" t="s">
        <v>10</v>
      </c>
      <c r="T10" s="26" t="s">
        <v>10</v>
      </c>
      <c r="U10" s="26" t="s">
        <v>10</v>
      </c>
      <c r="V10" s="26" t="s">
        <v>10</v>
      </c>
      <c r="W10" s="30" t="s">
        <v>10</v>
      </c>
      <c r="X10" s="33" t="s">
        <v>10</v>
      </c>
      <c r="Y10" s="26" t="s">
        <v>10</v>
      </c>
      <c r="Z10" s="26" t="s">
        <v>10</v>
      </c>
      <c r="AA10" s="26" t="s">
        <v>10</v>
      </c>
      <c r="AB10" s="30" t="s">
        <v>10</v>
      </c>
      <c r="AC10" s="33" t="s">
        <v>10</v>
      </c>
      <c r="AD10" s="26" t="s">
        <v>10</v>
      </c>
      <c r="AE10" s="26" t="s">
        <v>10</v>
      </c>
      <c r="AF10" s="26" t="s">
        <v>10</v>
      </c>
      <c r="AG10" s="30" t="s">
        <v>10</v>
      </c>
      <c r="AH10" s="33" t="s">
        <v>10</v>
      </c>
      <c r="AI10" s="26" t="s">
        <v>10</v>
      </c>
      <c r="AJ10" s="26" t="s">
        <v>10</v>
      </c>
      <c r="AK10" s="26" t="s">
        <v>10</v>
      </c>
      <c r="AL10" s="30" t="s">
        <v>10</v>
      </c>
      <c r="AM10" s="33" t="s">
        <v>10</v>
      </c>
      <c r="AN10" s="26" t="s">
        <v>10</v>
      </c>
      <c r="AO10" s="26" t="s">
        <v>10</v>
      </c>
      <c r="AP10" s="26" t="s">
        <v>10</v>
      </c>
      <c r="AQ10" s="30" t="s">
        <v>10</v>
      </c>
      <c r="AR10" s="33" t="s">
        <v>10</v>
      </c>
      <c r="AS10" s="26" t="s">
        <v>10</v>
      </c>
      <c r="AT10" s="26" t="s">
        <v>10</v>
      </c>
      <c r="AU10" s="26" t="s">
        <v>10</v>
      </c>
      <c r="AV10" s="30" t="s">
        <v>10</v>
      </c>
      <c r="AW10" s="33" t="s">
        <v>10</v>
      </c>
      <c r="AX10" s="26" t="s">
        <v>10</v>
      </c>
      <c r="AY10" s="26" t="s">
        <v>10</v>
      </c>
      <c r="AZ10" s="26" t="s">
        <v>10</v>
      </c>
      <c r="BA10" s="30" t="s">
        <v>10</v>
      </c>
      <c r="BB10" s="33" t="s">
        <v>10</v>
      </c>
      <c r="BC10" s="26" t="s">
        <v>10</v>
      </c>
      <c r="BD10" s="26" t="s">
        <v>10</v>
      </c>
      <c r="BE10" s="26" t="s">
        <v>10</v>
      </c>
      <c r="BF10" s="30" t="s">
        <v>10</v>
      </c>
      <c r="BG10" s="33" t="s">
        <v>10</v>
      </c>
      <c r="BH10" s="26" t="s">
        <v>10</v>
      </c>
      <c r="BI10" s="26" t="s">
        <v>10</v>
      </c>
      <c r="BJ10" s="26" t="s">
        <v>10</v>
      </c>
      <c r="BK10" s="30" t="s">
        <v>10</v>
      </c>
      <c r="BL10" s="33" t="s">
        <v>10</v>
      </c>
      <c r="BM10" s="26" t="s">
        <v>10</v>
      </c>
      <c r="BN10" s="26" t="s">
        <v>10</v>
      </c>
      <c r="BO10" s="26" t="s">
        <v>10</v>
      </c>
      <c r="BP10" s="30" t="s">
        <v>10</v>
      </c>
      <c r="BQ10" s="33" t="s">
        <v>10</v>
      </c>
      <c r="BR10" s="26" t="s">
        <v>10</v>
      </c>
      <c r="BS10" s="26" t="s">
        <v>10</v>
      </c>
      <c r="BT10" s="30" t="s">
        <v>10</v>
      </c>
      <c r="BU10" s="89">
        <f t="shared" ref="BU10:BU12" si="4">IFERROR(AVERAGE(D10:BT12),0)</f>
        <v>0.22072580645161297</v>
      </c>
      <c r="BV10" s="89">
        <f t="shared" ref="BV10:BV12" si="5">MIN(D10:BT12)</f>
        <v>0.214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75">
        <v>8.3000000000000004E-2</v>
      </c>
      <c r="B11" s="7" t="s">
        <v>11</v>
      </c>
      <c r="C11" s="11" t="s">
        <v>12</v>
      </c>
      <c r="D11" s="29">
        <v>0.223</v>
      </c>
      <c r="E11" s="22">
        <v>0.221</v>
      </c>
      <c r="F11" s="22">
        <v>0.215</v>
      </c>
      <c r="G11" s="22">
        <v>0.22500000000000001</v>
      </c>
      <c r="H11" s="31">
        <v>0.219</v>
      </c>
      <c r="I11" s="34">
        <v>0.224</v>
      </c>
      <c r="J11" s="22">
        <v>0.217</v>
      </c>
      <c r="K11" s="22">
        <v>0.219</v>
      </c>
      <c r="L11" s="22">
        <v>0.222</v>
      </c>
      <c r="M11" s="31">
        <v>0.22500000000000001</v>
      </c>
      <c r="N11" s="34">
        <v>0.22</v>
      </c>
      <c r="O11" s="22">
        <v>0.216</v>
      </c>
      <c r="P11" s="22">
        <v>0.219</v>
      </c>
      <c r="Q11" s="22">
        <v>0.22600000000000001</v>
      </c>
      <c r="R11" s="31">
        <v>0.224</v>
      </c>
      <c r="S11" s="34">
        <v>0.219</v>
      </c>
      <c r="T11" s="22">
        <v>0.22</v>
      </c>
      <c r="U11" s="22">
        <v>0.23</v>
      </c>
      <c r="V11" s="22">
        <v>0.22</v>
      </c>
      <c r="W11" s="31">
        <v>0.214</v>
      </c>
      <c r="X11" s="34">
        <v>0.22600000000000001</v>
      </c>
      <c r="Y11" s="22">
        <v>0.223</v>
      </c>
      <c r="Z11" s="22">
        <v>0.221</v>
      </c>
      <c r="AA11" s="22">
        <v>0.22800000000000001</v>
      </c>
      <c r="AB11" s="31">
        <v>0.222</v>
      </c>
      <c r="AC11" s="34">
        <v>0.22600000000000001</v>
      </c>
      <c r="AD11" s="22">
        <v>0.224</v>
      </c>
      <c r="AE11" s="22">
        <v>0.216</v>
      </c>
      <c r="AF11" s="22">
        <v>0.223</v>
      </c>
      <c r="AG11" s="31">
        <v>0.222</v>
      </c>
      <c r="AH11" s="34">
        <v>0.22</v>
      </c>
      <c r="AI11" s="22">
        <v>0.224</v>
      </c>
      <c r="AJ11" s="22">
        <v>0.219</v>
      </c>
      <c r="AK11" s="22">
        <v>0.224</v>
      </c>
      <c r="AL11" s="31">
        <v>0.22500000000000001</v>
      </c>
      <c r="AM11" s="34">
        <v>0.218</v>
      </c>
      <c r="AN11" s="22">
        <v>0.215</v>
      </c>
      <c r="AO11" s="22">
        <v>0.218</v>
      </c>
      <c r="AP11" s="22">
        <v>0.215</v>
      </c>
      <c r="AQ11" s="31">
        <v>0.217</v>
      </c>
      <c r="AR11" s="34">
        <v>0.22</v>
      </c>
      <c r="AS11" s="22">
        <v>0.215</v>
      </c>
      <c r="AT11" s="22">
        <v>0.217</v>
      </c>
      <c r="AU11" s="22">
        <v>0.22</v>
      </c>
      <c r="AV11" s="31">
        <v>0.22</v>
      </c>
      <c r="AW11" s="34">
        <v>0.215</v>
      </c>
      <c r="AX11" s="22">
        <v>0.221</v>
      </c>
      <c r="AY11" s="22">
        <v>0.224</v>
      </c>
      <c r="AZ11" s="22">
        <v>0.224</v>
      </c>
      <c r="BA11" s="31">
        <v>0.222</v>
      </c>
      <c r="BB11" s="34">
        <v>0.219</v>
      </c>
      <c r="BC11" s="22">
        <v>0.218</v>
      </c>
      <c r="BD11" s="22">
        <v>0.223</v>
      </c>
      <c r="BE11" s="22">
        <v>0.218</v>
      </c>
      <c r="BF11" s="31">
        <v>0.219</v>
      </c>
      <c r="BG11" s="34">
        <v>0.219</v>
      </c>
      <c r="BH11" s="22">
        <v>0.218</v>
      </c>
      <c r="BI11" s="22">
        <v>0.218</v>
      </c>
      <c r="BJ11" s="22">
        <v>0.218</v>
      </c>
      <c r="BK11" s="31">
        <v>0.222</v>
      </c>
      <c r="BL11" s="34">
        <v>0.22700000000000001</v>
      </c>
      <c r="BM11" s="22">
        <v>0.224</v>
      </c>
      <c r="BN11" s="22" t="s">
        <v>10</v>
      </c>
      <c r="BO11" s="22" t="s">
        <v>10</v>
      </c>
      <c r="BP11" s="31" t="s">
        <v>10</v>
      </c>
      <c r="BQ11" s="34" t="s">
        <v>10</v>
      </c>
      <c r="BR11" s="22" t="s">
        <v>10</v>
      </c>
      <c r="BS11" s="22" t="s">
        <v>10</v>
      </c>
      <c r="BT11" s="31" t="s">
        <v>10</v>
      </c>
      <c r="BU11" s="90">
        <f t="shared" si="4"/>
        <v>0.22072580645161297</v>
      </c>
      <c r="BV11" s="90">
        <f t="shared" si="5"/>
        <v>0.214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75"/>
      <c r="B12" s="8" t="s">
        <v>13</v>
      </c>
      <c r="C12" s="12" t="s">
        <v>14</v>
      </c>
      <c r="D12" s="27" t="s">
        <v>10</v>
      </c>
      <c r="E12" s="28" t="s">
        <v>10</v>
      </c>
      <c r="F12" s="28" t="s">
        <v>10</v>
      </c>
      <c r="G12" s="28" t="s">
        <v>10</v>
      </c>
      <c r="H12" s="32" t="s">
        <v>10</v>
      </c>
      <c r="I12" s="35" t="s">
        <v>10</v>
      </c>
      <c r="J12" s="28" t="s">
        <v>10</v>
      </c>
      <c r="K12" s="28" t="s">
        <v>10</v>
      </c>
      <c r="L12" s="28" t="s">
        <v>10</v>
      </c>
      <c r="M12" s="32" t="s">
        <v>10</v>
      </c>
      <c r="N12" s="35" t="s">
        <v>10</v>
      </c>
      <c r="O12" s="28" t="s">
        <v>10</v>
      </c>
      <c r="P12" s="28" t="s">
        <v>10</v>
      </c>
      <c r="Q12" s="28" t="s">
        <v>10</v>
      </c>
      <c r="R12" s="32" t="s">
        <v>10</v>
      </c>
      <c r="S12" s="35" t="s">
        <v>10</v>
      </c>
      <c r="T12" s="28" t="s">
        <v>10</v>
      </c>
      <c r="U12" s="28" t="s">
        <v>10</v>
      </c>
      <c r="V12" s="28" t="s">
        <v>10</v>
      </c>
      <c r="W12" s="32" t="s">
        <v>10</v>
      </c>
      <c r="X12" s="35" t="s">
        <v>10</v>
      </c>
      <c r="Y12" s="28" t="s">
        <v>10</v>
      </c>
      <c r="Z12" s="28" t="s">
        <v>10</v>
      </c>
      <c r="AA12" s="28" t="s">
        <v>10</v>
      </c>
      <c r="AB12" s="32" t="s">
        <v>10</v>
      </c>
      <c r="AC12" s="35" t="s">
        <v>10</v>
      </c>
      <c r="AD12" s="28" t="s">
        <v>10</v>
      </c>
      <c r="AE12" s="28" t="s">
        <v>10</v>
      </c>
      <c r="AF12" s="28" t="s">
        <v>10</v>
      </c>
      <c r="AG12" s="32" t="s">
        <v>10</v>
      </c>
      <c r="AH12" s="35" t="s">
        <v>10</v>
      </c>
      <c r="AI12" s="28" t="s">
        <v>10</v>
      </c>
      <c r="AJ12" s="28" t="s">
        <v>10</v>
      </c>
      <c r="AK12" s="28" t="s">
        <v>10</v>
      </c>
      <c r="AL12" s="32" t="s">
        <v>10</v>
      </c>
      <c r="AM12" s="35" t="s">
        <v>10</v>
      </c>
      <c r="AN12" s="28" t="s">
        <v>10</v>
      </c>
      <c r="AO12" s="28" t="s">
        <v>10</v>
      </c>
      <c r="AP12" s="28" t="s">
        <v>10</v>
      </c>
      <c r="AQ12" s="32" t="s">
        <v>10</v>
      </c>
      <c r="AR12" s="35" t="s">
        <v>10</v>
      </c>
      <c r="AS12" s="28" t="s">
        <v>10</v>
      </c>
      <c r="AT12" s="28" t="s">
        <v>10</v>
      </c>
      <c r="AU12" s="28" t="s">
        <v>10</v>
      </c>
      <c r="AV12" s="32" t="s">
        <v>10</v>
      </c>
      <c r="AW12" s="35" t="s">
        <v>10</v>
      </c>
      <c r="AX12" s="28" t="s">
        <v>10</v>
      </c>
      <c r="AY12" s="28" t="s">
        <v>10</v>
      </c>
      <c r="AZ12" s="28" t="s">
        <v>10</v>
      </c>
      <c r="BA12" s="32" t="s">
        <v>10</v>
      </c>
      <c r="BB12" s="35" t="s">
        <v>10</v>
      </c>
      <c r="BC12" s="28" t="s">
        <v>10</v>
      </c>
      <c r="BD12" s="28" t="s">
        <v>10</v>
      </c>
      <c r="BE12" s="28" t="s">
        <v>10</v>
      </c>
      <c r="BF12" s="32" t="s">
        <v>10</v>
      </c>
      <c r="BG12" s="35" t="s">
        <v>10</v>
      </c>
      <c r="BH12" s="28" t="s">
        <v>10</v>
      </c>
      <c r="BI12" s="28" t="s">
        <v>10</v>
      </c>
      <c r="BJ12" s="28" t="s">
        <v>10</v>
      </c>
      <c r="BK12" s="32" t="s">
        <v>10</v>
      </c>
      <c r="BL12" s="35" t="s">
        <v>10</v>
      </c>
      <c r="BM12" s="28" t="s">
        <v>10</v>
      </c>
      <c r="BN12" s="28" t="s">
        <v>10</v>
      </c>
      <c r="BO12" s="28" t="s">
        <v>10</v>
      </c>
      <c r="BP12" s="32" t="s">
        <v>10</v>
      </c>
      <c r="BQ12" s="35" t="s">
        <v>10</v>
      </c>
      <c r="BR12" s="28" t="s">
        <v>10</v>
      </c>
      <c r="BS12" s="28" t="s">
        <v>10</v>
      </c>
      <c r="BT12" s="32" t="s">
        <v>10</v>
      </c>
      <c r="BU12" s="91">
        <f t="shared" si="4"/>
        <v>0.22728985507246385</v>
      </c>
      <c r="BV12" s="91">
        <f t="shared" si="5"/>
        <v>0.21099999999999999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7</v>
      </c>
      <c r="B13" s="6" t="s">
        <v>17</v>
      </c>
      <c r="C13" s="11" t="s">
        <v>9</v>
      </c>
      <c r="D13" s="25" t="s">
        <v>10</v>
      </c>
      <c r="E13" s="26" t="s">
        <v>10</v>
      </c>
      <c r="F13" s="26" t="s">
        <v>10</v>
      </c>
      <c r="G13" s="26" t="s">
        <v>10</v>
      </c>
      <c r="H13" s="30" t="s">
        <v>10</v>
      </c>
      <c r="I13" s="33" t="s">
        <v>10</v>
      </c>
      <c r="J13" s="26" t="s">
        <v>10</v>
      </c>
      <c r="K13" s="26" t="s">
        <v>10</v>
      </c>
      <c r="L13" s="26" t="s">
        <v>10</v>
      </c>
      <c r="M13" s="30" t="s">
        <v>10</v>
      </c>
      <c r="N13" s="33" t="s">
        <v>10</v>
      </c>
      <c r="O13" s="26" t="s">
        <v>10</v>
      </c>
      <c r="P13" s="26" t="s">
        <v>10</v>
      </c>
      <c r="Q13" s="26" t="s">
        <v>10</v>
      </c>
      <c r="R13" s="30" t="s">
        <v>10</v>
      </c>
      <c r="S13" s="33" t="s">
        <v>10</v>
      </c>
      <c r="T13" s="26" t="s">
        <v>10</v>
      </c>
      <c r="U13" s="26" t="s">
        <v>10</v>
      </c>
      <c r="V13" s="26" t="s">
        <v>10</v>
      </c>
      <c r="W13" s="30" t="s">
        <v>10</v>
      </c>
      <c r="X13" s="33" t="s">
        <v>10</v>
      </c>
      <c r="Y13" s="26" t="s">
        <v>10</v>
      </c>
      <c r="Z13" s="26" t="s">
        <v>10</v>
      </c>
      <c r="AA13" s="26" t="s">
        <v>10</v>
      </c>
      <c r="AB13" s="30" t="s">
        <v>10</v>
      </c>
      <c r="AC13" s="33" t="s">
        <v>10</v>
      </c>
      <c r="AD13" s="26" t="s">
        <v>10</v>
      </c>
      <c r="AE13" s="26" t="s">
        <v>10</v>
      </c>
      <c r="AF13" s="26" t="s">
        <v>10</v>
      </c>
      <c r="AG13" s="30" t="s">
        <v>10</v>
      </c>
      <c r="AH13" s="33" t="s">
        <v>10</v>
      </c>
      <c r="AI13" s="26" t="s">
        <v>10</v>
      </c>
      <c r="AJ13" s="26" t="s">
        <v>10</v>
      </c>
      <c r="AK13" s="26" t="s">
        <v>10</v>
      </c>
      <c r="AL13" s="30" t="s">
        <v>10</v>
      </c>
      <c r="AM13" s="33" t="s">
        <v>10</v>
      </c>
      <c r="AN13" s="26" t="s">
        <v>10</v>
      </c>
      <c r="AO13" s="26" t="s">
        <v>10</v>
      </c>
      <c r="AP13" s="26" t="s">
        <v>10</v>
      </c>
      <c r="AQ13" s="30" t="s">
        <v>10</v>
      </c>
      <c r="AR13" s="33" t="s">
        <v>10</v>
      </c>
      <c r="AS13" s="26" t="s">
        <v>10</v>
      </c>
      <c r="AT13" s="26" t="s">
        <v>10</v>
      </c>
      <c r="AU13" s="26" t="s">
        <v>10</v>
      </c>
      <c r="AV13" s="30" t="s">
        <v>10</v>
      </c>
      <c r="AW13" s="33" t="s">
        <v>10</v>
      </c>
      <c r="AX13" s="26" t="s">
        <v>10</v>
      </c>
      <c r="AY13" s="26" t="s">
        <v>10</v>
      </c>
      <c r="AZ13" s="26" t="s">
        <v>10</v>
      </c>
      <c r="BA13" s="30" t="s">
        <v>10</v>
      </c>
      <c r="BB13" s="33" t="s">
        <v>10</v>
      </c>
      <c r="BC13" s="26" t="s">
        <v>10</v>
      </c>
      <c r="BD13" s="26" t="s">
        <v>10</v>
      </c>
      <c r="BE13" s="26" t="s">
        <v>10</v>
      </c>
      <c r="BF13" s="30" t="s">
        <v>10</v>
      </c>
      <c r="BG13" s="33" t="s">
        <v>10</v>
      </c>
      <c r="BH13" s="26" t="s">
        <v>10</v>
      </c>
      <c r="BI13" s="26" t="s">
        <v>10</v>
      </c>
      <c r="BJ13" s="26" t="s">
        <v>10</v>
      </c>
      <c r="BK13" s="30" t="s">
        <v>10</v>
      </c>
      <c r="BL13" s="33" t="s">
        <v>10</v>
      </c>
      <c r="BM13" s="26" t="s">
        <v>10</v>
      </c>
      <c r="BN13" s="26" t="s">
        <v>10</v>
      </c>
      <c r="BO13" s="26" t="s">
        <v>10</v>
      </c>
      <c r="BP13" s="30" t="s">
        <v>10</v>
      </c>
      <c r="BQ13" s="33" t="s">
        <v>10</v>
      </c>
      <c r="BR13" s="26" t="s">
        <v>10</v>
      </c>
      <c r="BS13" s="26" t="s">
        <v>10</v>
      </c>
      <c r="BT13" s="30" t="s">
        <v>10</v>
      </c>
      <c r="BU13" s="89">
        <f t="shared" ref="BU13:BU15" si="6">IFERROR(AVERAGE(D13:BT15),0)</f>
        <v>0.22728985507246385</v>
      </c>
      <c r="BV13" s="89">
        <f t="shared" ref="BV13:BV15" si="7">MIN(D13:BT15)</f>
        <v>0.21099999999999999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75">
        <v>8.3000000000000004E-2</v>
      </c>
      <c r="B14" s="7" t="s">
        <v>11</v>
      </c>
      <c r="C14" s="11" t="s">
        <v>12</v>
      </c>
      <c r="D14" s="29">
        <v>0.223</v>
      </c>
      <c r="E14" s="22">
        <v>0.222</v>
      </c>
      <c r="F14" s="22">
        <v>0.222</v>
      </c>
      <c r="G14" s="22">
        <v>0.23</v>
      </c>
      <c r="H14" s="31">
        <v>0.216</v>
      </c>
      <c r="I14" s="34">
        <v>0.219</v>
      </c>
      <c r="J14" s="22">
        <v>0.221</v>
      </c>
      <c r="K14" s="22">
        <v>0.219</v>
      </c>
      <c r="L14" s="22">
        <v>0.222</v>
      </c>
      <c r="M14" s="31">
        <v>0.224</v>
      </c>
      <c r="N14" s="34">
        <v>0.221</v>
      </c>
      <c r="O14" s="22">
        <v>0.217</v>
      </c>
      <c r="P14" s="22">
        <v>0.33</v>
      </c>
      <c r="Q14" s="22">
        <v>0.224</v>
      </c>
      <c r="R14" s="31">
        <v>0.222</v>
      </c>
      <c r="S14" s="34">
        <v>0.217</v>
      </c>
      <c r="T14" s="22">
        <v>0.217</v>
      </c>
      <c r="U14" s="22">
        <v>0.224</v>
      </c>
      <c r="V14" s="22">
        <v>0.22</v>
      </c>
      <c r="W14" s="31">
        <v>0.219</v>
      </c>
      <c r="X14" s="34">
        <v>0.22700000000000001</v>
      </c>
      <c r="Y14" s="22">
        <v>0.23</v>
      </c>
      <c r="Z14" s="22">
        <v>0.221</v>
      </c>
      <c r="AA14" s="22">
        <v>0.22</v>
      </c>
      <c r="AB14" s="31">
        <v>0.223</v>
      </c>
      <c r="AC14" s="34">
        <v>0.23400000000000001</v>
      </c>
      <c r="AD14" s="22">
        <v>0.223</v>
      </c>
      <c r="AE14" s="22">
        <v>0.222</v>
      </c>
      <c r="AF14" s="22">
        <v>0.221</v>
      </c>
      <c r="AG14" s="31">
        <v>0.218</v>
      </c>
      <c r="AH14" s="34">
        <v>0.222</v>
      </c>
      <c r="AI14" s="22">
        <v>0.219</v>
      </c>
      <c r="AJ14" s="22">
        <v>0.222</v>
      </c>
      <c r="AK14" s="22">
        <v>0.221</v>
      </c>
      <c r="AL14" s="31">
        <v>0.214</v>
      </c>
      <c r="AM14" s="34">
        <v>0.215</v>
      </c>
      <c r="AN14" s="22">
        <v>0.21099999999999999</v>
      </c>
      <c r="AO14" s="22">
        <v>0.22500000000000001</v>
      </c>
      <c r="AP14" s="22">
        <v>0.219</v>
      </c>
      <c r="AQ14" s="31">
        <v>0.22700000000000001</v>
      </c>
      <c r="AR14" s="34">
        <v>0.218</v>
      </c>
      <c r="AS14" s="22">
        <v>0.218</v>
      </c>
      <c r="AT14" s="22">
        <v>0.21299999999999999</v>
      </c>
      <c r="AU14" s="22">
        <v>0.222</v>
      </c>
      <c r="AV14" s="31">
        <v>0.223</v>
      </c>
      <c r="AW14" s="34">
        <v>0.214</v>
      </c>
      <c r="AX14" s="22">
        <v>0.215</v>
      </c>
      <c r="AY14" s="22">
        <v>0.31900000000000001</v>
      </c>
      <c r="AZ14" s="22">
        <v>0.32100000000000001</v>
      </c>
      <c r="BA14" s="31">
        <v>0.222</v>
      </c>
      <c r="BB14" s="34">
        <v>0.221</v>
      </c>
      <c r="BC14" s="22">
        <v>0.22</v>
      </c>
      <c r="BD14" s="22">
        <v>0.22900000000000001</v>
      </c>
      <c r="BE14" s="22">
        <v>0.224</v>
      </c>
      <c r="BF14" s="31">
        <v>0.217</v>
      </c>
      <c r="BG14" s="34">
        <v>0.22500000000000001</v>
      </c>
      <c r="BH14" s="22">
        <v>0.22600000000000001</v>
      </c>
      <c r="BI14" s="22">
        <v>0.22600000000000001</v>
      </c>
      <c r="BJ14" s="22">
        <v>0.219</v>
      </c>
      <c r="BK14" s="31">
        <v>0.21099999999999999</v>
      </c>
      <c r="BL14" s="34">
        <v>0.22600000000000001</v>
      </c>
      <c r="BM14" s="22">
        <v>0.221</v>
      </c>
      <c r="BN14" s="22">
        <v>0.221</v>
      </c>
      <c r="BO14" s="22">
        <v>0.224</v>
      </c>
      <c r="BP14" s="31">
        <v>0.26100000000000001</v>
      </c>
      <c r="BQ14" s="34">
        <v>0.26500000000000001</v>
      </c>
      <c r="BR14" s="22">
        <v>0.223</v>
      </c>
      <c r="BS14" s="22">
        <v>0.216</v>
      </c>
      <c r="BT14" s="31">
        <v>0.26</v>
      </c>
      <c r="BU14" s="90">
        <f t="shared" si="6"/>
        <v>17.613644927536232</v>
      </c>
      <c r="BV14" s="90">
        <f t="shared" si="7"/>
        <v>0.21099999999999999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75"/>
      <c r="B15" s="8" t="s">
        <v>13</v>
      </c>
      <c r="C15" s="12" t="s">
        <v>14</v>
      </c>
      <c r="D15" s="27" t="s">
        <v>10</v>
      </c>
      <c r="E15" s="28" t="s">
        <v>10</v>
      </c>
      <c r="F15" s="28" t="s">
        <v>10</v>
      </c>
      <c r="G15" s="28" t="s">
        <v>10</v>
      </c>
      <c r="H15" s="32" t="s">
        <v>10</v>
      </c>
      <c r="I15" s="35" t="s">
        <v>10</v>
      </c>
      <c r="J15" s="28" t="s">
        <v>10</v>
      </c>
      <c r="K15" s="28" t="s">
        <v>10</v>
      </c>
      <c r="L15" s="28" t="s">
        <v>10</v>
      </c>
      <c r="M15" s="32" t="s">
        <v>10</v>
      </c>
      <c r="N15" s="35" t="s">
        <v>10</v>
      </c>
      <c r="O15" s="28" t="s">
        <v>10</v>
      </c>
      <c r="P15" s="28" t="s">
        <v>10</v>
      </c>
      <c r="Q15" s="28" t="s">
        <v>10</v>
      </c>
      <c r="R15" s="32" t="s">
        <v>10</v>
      </c>
      <c r="S15" s="35" t="s">
        <v>10</v>
      </c>
      <c r="T15" s="28" t="s">
        <v>10</v>
      </c>
      <c r="U15" s="28" t="s">
        <v>10</v>
      </c>
      <c r="V15" s="28" t="s">
        <v>10</v>
      </c>
      <c r="W15" s="32" t="s">
        <v>10</v>
      </c>
      <c r="X15" s="35" t="s">
        <v>10</v>
      </c>
      <c r="Y15" s="28" t="s">
        <v>10</v>
      </c>
      <c r="Z15" s="28" t="s">
        <v>10</v>
      </c>
      <c r="AA15" s="28" t="s">
        <v>10</v>
      </c>
      <c r="AB15" s="32" t="s">
        <v>10</v>
      </c>
      <c r="AC15" s="35" t="s">
        <v>10</v>
      </c>
      <c r="AD15" s="28" t="s">
        <v>10</v>
      </c>
      <c r="AE15" s="28" t="s">
        <v>10</v>
      </c>
      <c r="AF15" s="28" t="s">
        <v>10</v>
      </c>
      <c r="AG15" s="32" t="s">
        <v>10</v>
      </c>
      <c r="AH15" s="35" t="s">
        <v>10</v>
      </c>
      <c r="AI15" s="28" t="s">
        <v>10</v>
      </c>
      <c r="AJ15" s="28" t="s">
        <v>10</v>
      </c>
      <c r="AK15" s="28" t="s">
        <v>10</v>
      </c>
      <c r="AL15" s="32" t="s">
        <v>10</v>
      </c>
      <c r="AM15" s="35" t="s">
        <v>10</v>
      </c>
      <c r="AN15" s="28" t="s">
        <v>10</v>
      </c>
      <c r="AO15" s="28" t="s">
        <v>10</v>
      </c>
      <c r="AP15" s="28" t="s">
        <v>10</v>
      </c>
      <c r="AQ15" s="32" t="s">
        <v>10</v>
      </c>
      <c r="AR15" s="35" t="s">
        <v>10</v>
      </c>
      <c r="AS15" s="28" t="s">
        <v>10</v>
      </c>
      <c r="AT15" s="28" t="s">
        <v>10</v>
      </c>
      <c r="AU15" s="28" t="s">
        <v>10</v>
      </c>
      <c r="AV15" s="32" t="s">
        <v>10</v>
      </c>
      <c r="AW15" s="35" t="s">
        <v>10</v>
      </c>
      <c r="AX15" s="28" t="s">
        <v>10</v>
      </c>
      <c r="AY15" s="28" t="s">
        <v>10</v>
      </c>
      <c r="AZ15" s="28" t="s">
        <v>10</v>
      </c>
      <c r="BA15" s="32" t="s">
        <v>10</v>
      </c>
      <c r="BB15" s="35" t="s">
        <v>10</v>
      </c>
      <c r="BC15" s="28" t="s">
        <v>10</v>
      </c>
      <c r="BD15" s="28" t="s">
        <v>10</v>
      </c>
      <c r="BE15" s="28" t="s">
        <v>10</v>
      </c>
      <c r="BF15" s="32" t="s">
        <v>10</v>
      </c>
      <c r="BG15" s="35" t="s">
        <v>10</v>
      </c>
      <c r="BH15" s="28" t="s">
        <v>10</v>
      </c>
      <c r="BI15" s="28" t="s">
        <v>10</v>
      </c>
      <c r="BJ15" s="28" t="s">
        <v>10</v>
      </c>
      <c r="BK15" s="32" t="s">
        <v>10</v>
      </c>
      <c r="BL15" s="35" t="s">
        <v>10</v>
      </c>
      <c r="BM15" s="28" t="s">
        <v>10</v>
      </c>
      <c r="BN15" s="28" t="s">
        <v>10</v>
      </c>
      <c r="BO15" s="28" t="s">
        <v>10</v>
      </c>
      <c r="BP15" s="32" t="s">
        <v>10</v>
      </c>
      <c r="BQ15" s="35" t="s">
        <v>10</v>
      </c>
      <c r="BR15" s="28" t="s">
        <v>10</v>
      </c>
      <c r="BS15" s="28" t="s">
        <v>10</v>
      </c>
      <c r="BT15" s="32" t="s">
        <v>10</v>
      </c>
      <c r="BU15" s="91">
        <f t="shared" si="6"/>
        <v>35</v>
      </c>
      <c r="BV15" s="91">
        <f t="shared" si="7"/>
        <v>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73" t="s">
        <v>3</v>
      </c>
      <c r="B16" s="74"/>
      <c r="C16" s="18" t="s">
        <v>4</v>
      </c>
      <c r="D16" s="37">
        <v>1</v>
      </c>
      <c r="E16" s="38">
        <v>2</v>
      </c>
      <c r="F16" s="38">
        <v>3</v>
      </c>
      <c r="G16" s="38">
        <v>4</v>
      </c>
      <c r="H16" s="38">
        <v>5</v>
      </c>
      <c r="I16" s="38">
        <v>6</v>
      </c>
      <c r="J16" s="38">
        <v>7</v>
      </c>
      <c r="K16" s="38">
        <v>8</v>
      </c>
      <c r="L16" s="38">
        <v>9</v>
      </c>
      <c r="M16" s="38">
        <v>10</v>
      </c>
      <c r="N16" s="38">
        <v>11</v>
      </c>
      <c r="O16" s="38">
        <v>12</v>
      </c>
      <c r="P16" s="38">
        <v>13</v>
      </c>
      <c r="Q16" s="38">
        <v>14</v>
      </c>
      <c r="R16" s="38">
        <v>15</v>
      </c>
      <c r="S16" s="38">
        <v>16</v>
      </c>
      <c r="T16" s="38">
        <v>17</v>
      </c>
      <c r="U16" s="38">
        <v>18</v>
      </c>
      <c r="V16" s="38">
        <v>19</v>
      </c>
      <c r="W16" s="38">
        <v>20</v>
      </c>
      <c r="X16" s="38">
        <v>21</v>
      </c>
      <c r="Y16" s="38">
        <v>22</v>
      </c>
      <c r="Z16" s="38">
        <v>23</v>
      </c>
      <c r="AA16" s="38">
        <v>24</v>
      </c>
      <c r="AB16" s="38">
        <v>25</v>
      </c>
      <c r="AC16" s="38">
        <v>26</v>
      </c>
      <c r="AD16" s="38">
        <v>27</v>
      </c>
      <c r="AE16" s="38">
        <v>28</v>
      </c>
      <c r="AF16" s="38">
        <v>29</v>
      </c>
      <c r="AG16" s="38">
        <v>30</v>
      </c>
      <c r="AH16" s="38">
        <v>31</v>
      </c>
      <c r="AI16" s="38">
        <v>32</v>
      </c>
      <c r="AJ16" s="38">
        <v>33</v>
      </c>
      <c r="AK16" s="38">
        <v>34</v>
      </c>
      <c r="AL16" s="38">
        <v>35</v>
      </c>
      <c r="AM16" s="38">
        <v>36</v>
      </c>
      <c r="AN16" s="38">
        <v>37</v>
      </c>
      <c r="AO16" s="38">
        <v>38</v>
      </c>
      <c r="AP16" s="38">
        <v>39</v>
      </c>
      <c r="AQ16" s="38">
        <v>40</v>
      </c>
      <c r="AR16" s="38">
        <v>41</v>
      </c>
      <c r="AS16" s="38">
        <v>42</v>
      </c>
      <c r="AT16" s="38">
        <v>43</v>
      </c>
      <c r="AU16" s="38">
        <v>44</v>
      </c>
      <c r="AV16" s="38">
        <v>45</v>
      </c>
      <c r="AW16" s="38">
        <v>46</v>
      </c>
      <c r="AX16" s="38">
        <v>47</v>
      </c>
      <c r="AY16" s="38">
        <v>48</v>
      </c>
      <c r="AZ16" s="38">
        <v>49</v>
      </c>
      <c r="BA16" s="38">
        <v>50</v>
      </c>
      <c r="BB16" s="38">
        <v>51</v>
      </c>
      <c r="BC16" s="38">
        <v>52</v>
      </c>
      <c r="BD16" s="38">
        <v>53</v>
      </c>
      <c r="BE16" s="38">
        <v>54</v>
      </c>
      <c r="BF16" s="38">
        <v>55</v>
      </c>
      <c r="BG16" s="38">
        <v>56</v>
      </c>
      <c r="BH16" s="38">
        <v>57</v>
      </c>
      <c r="BI16" s="38">
        <v>58</v>
      </c>
      <c r="BJ16" s="38">
        <v>59</v>
      </c>
      <c r="BK16" s="38">
        <v>60</v>
      </c>
      <c r="BL16" s="38">
        <v>61</v>
      </c>
      <c r="BM16" s="38">
        <v>62</v>
      </c>
      <c r="BN16" s="38">
        <v>63</v>
      </c>
      <c r="BO16" s="38">
        <v>64</v>
      </c>
      <c r="BP16" s="38">
        <v>65</v>
      </c>
      <c r="BQ16" s="38">
        <v>66</v>
      </c>
      <c r="BR16" s="38">
        <v>67</v>
      </c>
      <c r="BS16" s="38">
        <v>68</v>
      </c>
      <c r="BT16" s="39">
        <v>69</v>
      </c>
      <c r="BU16" s="40" t="s">
        <v>5</v>
      </c>
      <c r="BV16" s="41" t="s">
        <v>6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10</v>
      </c>
      <c r="C97" s="92" t="s">
        <v>10</v>
      </c>
      <c r="D97" s="93"/>
      <c r="E97" s="93"/>
      <c r="F97" s="93"/>
      <c r="G97" s="93"/>
      <c r="H97" s="93"/>
      <c r="I97" s="93"/>
      <c r="J97" s="93"/>
      <c r="K97" s="93"/>
      <c r="L97" s="93"/>
      <c r="M97" s="94" t="s">
        <v>18</v>
      </c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6">
        <v>3</v>
      </c>
      <c r="AA97" s="96"/>
      <c r="AB97" s="96"/>
      <c r="AC97" s="96"/>
      <c r="AD97" s="96"/>
      <c r="AE97" s="96"/>
      <c r="AF97" s="97"/>
      <c r="AG97" s="98" t="s">
        <v>19</v>
      </c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100"/>
      <c r="AW97" s="55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47" t="s">
        <v>20</v>
      </c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8"/>
      <c r="CL97" s="67" t="s">
        <v>21</v>
      </c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9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01" t="s">
        <v>22</v>
      </c>
      <c r="B98" s="42" t="s">
        <v>10</v>
      </c>
      <c r="C98" s="92" t="s">
        <v>10</v>
      </c>
      <c r="D98" s="102"/>
      <c r="E98" s="102"/>
      <c r="F98" s="102"/>
      <c r="G98" s="102"/>
      <c r="H98" s="102"/>
      <c r="I98" s="102"/>
      <c r="J98" s="102"/>
      <c r="K98" s="102"/>
      <c r="L98" s="102"/>
      <c r="M98" s="103" t="s">
        <v>23</v>
      </c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5" t="s">
        <v>24</v>
      </c>
      <c r="AA98" s="105"/>
      <c r="AB98" s="105"/>
      <c r="AC98" s="105"/>
      <c r="AD98" s="105"/>
      <c r="AE98" s="105"/>
      <c r="AF98" s="105"/>
      <c r="AG98" s="106">
        <f>TRUNC(MAX(D4:BT6,D7:BT9,D10:BT12,D13:BT15),3)</f>
        <v>0.33900000000000002</v>
      </c>
      <c r="AH98" s="107"/>
      <c r="AI98" s="107"/>
      <c r="AJ98" s="107"/>
      <c r="AK98" s="107"/>
      <c r="AL98" s="108" t="s">
        <v>25</v>
      </c>
      <c r="AM98" s="109"/>
      <c r="AN98" s="109"/>
      <c r="AO98" s="109"/>
      <c r="AP98" s="109"/>
      <c r="AQ98" s="109"/>
      <c r="AR98" s="109"/>
      <c r="AS98" s="109"/>
      <c r="AT98" s="109"/>
      <c r="AU98" s="109"/>
      <c r="AV98" s="110"/>
      <c r="AW98" s="57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50"/>
      <c r="CL98" s="70" t="s">
        <v>26</v>
      </c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2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01"/>
      <c r="B99" s="42" t="s">
        <v>10</v>
      </c>
      <c r="C99" s="92" t="s">
        <v>10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03" t="s">
        <v>27</v>
      </c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12">
        <v>0.20300000000000001</v>
      </c>
      <c r="AA99" s="112"/>
      <c r="AB99" s="112"/>
      <c r="AC99" s="112"/>
      <c r="AD99" s="112"/>
      <c r="AE99" s="112"/>
      <c r="AF99" s="112"/>
      <c r="AG99" s="113">
        <f>TRUNC(AVERAGE(D4:BT6,D7:BT9,D10:BT12,D13:BT15),3)</f>
        <v>0.22800000000000001</v>
      </c>
      <c r="AH99" s="114"/>
      <c r="AI99" s="114"/>
      <c r="AJ99" s="114"/>
      <c r="AK99" s="114"/>
      <c r="AL99" s="115" t="s">
        <v>28</v>
      </c>
      <c r="AM99" s="116"/>
      <c r="AN99" s="116"/>
      <c r="AO99" s="116"/>
      <c r="AP99" s="116"/>
      <c r="AQ99" s="116"/>
      <c r="AR99" s="116"/>
      <c r="AS99" s="116"/>
      <c r="AT99" s="116"/>
      <c r="AU99" s="116"/>
      <c r="AV99" s="117"/>
      <c r="AW99" s="57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50"/>
      <c r="CL99" s="64" t="s">
        <v>29</v>
      </c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6"/>
    </row>
    <row r="100" spans="1:182" ht="36" customHeight="1" x14ac:dyDescent="0.2">
      <c r="A100" s="101"/>
      <c r="B100" s="42" t="s">
        <v>10</v>
      </c>
      <c r="C100" s="92" t="s">
        <v>10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03" t="s">
        <v>30</v>
      </c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19">
        <v>8.3000000000000004E-2</v>
      </c>
      <c r="AA100" s="119"/>
      <c r="AB100" s="119"/>
      <c r="AC100" s="119"/>
      <c r="AD100" s="119"/>
      <c r="AE100" s="119"/>
      <c r="AF100" s="119"/>
      <c r="AG100" s="120">
        <f>TRUNC(MIN(D4:BT6,D7:BT9,D10:BT12,D13:BT15),3)</f>
        <v>0.20300000000000001</v>
      </c>
      <c r="AH100" s="114"/>
      <c r="AI100" s="114"/>
      <c r="AJ100" s="114"/>
      <c r="AK100" s="114"/>
      <c r="AL100" s="115" t="s">
        <v>31</v>
      </c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7"/>
      <c r="AW100" s="59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2"/>
      <c r="CL100" s="64" t="s">
        <v>32</v>
      </c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6"/>
    </row>
    <row r="101" spans="1:182" ht="36" customHeight="1" x14ac:dyDescent="0.2">
      <c r="A101" s="101"/>
      <c r="B101" s="42" t="s">
        <v>10</v>
      </c>
      <c r="C101" s="92" t="s">
        <v>10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21" t="s">
        <v>33</v>
      </c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3">
        <v>0.1</v>
      </c>
      <c r="AA101" s="123"/>
      <c r="AB101" s="123"/>
      <c r="AC101" s="123"/>
      <c r="AD101" s="123"/>
      <c r="AE101" s="123"/>
      <c r="AF101" s="123"/>
      <c r="AG101" s="124">
        <f>STDEV(D4:BT6,D7:BT9,D10:BT12,D13:BT15)</f>
        <v>2.1743626691869522E-2</v>
      </c>
      <c r="AH101" s="125"/>
      <c r="AI101" s="125"/>
      <c r="AJ101" s="125"/>
      <c r="AK101" s="125"/>
      <c r="AL101" s="126" t="s">
        <v>34</v>
      </c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8"/>
      <c r="AW101" s="53" t="s">
        <v>35</v>
      </c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4"/>
      <c r="CL101" s="86" t="s">
        <v>36</v>
      </c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  <c r="DK101" s="87"/>
      <c r="DL101" s="87"/>
      <c r="DM101" s="87"/>
      <c r="DN101" s="87"/>
      <c r="DO101" s="87"/>
      <c r="DP101" s="87"/>
      <c r="DQ101" s="87"/>
      <c r="DR101" s="87"/>
      <c r="DS101" s="87"/>
      <c r="DT101" s="87"/>
      <c r="DU101" s="87"/>
      <c r="DV101" s="87"/>
      <c r="DW101" s="87"/>
      <c r="DX101" s="87"/>
      <c r="DY101" s="87"/>
      <c r="DZ101" s="88"/>
    </row>
    <row r="102" spans="1:182" ht="36" customHeight="1" x14ac:dyDescent="0.35">
      <c r="B102" s="16" t="s">
        <v>37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47" t="s">
        <v>20</v>
      </c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8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50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50"/>
    </row>
    <row r="108" spans="1:182" x14ac:dyDescent="0.2"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2"/>
    </row>
    <row r="110" spans="1:182" x14ac:dyDescent="0.2">
      <c r="BR110" s="47" t="s">
        <v>38</v>
      </c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8"/>
    </row>
    <row r="111" spans="1:182" x14ac:dyDescent="0.2"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50"/>
    </row>
    <row r="112" spans="1:182" x14ac:dyDescent="0.2"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50"/>
    </row>
    <row r="113" spans="70:89" x14ac:dyDescent="0.2"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2"/>
    </row>
    <row r="115" spans="70:89" x14ac:dyDescent="0.2">
      <c r="BR115" s="47" t="s">
        <v>39</v>
      </c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8"/>
    </row>
    <row r="116" spans="70:89" x14ac:dyDescent="0.2"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50"/>
    </row>
    <row r="117" spans="70:89" x14ac:dyDescent="0.2"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50"/>
    </row>
    <row r="118" spans="70:89" x14ac:dyDescent="0.2"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2"/>
    </row>
  </sheetData>
  <mergeCells count="55">
    <mergeCell ref="AL100:AV100"/>
    <mergeCell ref="C101:L101"/>
    <mergeCell ref="M101:Y101"/>
    <mergeCell ref="Z101:AF101"/>
    <mergeCell ref="AG101:AK101"/>
    <mergeCell ref="AL101:AV101"/>
    <mergeCell ref="AG97:AV97"/>
    <mergeCell ref="A98:A101"/>
    <mergeCell ref="C98:L98"/>
    <mergeCell ref="M98:Y98"/>
    <mergeCell ref="Z98:AF98"/>
    <mergeCell ref="AG98:AK98"/>
    <mergeCell ref="AL98:AV98"/>
    <mergeCell ref="C99:L99"/>
    <mergeCell ref="M99:Y99"/>
    <mergeCell ref="Z99:AF99"/>
    <mergeCell ref="AG99:AK99"/>
    <mergeCell ref="AL99:AV99"/>
    <mergeCell ref="C100:L100"/>
    <mergeCell ref="M100:Y100"/>
    <mergeCell ref="Z100:AF100"/>
    <mergeCell ref="AG100:AK100"/>
    <mergeCell ref="CL101:DZ101"/>
    <mergeCell ref="A8:A9"/>
    <mergeCell ref="BU4:BU6"/>
    <mergeCell ref="BV4:BV6"/>
    <mergeCell ref="A11:A12"/>
    <mergeCell ref="BU7:BU9"/>
    <mergeCell ref="BV7:BV9"/>
    <mergeCell ref="A14:A15"/>
    <mergeCell ref="BU10:BU12"/>
    <mergeCell ref="BV10:BV12"/>
    <mergeCell ref="BU13:BU15"/>
    <mergeCell ref="BV13:BV15"/>
    <mergeCell ref="A16:B16"/>
    <mergeCell ref="C97:L97"/>
    <mergeCell ref="M97:Y97"/>
    <mergeCell ref="Z97:AF97"/>
    <mergeCell ref="A3:B3"/>
    <mergeCell ref="A5:A6"/>
    <mergeCell ref="A1:B2"/>
    <mergeCell ref="C1:DP1"/>
    <mergeCell ref="C2:DP2"/>
    <mergeCell ref="DQ1:DZ1"/>
    <mergeCell ref="DQ2:DZ2"/>
    <mergeCell ref="CL100:DZ100"/>
    <mergeCell ref="CL99:DZ99"/>
    <mergeCell ref="CL97:DZ97"/>
    <mergeCell ref="CL98:DZ98"/>
    <mergeCell ref="BR110:CK113"/>
    <mergeCell ref="BR115:CK118"/>
    <mergeCell ref="AW101:CK101"/>
    <mergeCell ref="AW97:BQ100"/>
    <mergeCell ref="BR105:CK108"/>
    <mergeCell ref="BR97:CK100"/>
  </mergeCells>
  <phoneticPr fontId="0" type="noConversion"/>
  <conditionalFormatting sqref="D4:BT15 AG98:AG100">
    <cfRule type="cellIs" dxfId="5" priority="1" operator="between">
      <formula>0.001</formula>
      <formula>0.999</formula>
    </cfRule>
    <cfRule type="containsText" dxfId="4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6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18"/>
  <sheetViews>
    <sheetView zoomScale="50" zoomScaleNormal="50" workbookViewId="0">
      <selection activeCell="AS7" sqref="AS7:AS9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129">
        <f>Thickness!A1</f>
        <v>2025</v>
      </c>
      <c r="B1" s="130"/>
      <c r="C1" s="133" t="str">
        <f>IF(ISBLANK(Thickness!C1),"",(Thickness!C1))</f>
        <v/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5"/>
      <c r="DQ1" s="61" t="s">
        <v>0</v>
      </c>
      <c r="DR1" s="62"/>
      <c r="DS1" s="62"/>
      <c r="DT1" s="62"/>
      <c r="DU1" s="62"/>
      <c r="DV1" s="62"/>
      <c r="DW1" s="62"/>
      <c r="DX1" s="62"/>
      <c r="DY1" s="62"/>
      <c r="DZ1" s="63"/>
    </row>
    <row r="2" spans="1:182" s="5" customFormat="1" ht="36" customHeight="1" x14ac:dyDescent="0.2">
      <c r="A2" s="131"/>
      <c r="B2" s="132"/>
      <c r="C2" s="83" t="s">
        <v>40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5"/>
      <c r="DQ2" s="61" t="s">
        <v>2</v>
      </c>
      <c r="DR2" s="62"/>
      <c r="DS2" s="62"/>
      <c r="DT2" s="62"/>
      <c r="DU2" s="62"/>
      <c r="DV2" s="62"/>
      <c r="DW2" s="62"/>
      <c r="DX2" s="62"/>
      <c r="DY2" s="62"/>
      <c r="DZ2" s="63"/>
      <c r="EA2" s="4"/>
    </row>
    <row r="3" spans="1:182" s="5" customFormat="1" ht="36" customHeight="1" x14ac:dyDescent="0.2">
      <c r="A3" s="73" t="s">
        <v>3</v>
      </c>
      <c r="B3" s="74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43">
        <v>69</v>
      </c>
      <c r="BU3" s="40" t="s">
        <v>5</v>
      </c>
      <c r="BV3" s="41" t="s">
        <v>6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/>
      <c r="E4" s="26"/>
      <c r="F4" s="26"/>
      <c r="G4" s="26"/>
      <c r="H4" s="30"/>
      <c r="I4" s="33"/>
      <c r="J4" s="26"/>
      <c r="K4" s="26"/>
      <c r="L4" s="26"/>
      <c r="M4" s="30"/>
      <c r="N4" s="33"/>
      <c r="O4" s="26"/>
      <c r="P4" s="26"/>
      <c r="Q4" s="26"/>
      <c r="R4" s="30"/>
      <c r="S4" s="33"/>
      <c r="T4" s="26"/>
      <c r="U4" s="26"/>
      <c r="V4" s="26"/>
      <c r="W4" s="30"/>
      <c r="X4" s="33"/>
      <c r="Y4" s="26"/>
      <c r="Z4" s="26"/>
      <c r="AA4" s="26"/>
      <c r="AB4" s="30"/>
      <c r="AC4" s="33"/>
      <c r="AD4" s="26"/>
      <c r="AE4" s="26"/>
      <c r="AF4" s="26"/>
      <c r="AG4" s="30"/>
      <c r="AH4" s="33"/>
      <c r="AI4" s="26"/>
      <c r="AJ4" s="26"/>
      <c r="AK4" s="26"/>
      <c r="AL4" s="30"/>
      <c r="AM4" s="33"/>
      <c r="AN4" s="26"/>
      <c r="AO4" s="26"/>
      <c r="AP4" s="26"/>
      <c r="AQ4" s="30"/>
      <c r="AR4" s="33"/>
      <c r="AS4" s="26"/>
      <c r="AT4" s="26"/>
      <c r="AU4" s="26"/>
      <c r="AV4" s="30"/>
      <c r="AW4" s="33"/>
      <c r="AX4" s="26"/>
      <c r="AY4" s="26"/>
      <c r="AZ4" s="26"/>
      <c r="BA4" s="30"/>
      <c r="BB4" s="33"/>
      <c r="BC4" s="26"/>
      <c r="BD4" s="26"/>
      <c r="BE4" s="26"/>
      <c r="BF4" s="30"/>
      <c r="BG4" s="33"/>
      <c r="BH4" s="26"/>
      <c r="BI4" s="26"/>
      <c r="BJ4" s="26"/>
      <c r="BK4" s="30"/>
      <c r="BL4" s="33"/>
      <c r="BM4" s="26"/>
      <c r="BN4" s="26"/>
      <c r="BO4" s="26"/>
      <c r="BP4" s="30"/>
      <c r="BQ4" s="33"/>
      <c r="BR4" s="26"/>
      <c r="BS4" s="26"/>
      <c r="BT4" s="30"/>
      <c r="BU4" s="89">
        <f t="shared" ref="BU4:BU6" si="0">IFERROR(AVERAGE(D4:BT6),0)</f>
        <v>0</v>
      </c>
      <c r="BV4" s="89">
        <f t="shared" ref="BV4:BV6" si="1">MIN(D4:BT6)</f>
        <v>0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75" t="s">
        <v>10</v>
      </c>
      <c r="B5" s="7" t="s">
        <v>11</v>
      </c>
      <c r="C5" s="11" t="s">
        <v>12</v>
      </c>
      <c r="D5" s="29"/>
      <c r="E5" s="22"/>
      <c r="F5" s="22"/>
      <c r="G5" s="22"/>
      <c r="H5" s="31"/>
      <c r="I5" s="34"/>
      <c r="J5" s="22"/>
      <c r="K5" s="22"/>
      <c r="L5" s="22"/>
      <c r="M5" s="31"/>
      <c r="N5" s="34"/>
      <c r="O5" s="22"/>
      <c r="P5" s="22"/>
      <c r="Q5" s="22"/>
      <c r="R5" s="31"/>
      <c r="S5" s="34"/>
      <c r="T5" s="22"/>
      <c r="U5" s="22"/>
      <c r="V5" s="22"/>
      <c r="W5" s="31"/>
      <c r="X5" s="34"/>
      <c r="Y5" s="22"/>
      <c r="Z5" s="22"/>
      <c r="AA5" s="22"/>
      <c r="AB5" s="31"/>
      <c r="AC5" s="34"/>
      <c r="AD5" s="22"/>
      <c r="AE5" s="22"/>
      <c r="AF5" s="22"/>
      <c r="AG5" s="31"/>
      <c r="AH5" s="34"/>
      <c r="AI5" s="22"/>
      <c r="AJ5" s="22"/>
      <c r="AK5" s="22"/>
      <c r="AL5" s="31"/>
      <c r="AM5" s="34"/>
      <c r="AN5" s="22"/>
      <c r="AO5" s="22"/>
      <c r="AP5" s="22"/>
      <c r="AQ5" s="31"/>
      <c r="AR5" s="34"/>
      <c r="AS5" s="22"/>
      <c r="AT5" s="22"/>
      <c r="AU5" s="22"/>
      <c r="AV5" s="31"/>
      <c r="AW5" s="34"/>
      <c r="AX5" s="22"/>
      <c r="AY5" s="22"/>
      <c r="AZ5" s="22"/>
      <c r="BA5" s="31"/>
      <c r="BB5" s="34"/>
      <c r="BC5" s="22"/>
      <c r="BD5" s="22"/>
      <c r="BE5" s="22"/>
      <c r="BF5" s="31"/>
      <c r="BG5" s="34"/>
      <c r="BH5" s="22"/>
      <c r="BI5" s="22"/>
      <c r="BJ5" s="22"/>
      <c r="BK5" s="31"/>
      <c r="BL5" s="34"/>
      <c r="BM5" s="22"/>
      <c r="BN5" s="22"/>
      <c r="BO5" s="22"/>
      <c r="BP5" s="31"/>
      <c r="BQ5" s="34"/>
      <c r="BR5" s="22"/>
      <c r="BS5" s="22"/>
      <c r="BT5" s="31"/>
      <c r="BU5" s="90">
        <f t="shared" si="0"/>
        <v>0</v>
      </c>
      <c r="BV5" s="90">
        <f t="shared" si="1"/>
        <v>0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75"/>
      <c r="B6" s="8" t="s">
        <v>13</v>
      </c>
      <c r="C6" s="12" t="s">
        <v>14</v>
      </c>
      <c r="D6" s="27"/>
      <c r="E6" s="28"/>
      <c r="F6" s="28"/>
      <c r="G6" s="28"/>
      <c r="H6" s="32"/>
      <c r="I6" s="35"/>
      <c r="J6" s="28"/>
      <c r="K6" s="28"/>
      <c r="L6" s="28"/>
      <c r="M6" s="32"/>
      <c r="N6" s="35"/>
      <c r="O6" s="28"/>
      <c r="P6" s="28"/>
      <c r="Q6" s="28"/>
      <c r="R6" s="32"/>
      <c r="S6" s="35"/>
      <c r="T6" s="28"/>
      <c r="U6" s="28"/>
      <c r="V6" s="28"/>
      <c r="W6" s="32"/>
      <c r="X6" s="35"/>
      <c r="Y6" s="28"/>
      <c r="Z6" s="28"/>
      <c r="AA6" s="28"/>
      <c r="AB6" s="32"/>
      <c r="AC6" s="35"/>
      <c r="AD6" s="28"/>
      <c r="AE6" s="28"/>
      <c r="AF6" s="28"/>
      <c r="AG6" s="32"/>
      <c r="AH6" s="35"/>
      <c r="AI6" s="28"/>
      <c r="AJ6" s="28"/>
      <c r="AK6" s="28"/>
      <c r="AL6" s="32"/>
      <c r="AM6" s="35"/>
      <c r="AN6" s="28"/>
      <c r="AO6" s="28"/>
      <c r="AP6" s="28"/>
      <c r="AQ6" s="32"/>
      <c r="AR6" s="35"/>
      <c r="AS6" s="28"/>
      <c r="AT6" s="28"/>
      <c r="AU6" s="28"/>
      <c r="AV6" s="32"/>
      <c r="AW6" s="35"/>
      <c r="AX6" s="28"/>
      <c r="AY6" s="28"/>
      <c r="AZ6" s="28"/>
      <c r="BA6" s="32"/>
      <c r="BB6" s="35"/>
      <c r="BC6" s="28"/>
      <c r="BD6" s="28"/>
      <c r="BE6" s="28"/>
      <c r="BF6" s="32"/>
      <c r="BG6" s="35"/>
      <c r="BH6" s="28"/>
      <c r="BI6" s="28"/>
      <c r="BJ6" s="28"/>
      <c r="BK6" s="32"/>
      <c r="BL6" s="35"/>
      <c r="BM6" s="28"/>
      <c r="BN6" s="28"/>
      <c r="BO6" s="28"/>
      <c r="BP6" s="32"/>
      <c r="BQ6" s="35"/>
      <c r="BR6" s="28"/>
      <c r="BS6" s="28"/>
      <c r="BT6" s="32"/>
      <c r="BU6" s="91">
        <f t="shared" si="0"/>
        <v>0</v>
      </c>
      <c r="BV6" s="91">
        <f t="shared" si="1"/>
        <v>0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7</v>
      </c>
      <c r="B7" s="6" t="s">
        <v>15</v>
      </c>
      <c r="C7" s="11" t="s">
        <v>9</v>
      </c>
      <c r="D7" s="25"/>
      <c r="E7" s="26"/>
      <c r="F7" s="26"/>
      <c r="G7" s="26"/>
      <c r="H7" s="30"/>
      <c r="I7" s="33"/>
      <c r="J7" s="26"/>
      <c r="K7" s="26"/>
      <c r="L7" s="26"/>
      <c r="M7" s="30"/>
      <c r="N7" s="33"/>
      <c r="O7" s="26"/>
      <c r="P7" s="26"/>
      <c r="Q7" s="26"/>
      <c r="R7" s="30"/>
      <c r="S7" s="33"/>
      <c r="T7" s="26"/>
      <c r="U7" s="26"/>
      <c r="V7" s="26"/>
      <c r="W7" s="30"/>
      <c r="X7" s="33"/>
      <c r="Y7" s="26"/>
      <c r="Z7" s="26"/>
      <c r="AA7" s="26"/>
      <c r="AB7" s="30"/>
      <c r="AC7" s="33"/>
      <c r="AD7" s="26"/>
      <c r="AE7" s="26"/>
      <c r="AF7" s="26"/>
      <c r="AG7" s="30"/>
      <c r="AH7" s="33"/>
      <c r="AI7" s="26"/>
      <c r="AJ7" s="26"/>
      <c r="AK7" s="26"/>
      <c r="AL7" s="30"/>
      <c r="AM7" s="33"/>
      <c r="AN7" s="26"/>
      <c r="AO7" s="26"/>
      <c r="AP7" s="26"/>
      <c r="AQ7" s="30"/>
      <c r="AR7" s="33"/>
      <c r="AS7" s="26"/>
      <c r="AT7" s="26"/>
      <c r="AU7" s="26"/>
      <c r="AV7" s="30"/>
      <c r="AW7" s="33"/>
      <c r="AX7" s="26"/>
      <c r="AY7" s="26"/>
      <c r="AZ7" s="26"/>
      <c r="BA7" s="30"/>
      <c r="BB7" s="33"/>
      <c r="BC7" s="26"/>
      <c r="BD7" s="26"/>
      <c r="BE7" s="26"/>
      <c r="BF7" s="30"/>
      <c r="BG7" s="33"/>
      <c r="BH7" s="26"/>
      <c r="BI7" s="26"/>
      <c r="BJ7" s="26"/>
      <c r="BK7" s="30"/>
      <c r="BL7" s="33"/>
      <c r="BM7" s="26"/>
      <c r="BN7" s="26"/>
      <c r="BO7" s="26"/>
      <c r="BP7" s="30"/>
      <c r="BQ7" s="33"/>
      <c r="BR7" s="26"/>
      <c r="BS7" s="26"/>
      <c r="BT7" s="30"/>
      <c r="BU7" s="89">
        <f t="shared" ref="BU7:BU9" si="2">IFERROR(AVERAGE(D7:BT9),0)</f>
        <v>0</v>
      </c>
      <c r="BV7" s="89">
        <f t="shared" ref="BV7:BV9" si="3">MIN(D7:BT9)</f>
        <v>0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75" t="s">
        <v>10</v>
      </c>
      <c r="B8" s="7" t="s">
        <v>11</v>
      </c>
      <c r="C8" s="11" t="s">
        <v>12</v>
      </c>
      <c r="D8" s="29"/>
      <c r="E8" s="22"/>
      <c r="F8" s="22"/>
      <c r="G8" s="22"/>
      <c r="H8" s="31"/>
      <c r="I8" s="34"/>
      <c r="J8" s="22"/>
      <c r="K8" s="22"/>
      <c r="L8" s="22"/>
      <c r="M8" s="31"/>
      <c r="N8" s="34"/>
      <c r="O8" s="22"/>
      <c r="P8" s="22"/>
      <c r="Q8" s="22"/>
      <c r="R8" s="31"/>
      <c r="S8" s="34"/>
      <c r="T8" s="22"/>
      <c r="U8" s="22"/>
      <c r="V8" s="22"/>
      <c r="W8" s="31"/>
      <c r="X8" s="34"/>
      <c r="Y8" s="22"/>
      <c r="Z8" s="22"/>
      <c r="AA8" s="22"/>
      <c r="AB8" s="31"/>
      <c r="AC8" s="34"/>
      <c r="AD8" s="22"/>
      <c r="AE8" s="22"/>
      <c r="AF8" s="22"/>
      <c r="AG8" s="31"/>
      <c r="AH8" s="34"/>
      <c r="AI8" s="22"/>
      <c r="AJ8" s="22"/>
      <c r="AK8" s="22"/>
      <c r="AL8" s="31"/>
      <c r="AM8" s="34"/>
      <c r="AN8" s="22"/>
      <c r="AO8" s="22"/>
      <c r="AP8" s="22"/>
      <c r="AQ8" s="31"/>
      <c r="AR8" s="34"/>
      <c r="AS8" s="22"/>
      <c r="AT8" s="22"/>
      <c r="AU8" s="22"/>
      <c r="AV8" s="31"/>
      <c r="AW8" s="34"/>
      <c r="AX8" s="22"/>
      <c r="AY8" s="22"/>
      <c r="AZ8" s="22"/>
      <c r="BA8" s="31"/>
      <c r="BB8" s="34"/>
      <c r="BC8" s="22"/>
      <c r="BD8" s="22"/>
      <c r="BE8" s="22"/>
      <c r="BF8" s="31"/>
      <c r="BG8" s="34"/>
      <c r="BH8" s="22"/>
      <c r="BI8" s="22"/>
      <c r="BJ8" s="22"/>
      <c r="BK8" s="31"/>
      <c r="BL8" s="34"/>
      <c r="BM8" s="22"/>
      <c r="BN8" s="22"/>
      <c r="BO8" s="22"/>
      <c r="BP8" s="31"/>
      <c r="BQ8" s="34"/>
      <c r="BR8" s="22"/>
      <c r="BS8" s="22"/>
      <c r="BT8" s="31"/>
      <c r="BU8" s="90">
        <f t="shared" si="2"/>
        <v>0</v>
      </c>
      <c r="BV8" s="90">
        <f t="shared" si="3"/>
        <v>0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75"/>
      <c r="B9" s="8" t="s">
        <v>13</v>
      </c>
      <c r="C9" s="12" t="s">
        <v>14</v>
      </c>
      <c r="D9" s="27"/>
      <c r="E9" s="28"/>
      <c r="F9" s="28"/>
      <c r="G9" s="28"/>
      <c r="H9" s="32"/>
      <c r="I9" s="35"/>
      <c r="J9" s="28"/>
      <c r="K9" s="28"/>
      <c r="L9" s="28"/>
      <c r="M9" s="32"/>
      <c r="N9" s="35"/>
      <c r="O9" s="28"/>
      <c r="P9" s="28"/>
      <c r="Q9" s="28"/>
      <c r="R9" s="32"/>
      <c r="S9" s="35"/>
      <c r="T9" s="28"/>
      <c r="U9" s="28"/>
      <c r="V9" s="28"/>
      <c r="W9" s="32"/>
      <c r="X9" s="35"/>
      <c r="Y9" s="28"/>
      <c r="Z9" s="28"/>
      <c r="AA9" s="28"/>
      <c r="AB9" s="32"/>
      <c r="AC9" s="35"/>
      <c r="AD9" s="28"/>
      <c r="AE9" s="28"/>
      <c r="AF9" s="28"/>
      <c r="AG9" s="32"/>
      <c r="AH9" s="35"/>
      <c r="AI9" s="28"/>
      <c r="AJ9" s="28"/>
      <c r="AK9" s="28"/>
      <c r="AL9" s="32"/>
      <c r="AM9" s="35"/>
      <c r="AN9" s="28"/>
      <c r="AO9" s="28"/>
      <c r="AP9" s="28"/>
      <c r="AQ9" s="32"/>
      <c r="AR9" s="35"/>
      <c r="AS9" s="28"/>
      <c r="AT9" s="28"/>
      <c r="AU9" s="28"/>
      <c r="AV9" s="32"/>
      <c r="AW9" s="35"/>
      <c r="AX9" s="28"/>
      <c r="AY9" s="28"/>
      <c r="AZ9" s="28"/>
      <c r="BA9" s="32"/>
      <c r="BB9" s="35"/>
      <c r="BC9" s="28"/>
      <c r="BD9" s="28"/>
      <c r="BE9" s="28"/>
      <c r="BF9" s="32"/>
      <c r="BG9" s="35"/>
      <c r="BH9" s="28"/>
      <c r="BI9" s="28"/>
      <c r="BJ9" s="28"/>
      <c r="BK9" s="32"/>
      <c r="BL9" s="35"/>
      <c r="BM9" s="28"/>
      <c r="BN9" s="28"/>
      <c r="BO9" s="28"/>
      <c r="BP9" s="32"/>
      <c r="BQ9" s="35"/>
      <c r="BR9" s="28"/>
      <c r="BS9" s="28"/>
      <c r="BT9" s="32"/>
      <c r="BU9" s="91">
        <f t="shared" si="2"/>
        <v>0</v>
      </c>
      <c r="BV9" s="91">
        <f t="shared" si="3"/>
        <v>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7</v>
      </c>
      <c r="B10" s="6" t="s">
        <v>16</v>
      </c>
      <c r="C10" s="11" t="s">
        <v>9</v>
      </c>
      <c r="D10" s="25"/>
      <c r="E10" s="26"/>
      <c r="F10" s="26"/>
      <c r="G10" s="26"/>
      <c r="H10" s="30"/>
      <c r="I10" s="33"/>
      <c r="J10" s="26"/>
      <c r="K10" s="26"/>
      <c r="L10" s="26"/>
      <c r="M10" s="30"/>
      <c r="N10" s="33"/>
      <c r="O10" s="26"/>
      <c r="P10" s="26"/>
      <c r="Q10" s="26"/>
      <c r="R10" s="30"/>
      <c r="S10" s="33"/>
      <c r="T10" s="26"/>
      <c r="U10" s="26"/>
      <c r="V10" s="26"/>
      <c r="W10" s="30"/>
      <c r="X10" s="33"/>
      <c r="Y10" s="26"/>
      <c r="Z10" s="26"/>
      <c r="AA10" s="26"/>
      <c r="AB10" s="30"/>
      <c r="AC10" s="33"/>
      <c r="AD10" s="26"/>
      <c r="AE10" s="26"/>
      <c r="AF10" s="26"/>
      <c r="AG10" s="30"/>
      <c r="AH10" s="33"/>
      <c r="AI10" s="26"/>
      <c r="AJ10" s="26"/>
      <c r="AK10" s="26"/>
      <c r="AL10" s="30"/>
      <c r="AM10" s="33"/>
      <c r="AN10" s="26"/>
      <c r="AO10" s="26"/>
      <c r="AP10" s="26"/>
      <c r="AQ10" s="30"/>
      <c r="AR10" s="33"/>
      <c r="AS10" s="26"/>
      <c r="AT10" s="26"/>
      <c r="AU10" s="26"/>
      <c r="AV10" s="30"/>
      <c r="AW10" s="33"/>
      <c r="AX10" s="26"/>
      <c r="AY10" s="26"/>
      <c r="AZ10" s="26"/>
      <c r="BA10" s="30"/>
      <c r="BB10" s="33"/>
      <c r="BC10" s="26"/>
      <c r="BD10" s="26"/>
      <c r="BE10" s="26"/>
      <c r="BF10" s="30"/>
      <c r="BG10" s="33"/>
      <c r="BH10" s="26"/>
      <c r="BI10" s="26"/>
      <c r="BJ10" s="26"/>
      <c r="BK10" s="30"/>
      <c r="BL10" s="33"/>
      <c r="BM10" s="26"/>
      <c r="BN10" s="26"/>
      <c r="BO10" s="26"/>
      <c r="BP10" s="30"/>
      <c r="BQ10" s="33"/>
      <c r="BR10" s="26"/>
      <c r="BS10" s="26"/>
      <c r="BT10" s="30"/>
      <c r="BU10" s="89">
        <f t="shared" ref="BU10:BU12" si="4">IFERROR(AVERAGE(D10:BT12),0)</f>
        <v>0</v>
      </c>
      <c r="BV10" s="89">
        <f t="shared" ref="BV10:BV12" si="5">MIN(D10:BT12)</f>
        <v>0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75" t="s">
        <v>10</v>
      </c>
      <c r="B11" s="7" t="s">
        <v>11</v>
      </c>
      <c r="C11" s="11" t="s">
        <v>12</v>
      </c>
      <c r="D11" s="29"/>
      <c r="E11" s="22"/>
      <c r="F11" s="22"/>
      <c r="G11" s="22"/>
      <c r="H11" s="31"/>
      <c r="I11" s="34"/>
      <c r="J11" s="22"/>
      <c r="K11" s="22"/>
      <c r="L11" s="22"/>
      <c r="M11" s="31"/>
      <c r="N11" s="34"/>
      <c r="O11" s="22"/>
      <c r="P11" s="22"/>
      <c r="Q11" s="22"/>
      <c r="R11" s="31"/>
      <c r="S11" s="34"/>
      <c r="T11" s="22"/>
      <c r="U11" s="22"/>
      <c r="V11" s="22"/>
      <c r="W11" s="31"/>
      <c r="X11" s="34"/>
      <c r="Y11" s="22"/>
      <c r="Z11" s="22"/>
      <c r="AA11" s="22"/>
      <c r="AB11" s="31"/>
      <c r="AC11" s="34"/>
      <c r="AD11" s="22"/>
      <c r="AE11" s="22"/>
      <c r="AF11" s="22"/>
      <c r="AG11" s="31"/>
      <c r="AH11" s="34"/>
      <c r="AI11" s="22"/>
      <c r="AJ11" s="22"/>
      <c r="AK11" s="22"/>
      <c r="AL11" s="31"/>
      <c r="AM11" s="34"/>
      <c r="AN11" s="22"/>
      <c r="AO11" s="22"/>
      <c r="AP11" s="22"/>
      <c r="AQ11" s="31"/>
      <c r="AR11" s="34"/>
      <c r="AS11" s="22"/>
      <c r="AT11" s="22"/>
      <c r="AU11" s="22"/>
      <c r="AV11" s="31"/>
      <c r="AW11" s="34"/>
      <c r="AX11" s="22"/>
      <c r="AY11" s="22"/>
      <c r="AZ11" s="22"/>
      <c r="BA11" s="31"/>
      <c r="BB11" s="34"/>
      <c r="BC11" s="22"/>
      <c r="BD11" s="22"/>
      <c r="BE11" s="22"/>
      <c r="BF11" s="31"/>
      <c r="BG11" s="34"/>
      <c r="BH11" s="22"/>
      <c r="BI11" s="22"/>
      <c r="BJ11" s="22"/>
      <c r="BK11" s="31"/>
      <c r="BL11" s="34"/>
      <c r="BM11" s="22"/>
      <c r="BN11" s="22"/>
      <c r="BO11" s="22"/>
      <c r="BP11" s="31"/>
      <c r="BQ11" s="34"/>
      <c r="BR11" s="22"/>
      <c r="BS11" s="22"/>
      <c r="BT11" s="31"/>
      <c r="BU11" s="90">
        <f t="shared" si="4"/>
        <v>0</v>
      </c>
      <c r="BV11" s="90">
        <f t="shared" si="5"/>
        <v>0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75"/>
      <c r="B12" s="8" t="s">
        <v>13</v>
      </c>
      <c r="C12" s="12" t="s">
        <v>14</v>
      </c>
      <c r="D12" s="27"/>
      <c r="E12" s="28"/>
      <c r="F12" s="28"/>
      <c r="G12" s="28"/>
      <c r="H12" s="32"/>
      <c r="I12" s="35"/>
      <c r="J12" s="28"/>
      <c r="K12" s="28"/>
      <c r="L12" s="28"/>
      <c r="M12" s="32"/>
      <c r="N12" s="35"/>
      <c r="O12" s="28"/>
      <c r="P12" s="28"/>
      <c r="Q12" s="28"/>
      <c r="R12" s="32"/>
      <c r="S12" s="35"/>
      <c r="T12" s="28"/>
      <c r="U12" s="28"/>
      <c r="V12" s="28"/>
      <c r="W12" s="32"/>
      <c r="X12" s="35"/>
      <c r="Y12" s="28"/>
      <c r="Z12" s="28"/>
      <c r="AA12" s="28"/>
      <c r="AB12" s="32"/>
      <c r="AC12" s="35"/>
      <c r="AD12" s="28"/>
      <c r="AE12" s="28"/>
      <c r="AF12" s="28"/>
      <c r="AG12" s="32"/>
      <c r="AH12" s="35"/>
      <c r="AI12" s="28"/>
      <c r="AJ12" s="28"/>
      <c r="AK12" s="28"/>
      <c r="AL12" s="32"/>
      <c r="AM12" s="35"/>
      <c r="AN12" s="28"/>
      <c r="AO12" s="28"/>
      <c r="AP12" s="28"/>
      <c r="AQ12" s="32"/>
      <c r="AR12" s="35"/>
      <c r="AS12" s="28"/>
      <c r="AT12" s="28"/>
      <c r="AU12" s="28"/>
      <c r="AV12" s="32"/>
      <c r="AW12" s="35"/>
      <c r="AX12" s="28"/>
      <c r="AY12" s="28"/>
      <c r="AZ12" s="28"/>
      <c r="BA12" s="32"/>
      <c r="BB12" s="35"/>
      <c r="BC12" s="28"/>
      <c r="BD12" s="28"/>
      <c r="BE12" s="28"/>
      <c r="BF12" s="32"/>
      <c r="BG12" s="35"/>
      <c r="BH12" s="28"/>
      <c r="BI12" s="28"/>
      <c r="BJ12" s="28"/>
      <c r="BK12" s="32"/>
      <c r="BL12" s="35"/>
      <c r="BM12" s="28"/>
      <c r="BN12" s="28"/>
      <c r="BO12" s="28"/>
      <c r="BP12" s="32"/>
      <c r="BQ12" s="35"/>
      <c r="BR12" s="28"/>
      <c r="BS12" s="28"/>
      <c r="BT12" s="32"/>
      <c r="BU12" s="91">
        <f t="shared" si="4"/>
        <v>0</v>
      </c>
      <c r="BV12" s="91">
        <f t="shared" si="5"/>
        <v>0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7</v>
      </c>
      <c r="B13" s="6" t="s">
        <v>17</v>
      </c>
      <c r="C13" s="11" t="s">
        <v>9</v>
      </c>
      <c r="D13" s="25"/>
      <c r="E13" s="26"/>
      <c r="F13" s="26"/>
      <c r="G13" s="26"/>
      <c r="H13" s="30"/>
      <c r="I13" s="33"/>
      <c r="J13" s="26"/>
      <c r="K13" s="26"/>
      <c r="L13" s="26"/>
      <c r="M13" s="30"/>
      <c r="N13" s="33"/>
      <c r="O13" s="26"/>
      <c r="P13" s="26"/>
      <c r="Q13" s="26"/>
      <c r="R13" s="30"/>
      <c r="S13" s="33"/>
      <c r="T13" s="26"/>
      <c r="U13" s="26"/>
      <c r="V13" s="26"/>
      <c r="W13" s="30"/>
      <c r="X13" s="33"/>
      <c r="Y13" s="26"/>
      <c r="Z13" s="26"/>
      <c r="AA13" s="26"/>
      <c r="AB13" s="30"/>
      <c r="AC13" s="33"/>
      <c r="AD13" s="26"/>
      <c r="AE13" s="26"/>
      <c r="AF13" s="26"/>
      <c r="AG13" s="30"/>
      <c r="AH13" s="33"/>
      <c r="AI13" s="26"/>
      <c r="AJ13" s="26"/>
      <c r="AK13" s="26"/>
      <c r="AL13" s="30"/>
      <c r="AM13" s="33"/>
      <c r="AN13" s="26"/>
      <c r="AO13" s="26"/>
      <c r="AP13" s="26"/>
      <c r="AQ13" s="30"/>
      <c r="AR13" s="33"/>
      <c r="AS13" s="26"/>
      <c r="AT13" s="26"/>
      <c r="AU13" s="26"/>
      <c r="AV13" s="30"/>
      <c r="AW13" s="33"/>
      <c r="AX13" s="26"/>
      <c r="AY13" s="26"/>
      <c r="AZ13" s="26"/>
      <c r="BA13" s="30"/>
      <c r="BB13" s="33"/>
      <c r="BC13" s="26"/>
      <c r="BD13" s="26"/>
      <c r="BE13" s="26"/>
      <c r="BF13" s="30"/>
      <c r="BG13" s="33"/>
      <c r="BH13" s="26"/>
      <c r="BI13" s="26"/>
      <c r="BJ13" s="26"/>
      <c r="BK13" s="30"/>
      <c r="BL13" s="33"/>
      <c r="BM13" s="26"/>
      <c r="BN13" s="26"/>
      <c r="BO13" s="26"/>
      <c r="BP13" s="30"/>
      <c r="BQ13" s="33"/>
      <c r="BR13" s="26"/>
      <c r="BS13" s="26"/>
      <c r="BT13" s="30"/>
      <c r="BU13" s="89">
        <f t="shared" ref="BU13:BU15" si="6">IFERROR(AVERAGE(D13:BT15),0)</f>
        <v>0</v>
      </c>
      <c r="BV13" s="89">
        <f t="shared" ref="BV13:BV15" si="7">MIN(D13:BT15)</f>
        <v>0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75" t="s">
        <v>10</v>
      </c>
      <c r="B14" s="7" t="s">
        <v>11</v>
      </c>
      <c r="C14" s="11" t="s">
        <v>12</v>
      </c>
      <c r="D14" s="29"/>
      <c r="E14" s="22"/>
      <c r="F14" s="22"/>
      <c r="G14" s="22"/>
      <c r="H14" s="31"/>
      <c r="I14" s="34"/>
      <c r="J14" s="22"/>
      <c r="K14" s="22"/>
      <c r="L14" s="22"/>
      <c r="M14" s="31"/>
      <c r="N14" s="34"/>
      <c r="O14" s="22"/>
      <c r="P14" s="22"/>
      <c r="Q14" s="22"/>
      <c r="R14" s="31"/>
      <c r="S14" s="34"/>
      <c r="T14" s="22"/>
      <c r="U14" s="22"/>
      <c r="V14" s="22"/>
      <c r="W14" s="31"/>
      <c r="X14" s="34"/>
      <c r="Y14" s="22"/>
      <c r="Z14" s="22"/>
      <c r="AA14" s="22"/>
      <c r="AB14" s="31"/>
      <c r="AC14" s="34"/>
      <c r="AD14" s="22"/>
      <c r="AE14" s="22"/>
      <c r="AF14" s="22"/>
      <c r="AG14" s="31"/>
      <c r="AH14" s="34"/>
      <c r="AI14" s="22"/>
      <c r="AJ14" s="22"/>
      <c r="AK14" s="22"/>
      <c r="AL14" s="31"/>
      <c r="AM14" s="34"/>
      <c r="AN14" s="22"/>
      <c r="AO14" s="22"/>
      <c r="AP14" s="22"/>
      <c r="AQ14" s="31"/>
      <c r="AR14" s="34"/>
      <c r="AS14" s="22"/>
      <c r="AT14" s="22"/>
      <c r="AU14" s="22"/>
      <c r="AV14" s="31"/>
      <c r="AW14" s="34"/>
      <c r="AX14" s="22"/>
      <c r="AY14" s="22"/>
      <c r="AZ14" s="22"/>
      <c r="BA14" s="31"/>
      <c r="BB14" s="34"/>
      <c r="BC14" s="22"/>
      <c r="BD14" s="22"/>
      <c r="BE14" s="22"/>
      <c r="BF14" s="31"/>
      <c r="BG14" s="34"/>
      <c r="BH14" s="22"/>
      <c r="BI14" s="22"/>
      <c r="BJ14" s="22"/>
      <c r="BK14" s="31"/>
      <c r="BL14" s="34"/>
      <c r="BM14" s="22"/>
      <c r="BN14" s="22"/>
      <c r="BO14" s="22"/>
      <c r="BP14" s="31"/>
      <c r="BQ14" s="34"/>
      <c r="BR14" s="22"/>
      <c r="BS14" s="22"/>
      <c r="BT14" s="31"/>
      <c r="BU14" s="90">
        <f t="shared" si="6"/>
        <v>35</v>
      </c>
      <c r="BV14" s="90">
        <f t="shared" si="7"/>
        <v>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75"/>
      <c r="B15" s="8" t="s">
        <v>13</v>
      </c>
      <c r="C15" s="12" t="s">
        <v>14</v>
      </c>
      <c r="D15" s="27"/>
      <c r="E15" s="28"/>
      <c r="F15" s="28"/>
      <c r="G15" s="28"/>
      <c r="H15" s="32"/>
      <c r="I15" s="35"/>
      <c r="J15" s="28"/>
      <c r="K15" s="28"/>
      <c r="L15" s="28"/>
      <c r="M15" s="32"/>
      <c r="N15" s="35"/>
      <c r="O15" s="28"/>
      <c r="P15" s="28"/>
      <c r="Q15" s="28"/>
      <c r="R15" s="32"/>
      <c r="S15" s="35"/>
      <c r="T15" s="28"/>
      <c r="U15" s="28"/>
      <c r="V15" s="28"/>
      <c r="W15" s="32"/>
      <c r="X15" s="35"/>
      <c r="Y15" s="28"/>
      <c r="Z15" s="28"/>
      <c r="AA15" s="28"/>
      <c r="AB15" s="32"/>
      <c r="AC15" s="35"/>
      <c r="AD15" s="28"/>
      <c r="AE15" s="28"/>
      <c r="AF15" s="28"/>
      <c r="AG15" s="32"/>
      <c r="AH15" s="35"/>
      <c r="AI15" s="28"/>
      <c r="AJ15" s="28"/>
      <c r="AK15" s="28"/>
      <c r="AL15" s="32"/>
      <c r="AM15" s="35"/>
      <c r="AN15" s="28"/>
      <c r="AO15" s="28"/>
      <c r="AP15" s="28"/>
      <c r="AQ15" s="32"/>
      <c r="AR15" s="35"/>
      <c r="AS15" s="28"/>
      <c r="AT15" s="28"/>
      <c r="AU15" s="28"/>
      <c r="AV15" s="32"/>
      <c r="AW15" s="35"/>
      <c r="AX15" s="28"/>
      <c r="AY15" s="28"/>
      <c r="AZ15" s="28"/>
      <c r="BA15" s="32"/>
      <c r="BB15" s="35"/>
      <c r="BC15" s="28"/>
      <c r="BD15" s="28"/>
      <c r="BE15" s="28"/>
      <c r="BF15" s="32"/>
      <c r="BG15" s="35"/>
      <c r="BH15" s="28"/>
      <c r="BI15" s="28"/>
      <c r="BJ15" s="28"/>
      <c r="BK15" s="32"/>
      <c r="BL15" s="35"/>
      <c r="BM15" s="28"/>
      <c r="BN15" s="28"/>
      <c r="BO15" s="28"/>
      <c r="BP15" s="32"/>
      <c r="BQ15" s="35"/>
      <c r="BR15" s="28"/>
      <c r="BS15" s="28"/>
      <c r="BT15" s="32"/>
      <c r="BU15" s="91">
        <f t="shared" si="6"/>
        <v>35</v>
      </c>
      <c r="BV15" s="91">
        <f t="shared" si="7"/>
        <v>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73" t="s">
        <v>3</v>
      </c>
      <c r="B16" s="74"/>
      <c r="C16" s="18" t="s">
        <v>4</v>
      </c>
      <c r="D16" s="44">
        <v>1</v>
      </c>
      <c r="E16" s="45">
        <v>2</v>
      </c>
      <c r="F16" s="45">
        <v>3</v>
      </c>
      <c r="G16" s="45">
        <v>4</v>
      </c>
      <c r="H16" s="45">
        <v>5</v>
      </c>
      <c r="I16" s="45">
        <v>6</v>
      </c>
      <c r="J16" s="45">
        <v>7</v>
      </c>
      <c r="K16" s="45">
        <v>8</v>
      </c>
      <c r="L16" s="45">
        <v>9</v>
      </c>
      <c r="M16" s="45">
        <v>10</v>
      </c>
      <c r="N16" s="45">
        <v>11</v>
      </c>
      <c r="O16" s="45">
        <v>12</v>
      </c>
      <c r="P16" s="45">
        <v>13</v>
      </c>
      <c r="Q16" s="45">
        <v>14</v>
      </c>
      <c r="R16" s="45">
        <v>15</v>
      </c>
      <c r="S16" s="45">
        <v>16</v>
      </c>
      <c r="T16" s="45">
        <v>17</v>
      </c>
      <c r="U16" s="45">
        <v>18</v>
      </c>
      <c r="V16" s="45">
        <v>19</v>
      </c>
      <c r="W16" s="45">
        <v>20</v>
      </c>
      <c r="X16" s="45">
        <v>21</v>
      </c>
      <c r="Y16" s="45">
        <v>22</v>
      </c>
      <c r="Z16" s="45">
        <v>23</v>
      </c>
      <c r="AA16" s="45">
        <v>24</v>
      </c>
      <c r="AB16" s="45">
        <v>25</v>
      </c>
      <c r="AC16" s="45">
        <v>26</v>
      </c>
      <c r="AD16" s="45">
        <v>27</v>
      </c>
      <c r="AE16" s="45">
        <v>28</v>
      </c>
      <c r="AF16" s="45">
        <v>29</v>
      </c>
      <c r="AG16" s="45">
        <v>30</v>
      </c>
      <c r="AH16" s="45">
        <v>31</v>
      </c>
      <c r="AI16" s="45">
        <v>32</v>
      </c>
      <c r="AJ16" s="45">
        <v>33</v>
      </c>
      <c r="AK16" s="45">
        <v>34</v>
      </c>
      <c r="AL16" s="45">
        <v>35</v>
      </c>
      <c r="AM16" s="45">
        <v>36</v>
      </c>
      <c r="AN16" s="45">
        <v>37</v>
      </c>
      <c r="AO16" s="45">
        <v>38</v>
      </c>
      <c r="AP16" s="45">
        <v>39</v>
      </c>
      <c r="AQ16" s="45">
        <v>40</v>
      </c>
      <c r="AR16" s="45">
        <v>41</v>
      </c>
      <c r="AS16" s="45">
        <v>42</v>
      </c>
      <c r="AT16" s="45">
        <v>43</v>
      </c>
      <c r="AU16" s="45">
        <v>44</v>
      </c>
      <c r="AV16" s="45">
        <v>45</v>
      </c>
      <c r="AW16" s="45">
        <v>46</v>
      </c>
      <c r="AX16" s="45">
        <v>47</v>
      </c>
      <c r="AY16" s="45">
        <v>48</v>
      </c>
      <c r="AZ16" s="45">
        <v>49</v>
      </c>
      <c r="BA16" s="45">
        <v>50</v>
      </c>
      <c r="BB16" s="45">
        <v>51</v>
      </c>
      <c r="BC16" s="45">
        <v>52</v>
      </c>
      <c r="BD16" s="45">
        <v>53</v>
      </c>
      <c r="BE16" s="45">
        <v>54</v>
      </c>
      <c r="BF16" s="45">
        <v>55</v>
      </c>
      <c r="BG16" s="45">
        <v>56</v>
      </c>
      <c r="BH16" s="45">
        <v>57</v>
      </c>
      <c r="BI16" s="45">
        <v>58</v>
      </c>
      <c r="BJ16" s="45">
        <v>59</v>
      </c>
      <c r="BK16" s="45">
        <v>60</v>
      </c>
      <c r="BL16" s="45">
        <v>61</v>
      </c>
      <c r="BM16" s="45">
        <v>62</v>
      </c>
      <c r="BN16" s="45">
        <v>63</v>
      </c>
      <c r="BO16" s="45">
        <v>64</v>
      </c>
      <c r="BP16" s="45">
        <v>65</v>
      </c>
      <c r="BQ16" s="45">
        <v>66</v>
      </c>
      <c r="BR16" s="45">
        <v>67</v>
      </c>
      <c r="BS16" s="45">
        <v>68</v>
      </c>
      <c r="BT16" s="46">
        <v>69</v>
      </c>
      <c r="BU16" s="40" t="s">
        <v>5</v>
      </c>
      <c r="BV16" s="41" t="s">
        <v>6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170" t="s">
        <v>41</v>
      </c>
      <c r="C97" s="171"/>
      <c r="D97" s="171"/>
      <c r="E97" s="171"/>
      <c r="F97" s="171"/>
      <c r="G97" s="171"/>
      <c r="H97" s="171"/>
      <c r="I97" s="171"/>
      <c r="J97" s="171"/>
      <c r="K97" s="171"/>
      <c r="L97" s="172"/>
      <c r="M97" s="157" t="s">
        <v>42</v>
      </c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9"/>
      <c r="AG97" s="98" t="s">
        <v>43</v>
      </c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100"/>
      <c r="AW97" s="55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47" t="s">
        <v>20</v>
      </c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8"/>
      <c r="CL97" s="154" t="str">
        <f>Thickness!CL97</f>
        <v xml:space="preserve">INTERNATIONAL PAPER </v>
      </c>
      <c r="CM97" s="155"/>
      <c r="CN97" s="155"/>
      <c r="CO97" s="155"/>
      <c r="CP97" s="155"/>
      <c r="CQ97" s="155"/>
      <c r="CR97" s="155"/>
      <c r="CS97" s="155"/>
      <c r="CT97" s="155"/>
      <c r="CU97" s="155"/>
      <c r="CV97" s="155"/>
      <c r="CW97" s="155"/>
      <c r="CX97" s="155"/>
      <c r="CY97" s="155"/>
      <c r="CZ97" s="155"/>
      <c r="DA97" s="155"/>
      <c r="DB97" s="155"/>
      <c r="DC97" s="155"/>
      <c r="DD97" s="155"/>
      <c r="DE97" s="155"/>
      <c r="DF97" s="155"/>
      <c r="DG97" s="155"/>
      <c r="DH97" s="155"/>
      <c r="DI97" s="155"/>
      <c r="DJ97" s="155"/>
      <c r="DK97" s="155"/>
      <c r="DL97" s="155"/>
      <c r="DM97" s="155"/>
      <c r="DN97" s="155"/>
      <c r="DO97" s="155"/>
      <c r="DP97" s="155"/>
      <c r="DQ97" s="155"/>
      <c r="DR97" s="155"/>
      <c r="DS97" s="155"/>
      <c r="DT97" s="155"/>
      <c r="DU97" s="155"/>
      <c r="DV97" s="155"/>
      <c r="DW97" s="155"/>
      <c r="DX97" s="155"/>
      <c r="DY97" s="155"/>
      <c r="DZ97" s="156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01" t="s">
        <v>22</v>
      </c>
      <c r="B98" s="173" t="s">
        <v>44</v>
      </c>
      <c r="C98" s="174"/>
      <c r="D98" s="174"/>
      <c r="E98" s="174"/>
      <c r="F98" s="174"/>
      <c r="G98" s="174"/>
      <c r="H98" s="174"/>
      <c r="I98" s="174"/>
      <c r="J98" s="174"/>
      <c r="K98" s="174"/>
      <c r="L98" s="175"/>
      <c r="M98" s="160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/>
      <c r="AG98" s="148" t="s">
        <v>45</v>
      </c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50"/>
      <c r="AW98" s="57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50"/>
      <c r="CL98" s="136" t="str">
        <f>Thickness!CL98</f>
        <v>RIVERDALE MILL</v>
      </c>
      <c r="CM98" s="137"/>
      <c r="CN98" s="137"/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7"/>
      <c r="DB98" s="137"/>
      <c r="DC98" s="137"/>
      <c r="DD98" s="137"/>
      <c r="DE98" s="137"/>
      <c r="DF98" s="137"/>
      <c r="DG98" s="137"/>
      <c r="DH98" s="137"/>
      <c r="DI98" s="137"/>
      <c r="DJ98" s="137"/>
      <c r="DK98" s="137"/>
      <c r="DL98" s="137"/>
      <c r="DM98" s="137"/>
      <c r="DN98" s="137"/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8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01"/>
      <c r="B99" s="176" t="s">
        <v>46</v>
      </c>
      <c r="C99" s="177"/>
      <c r="D99" s="177"/>
      <c r="E99" s="177"/>
      <c r="F99" s="177"/>
      <c r="G99" s="177"/>
      <c r="H99" s="177"/>
      <c r="I99" s="177"/>
      <c r="J99" s="177"/>
      <c r="K99" s="177"/>
      <c r="L99" s="178"/>
      <c r="M99" s="142" t="s">
        <v>47</v>
      </c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4"/>
      <c r="AG99" s="151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3"/>
      <c r="AW99" s="57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50"/>
      <c r="CL99" s="139" t="s">
        <v>48</v>
      </c>
      <c r="CM99" s="140"/>
      <c r="CN99" s="140"/>
      <c r="CO99" s="140"/>
      <c r="CP99" s="140"/>
      <c r="CQ99" s="140"/>
      <c r="CR99" s="140"/>
      <c r="CS99" s="140"/>
      <c r="CT99" s="140"/>
      <c r="CU99" s="140"/>
      <c r="CV99" s="140"/>
      <c r="CW99" s="140"/>
      <c r="CX99" s="140"/>
      <c r="CY99" s="140"/>
      <c r="CZ99" s="140"/>
      <c r="DA99" s="140"/>
      <c r="DB99" s="140"/>
      <c r="DC99" s="140"/>
      <c r="DD99" s="140"/>
      <c r="DE99" s="140"/>
      <c r="DF99" s="140"/>
      <c r="DG99" s="140"/>
      <c r="DH99" s="140"/>
      <c r="DI99" s="140"/>
      <c r="DJ99" s="140"/>
      <c r="DK99" s="140"/>
      <c r="DL99" s="140"/>
      <c r="DM99" s="140"/>
      <c r="DN99" s="140"/>
      <c r="DO99" s="140"/>
      <c r="DP99" s="140"/>
      <c r="DQ99" s="140"/>
      <c r="DR99" s="140"/>
      <c r="DS99" s="140"/>
      <c r="DT99" s="140"/>
      <c r="DU99" s="140"/>
      <c r="DV99" s="140"/>
      <c r="DW99" s="140"/>
      <c r="DX99" s="140"/>
      <c r="DY99" s="140"/>
      <c r="DZ99" s="141"/>
    </row>
    <row r="100" spans="1:182" ht="36" customHeight="1" x14ac:dyDescent="0.2">
      <c r="A100" s="101"/>
      <c r="B100" s="179" t="s">
        <v>49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1"/>
      <c r="M100" s="145" t="s">
        <v>50</v>
      </c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7"/>
      <c r="AG100" s="189">
        <v>0.2</v>
      </c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0"/>
      <c r="AR100" s="190"/>
      <c r="AS100" s="190"/>
      <c r="AT100" s="190"/>
      <c r="AU100" s="190"/>
      <c r="AV100" s="191"/>
      <c r="AW100" s="59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2"/>
      <c r="CL100" s="139" t="str">
        <f>Thickness!CL100</f>
        <v>NO. 1 RECOVERY BOILER</v>
      </c>
      <c r="CM100" s="140"/>
      <c r="CN100" s="140"/>
      <c r="CO100" s="140"/>
      <c r="CP100" s="140"/>
      <c r="CQ100" s="140"/>
      <c r="CR100" s="140"/>
      <c r="CS100" s="140"/>
      <c r="CT100" s="140"/>
      <c r="CU100" s="140"/>
      <c r="CV100" s="140"/>
      <c r="CW100" s="140"/>
      <c r="CX100" s="140"/>
      <c r="CY100" s="140"/>
      <c r="CZ100" s="140"/>
      <c r="DA100" s="140"/>
      <c r="DB100" s="140"/>
      <c r="DC100" s="140"/>
      <c r="DD100" s="140"/>
      <c r="DE100" s="140"/>
      <c r="DF100" s="140"/>
      <c r="DG100" s="140"/>
      <c r="DH100" s="140"/>
      <c r="DI100" s="140"/>
      <c r="DJ100" s="140"/>
      <c r="DK100" s="140"/>
      <c r="DL100" s="140"/>
      <c r="DM100" s="140"/>
      <c r="DN100" s="140"/>
      <c r="DO100" s="140"/>
      <c r="DP100" s="140"/>
      <c r="DQ100" s="140"/>
      <c r="DR100" s="140"/>
      <c r="DS100" s="140"/>
      <c r="DT100" s="140"/>
      <c r="DU100" s="140"/>
      <c r="DV100" s="140"/>
      <c r="DW100" s="140"/>
      <c r="DX100" s="140"/>
      <c r="DY100" s="140"/>
      <c r="DZ100" s="141"/>
    </row>
    <row r="101" spans="1:182" ht="36" customHeight="1" x14ac:dyDescent="0.2">
      <c r="A101" s="101"/>
      <c r="B101" s="182" t="s">
        <v>51</v>
      </c>
      <c r="C101" s="183"/>
      <c r="D101" s="183"/>
      <c r="E101" s="183"/>
      <c r="F101" s="183"/>
      <c r="G101" s="183"/>
      <c r="H101" s="183"/>
      <c r="I101" s="183"/>
      <c r="J101" s="183"/>
      <c r="K101" s="183"/>
      <c r="L101" s="184"/>
      <c r="M101" s="165" t="s">
        <v>52</v>
      </c>
      <c r="N101" s="166"/>
      <c r="O101" s="166"/>
      <c r="P101" s="166"/>
      <c r="Q101" s="167"/>
      <c r="R101" s="168" t="s">
        <v>53</v>
      </c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9"/>
      <c r="AG101" s="192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4"/>
      <c r="AW101" s="53" t="str">
        <f>Thickness!AW101</f>
        <v>Job #  H449364  P.O. #  0018342455 W.O. #  N/A   Date:  5/05/2025</v>
      </c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4"/>
      <c r="CL101" s="186" t="str">
        <f>Thickness!CL101</f>
        <v>99 ABOVE STUD LINE</v>
      </c>
      <c r="CM101" s="187"/>
      <c r="CN101" s="187"/>
      <c r="CO101" s="187"/>
      <c r="CP101" s="187"/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  <c r="DG101" s="187"/>
      <c r="DH101" s="187"/>
      <c r="DI101" s="187"/>
      <c r="DJ101" s="187"/>
      <c r="DK101" s="187"/>
      <c r="DL101" s="187"/>
      <c r="DM101" s="187"/>
      <c r="DN101" s="187"/>
      <c r="DO101" s="187"/>
      <c r="DP101" s="187"/>
      <c r="DQ101" s="187"/>
      <c r="DR101" s="187"/>
      <c r="DS101" s="187"/>
      <c r="DT101" s="187"/>
      <c r="DU101" s="187"/>
      <c r="DV101" s="187"/>
      <c r="DW101" s="187"/>
      <c r="DX101" s="187"/>
      <c r="DY101" s="187"/>
      <c r="DZ101" s="188"/>
    </row>
    <row r="102" spans="1:182" ht="36" customHeight="1" x14ac:dyDescent="0.35">
      <c r="B102" s="16" t="s">
        <v>54</v>
      </c>
    </row>
    <row r="103" spans="1:182" ht="36" customHeight="1" x14ac:dyDescent="0.2"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47" t="s">
        <v>20</v>
      </c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8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50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50"/>
    </row>
    <row r="108" spans="1:182" x14ac:dyDescent="0.2"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2"/>
    </row>
    <row r="110" spans="1:182" x14ac:dyDescent="0.2">
      <c r="BR110" s="47" t="s">
        <v>38</v>
      </c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8"/>
    </row>
    <row r="111" spans="1:182" x14ac:dyDescent="0.2"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50"/>
    </row>
    <row r="112" spans="1:182" x14ac:dyDescent="0.2"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50"/>
    </row>
    <row r="113" spans="70:89" x14ac:dyDescent="0.2"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2"/>
    </row>
    <row r="115" spans="70:89" x14ac:dyDescent="0.2">
      <c r="BR115" s="47" t="s">
        <v>39</v>
      </c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8"/>
    </row>
    <row r="116" spans="70:89" x14ac:dyDescent="0.2"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50"/>
    </row>
    <row r="117" spans="70:89" x14ac:dyDescent="0.2"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50"/>
    </row>
    <row r="118" spans="70:89" x14ac:dyDescent="0.2"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2"/>
    </row>
  </sheetData>
  <mergeCells count="45">
    <mergeCell ref="A16:B16"/>
    <mergeCell ref="A14:A15"/>
    <mergeCell ref="BU10:BU12"/>
    <mergeCell ref="BV10:BV12"/>
    <mergeCell ref="BU13:BU15"/>
    <mergeCell ref="BV13:BV15"/>
    <mergeCell ref="A8:A9"/>
    <mergeCell ref="BU4:BU6"/>
    <mergeCell ref="BV4:BV6"/>
    <mergeCell ref="A11:A12"/>
    <mergeCell ref="BU7:BU9"/>
    <mergeCell ref="BV7:BV9"/>
    <mergeCell ref="M103:AV103"/>
    <mergeCell ref="CL101:DZ101"/>
    <mergeCell ref="BR105:CK108"/>
    <mergeCell ref="BR110:CK113"/>
    <mergeCell ref="BR115:CK118"/>
    <mergeCell ref="AG100:AV101"/>
    <mergeCell ref="B97:L97"/>
    <mergeCell ref="B98:L98"/>
    <mergeCell ref="B99:L99"/>
    <mergeCell ref="B100:L100"/>
    <mergeCell ref="B101:L101"/>
    <mergeCell ref="A98:A101"/>
    <mergeCell ref="CL98:DZ98"/>
    <mergeCell ref="A5:A6"/>
    <mergeCell ref="AG97:AV97"/>
    <mergeCell ref="AW97:BQ100"/>
    <mergeCell ref="CL99:DZ99"/>
    <mergeCell ref="CL100:DZ100"/>
    <mergeCell ref="M99:AF99"/>
    <mergeCell ref="M100:AF100"/>
    <mergeCell ref="AG98:AV99"/>
    <mergeCell ref="BR97:CK100"/>
    <mergeCell ref="CL97:DZ97"/>
    <mergeCell ref="M97:AF98"/>
    <mergeCell ref="AW101:CK101"/>
    <mergeCell ref="M101:Q101"/>
    <mergeCell ref="R101:AF101"/>
    <mergeCell ref="A3:B3"/>
    <mergeCell ref="A1:B2"/>
    <mergeCell ref="C1:DP1"/>
    <mergeCell ref="DQ1:DZ1"/>
    <mergeCell ref="C2:DP2"/>
    <mergeCell ref="DQ2:DZ2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18"/>
  <sheetViews>
    <sheetView zoomScale="50" zoomScaleNormal="50" workbookViewId="0">
      <selection activeCell="AS7" sqref="AS7:AS9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10">
        <f>Thickness!A1</f>
        <v>2025</v>
      </c>
      <c r="B1" s="211"/>
      <c r="C1" s="133" t="str">
        <f>IF(ISBLANK(Thickness!C1),"",(Thickness!C1))</f>
        <v/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5"/>
      <c r="DQ1" s="61" t="s">
        <v>0</v>
      </c>
      <c r="DR1" s="62"/>
      <c r="DS1" s="62"/>
      <c r="DT1" s="62"/>
      <c r="DU1" s="62"/>
      <c r="DV1" s="62"/>
      <c r="DW1" s="62"/>
      <c r="DX1" s="62"/>
      <c r="DY1" s="62"/>
      <c r="DZ1" s="63"/>
    </row>
    <row r="2" spans="1:182" s="5" customFormat="1" ht="36" customHeight="1" x14ac:dyDescent="0.2">
      <c r="A2" s="212"/>
      <c r="B2" s="213"/>
      <c r="C2" s="83" t="s">
        <v>55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5"/>
      <c r="DQ2" s="61" t="s">
        <v>2</v>
      </c>
      <c r="DR2" s="62"/>
      <c r="DS2" s="62"/>
      <c r="DT2" s="62"/>
      <c r="DU2" s="62"/>
      <c r="DV2" s="62"/>
      <c r="DW2" s="62"/>
      <c r="DX2" s="62"/>
      <c r="DY2" s="62"/>
      <c r="DZ2" s="63"/>
      <c r="EA2" s="4"/>
    </row>
    <row r="3" spans="1:182" s="5" customFormat="1" ht="36" customHeight="1" x14ac:dyDescent="0.2">
      <c r="A3" s="73" t="s">
        <v>3</v>
      </c>
      <c r="B3" s="74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43">
        <v>69</v>
      </c>
      <c r="BU3" s="40" t="s">
        <v>5</v>
      </c>
      <c r="BV3" s="41" t="s">
        <v>6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11" t="s">
        <v>9</v>
      </c>
      <c r="D4" s="25"/>
      <c r="E4" s="26"/>
      <c r="F4" s="26"/>
      <c r="G4" s="26"/>
      <c r="H4" s="30"/>
      <c r="I4" s="33"/>
      <c r="J4" s="26"/>
      <c r="K4" s="26"/>
      <c r="L4" s="26"/>
      <c r="M4" s="30"/>
      <c r="N4" s="33"/>
      <c r="O4" s="26"/>
      <c r="P4" s="26"/>
      <c r="Q4" s="26"/>
      <c r="R4" s="30"/>
      <c r="S4" s="33"/>
      <c r="T4" s="26"/>
      <c r="U4" s="26"/>
      <c r="V4" s="26"/>
      <c r="W4" s="30"/>
      <c r="X4" s="33"/>
      <c r="Y4" s="26"/>
      <c r="Z4" s="26"/>
      <c r="AA4" s="26"/>
      <c r="AB4" s="30"/>
      <c r="AC4" s="33"/>
      <c r="AD4" s="26"/>
      <c r="AE4" s="26"/>
      <c r="AF4" s="26"/>
      <c r="AG4" s="30"/>
      <c r="AH4" s="33"/>
      <c r="AI4" s="26"/>
      <c r="AJ4" s="26"/>
      <c r="AK4" s="26"/>
      <c r="AL4" s="30"/>
      <c r="AM4" s="33"/>
      <c r="AN4" s="26"/>
      <c r="AO4" s="26"/>
      <c r="AP4" s="26"/>
      <c r="AQ4" s="30"/>
      <c r="AR4" s="33"/>
      <c r="AS4" s="26"/>
      <c r="AT4" s="26"/>
      <c r="AU4" s="26"/>
      <c r="AV4" s="30"/>
      <c r="AW4" s="33"/>
      <c r="AX4" s="26"/>
      <c r="AY4" s="26"/>
      <c r="AZ4" s="26"/>
      <c r="BA4" s="30"/>
      <c r="BB4" s="33"/>
      <c r="BC4" s="26"/>
      <c r="BD4" s="26"/>
      <c r="BE4" s="26"/>
      <c r="BF4" s="30"/>
      <c r="BG4" s="33"/>
      <c r="BH4" s="26"/>
      <c r="BI4" s="26"/>
      <c r="BJ4" s="26"/>
      <c r="BK4" s="30"/>
      <c r="BL4" s="33"/>
      <c r="BM4" s="26"/>
      <c r="BN4" s="26"/>
      <c r="BO4" s="26"/>
      <c r="BP4" s="30"/>
      <c r="BQ4" s="33"/>
      <c r="BR4" s="26"/>
      <c r="BS4" s="26"/>
      <c r="BT4" s="30"/>
      <c r="BU4" s="89">
        <f t="shared" ref="BU4:BU6" si="0">IFERROR(AVERAGE(D4:BT6),0)</f>
        <v>0</v>
      </c>
      <c r="BV4" s="89">
        <f t="shared" ref="BV4:BV6" si="1">MIN(D4:BT6)</f>
        <v>0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75">
        <v>8.3000000000000004E-2</v>
      </c>
      <c r="B5" s="7" t="s">
        <v>11</v>
      </c>
      <c r="C5" s="11" t="s">
        <v>12</v>
      </c>
      <c r="D5" s="29"/>
      <c r="E5" s="22"/>
      <c r="F5" s="22"/>
      <c r="G5" s="22"/>
      <c r="H5" s="31"/>
      <c r="I5" s="34"/>
      <c r="J5" s="22"/>
      <c r="K5" s="22"/>
      <c r="L5" s="22"/>
      <c r="M5" s="31"/>
      <c r="N5" s="34"/>
      <c r="O5" s="22"/>
      <c r="P5" s="22"/>
      <c r="Q5" s="22"/>
      <c r="R5" s="31"/>
      <c r="S5" s="34"/>
      <c r="T5" s="22"/>
      <c r="U5" s="22"/>
      <c r="V5" s="22"/>
      <c r="W5" s="31"/>
      <c r="X5" s="34"/>
      <c r="Y5" s="22"/>
      <c r="Z5" s="22"/>
      <c r="AA5" s="22"/>
      <c r="AB5" s="31"/>
      <c r="AC5" s="34"/>
      <c r="AD5" s="22"/>
      <c r="AE5" s="22"/>
      <c r="AF5" s="22"/>
      <c r="AG5" s="31"/>
      <c r="AH5" s="34"/>
      <c r="AI5" s="22"/>
      <c r="AJ5" s="22"/>
      <c r="AK5" s="22"/>
      <c r="AL5" s="31"/>
      <c r="AM5" s="34"/>
      <c r="AN5" s="22"/>
      <c r="AO5" s="22"/>
      <c r="AP5" s="22"/>
      <c r="AQ5" s="31"/>
      <c r="AR5" s="34"/>
      <c r="AS5" s="22"/>
      <c r="AT5" s="22"/>
      <c r="AU5" s="22"/>
      <c r="AV5" s="31"/>
      <c r="AW5" s="34"/>
      <c r="AX5" s="22"/>
      <c r="AY5" s="22"/>
      <c r="AZ5" s="22"/>
      <c r="BA5" s="31"/>
      <c r="BB5" s="34"/>
      <c r="BC5" s="22"/>
      <c r="BD5" s="22"/>
      <c r="BE5" s="22"/>
      <c r="BF5" s="31"/>
      <c r="BG5" s="34"/>
      <c r="BH5" s="22"/>
      <c r="BI5" s="22"/>
      <c r="BJ5" s="22"/>
      <c r="BK5" s="31"/>
      <c r="BL5" s="34"/>
      <c r="BM5" s="22"/>
      <c r="BN5" s="22"/>
      <c r="BO5" s="22"/>
      <c r="BP5" s="31"/>
      <c r="BQ5" s="34"/>
      <c r="BR5" s="22"/>
      <c r="BS5" s="22"/>
      <c r="BT5" s="31"/>
      <c r="BU5" s="90">
        <f t="shared" si="0"/>
        <v>0</v>
      </c>
      <c r="BV5" s="90">
        <f t="shared" si="1"/>
        <v>0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75"/>
      <c r="B6" s="8" t="s">
        <v>13</v>
      </c>
      <c r="C6" s="12" t="s">
        <v>14</v>
      </c>
      <c r="D6" s="27"/>
      <c r="E6" s="28"/>
      <c r="F6" s="28"/>
      <c r="G6" s="28"/>
      <c r="H6" s="32"/>
      <c r="I6" s="35"/>
      <c r="J6" s="28"/>
      <c r="K6" s="28"/>
      <c r="L6" s="28"/>
      <c r="M6" s="32"/>
      <c r="N6" s="35"/>
      <c r="O6" s="28"/>
      <c r="P6" s="28"/>
      <c r="Q6" s="28"/>
      <c r="R6" s="32"/>
      <c r="S6" s="35"/>
      <c r="T6" s="28"/>
      <c r="U6" s="28"/>
      <c r="V6" s="28"/>
      <c r="W6" s="32"/>
      <c r="X6" s="35"/>
      <c r="Y6" s="28"/>
      <c r="Z6" s="28"/>
      <c r="AA6" s="28"/>
      <c r="AB6" s="32"/>
      <c r="AC6" s="35"/>
      <c r="AD6" s="28"/>
      <c r="AE6" s="28"/>
      <c r="AF6" s="28"/>
      <c r="AG6" s="32"/>
      <c r="AH6" s="35"/>
      <c r="AI6" s="28"/>
      <c r="AJ6" s="28"/>
      <c r="AK6" s="28"/>
      <c r="AL6" s="32"/>
      <c r="AM6" s="35"/>
      <c r="AN6" s="28"/>
      <c r="AO6" s="28"/>
      <c r="AP6" s="28"/>
      <c r="AQ6" s="32"/>
      <c r="AR6" s="35"/>
      <c r="AS6" s="28"/>
      <c r="AT6" s="28"/>
      <c r="AU6" s="28"/>
      <c r="AV6" s="32"/>
      <c r="AW6" s="35"/>
      <c r="AX6" s="28"/>
      <c r="AY6" s="28"/>
      <c r="AZ6" s="28"/>
      <c r="BA6" s="32"/>
      <c r="BB6" s="35"/>
      <c r="BC6" s="28"/>
      <c r="BD6" s="28"/>
      <c r="BE6" s="28"/>
      <c r="BF6" s="32"/>
      <c r="BG6" s="35"/>
      <c r="BH6" s="28"/>
      <c r="BI6" s="28"/>
      <c r="BJ6" s="28"/>
      <c r="BK6" s="32"/>
      <c r="BL6" s="35"/>
      <c r="BM6" s="28"/>
      <c r="BN6" s="28"/>
      <c r="BO6" s="28"/>
      <c r="BP6" s="32"/>
      <c r="BQ6" s="35"/>
      <c r="BR6" s="28"/>
      <c r="BS6" s="28"/>
      <c r="BT6" s="32"/>
      <c r="BU6" s="91">
        <f t="shared" si="0"/>
        <v>0</v>
      </c>
      <c r="BV6" s="91">
        <f t="shared" si="1"/>
        <v>0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7</v>
      </c>
      <c r="B7" s="6" t="s">
        <v>15</v>
      </c>
      <c r="C7" s="11" t="s">
        <v>9</v>
      </c>
      <c r="D7" s="25"/>
      <c r="E7" s="26"/>
      <c r="F7" s="26"/>
      <c r="G7" s="26"/>
      <c r="H7" s="30"/>
      <c r="I7" s="33"/>
      <c r="J7" s="26"/>
      <c r="K7" s="26"/>
      <c r="L7" s="26"/>
      <c r="M7" s="30"/>
      <c r="N7" s="33"/>
      <c r="O7" s="26"/>
      <c r="P7" s="26"/>
      <c r="Q7" s="26"/>
      <c r="R7" s="30"/>
      <c r="S7" s="33"/>
      <c r="T7" s="26"/>
      <c r="U7" s="26"/>
      <c r="V7" s="26"/>
      <c r="W7" s="30"/>
      <c r="X7" s="33"/>
      <c r="Y7" s="26"/>
      <c r="Z7" s="26"/>
      <c r="AA7" s="26"/>
      <c r="AB7" s="30"/>
      <c r="AC7" s="33"/>
      <c r="AD7" s="26"/>
      <c r="AE7" s="26"/>
      <c r="AF7" s="26"/>
      <c r="AG7" s="30"/>
      <c r="AH7" s="33"/>
      <c r="AI7" s="26"/>
      <c r="AJ7" s="26"/>
      <c r="AK7" s="26"/>
      <c r="AL7" s="30"/>
      <c r="AM7" s="33"/>
      <c r="AN7" s="26"/>
      <c r="AO7" s="26"/>
      <c r="AP7" s="26"/>
      <c r="AQ7" s="30"/>
      <c r="AR7" s="33"/>
      <c r="AS7" s="26"/>
      <c r="AT7" s="26"/>
      <c r="AU7" s="26"/>
      <c r="AV7" s="30"/>
      <c r="AW7" s="33"/>
      <c r="AX7" s="26"/>
      <c r="AY7" s="26"/>
      <c r="AZ7" s="26"/>
      <c r="BA7" s="30"/>
      <c r="BB7" s="33"/>
      <c r="BC7" s="26"/>
      <c r="BD7" s="26"/>
      <c r="BE7" s="26"/>
      <c r="BF7" s="30"/>
      <c r="BG7" s="33"/>
      <c r="BH7" s="26"/>
      <c r="BI7" s="26"/>
      <c r="BJ7" s="26"/>
      <c r="BK7" s="30"/>
      <c r="BL7" s="33"/>
      <c r="BM7" s="26"/>
      <c r="BN7" s="26"/>
      <c r="BO7" s="26"/>
      <c r="BP7" s="30"/>
      <c r="BQ7" s="33"/>
      <c r="BR7" s="26"/>
      <c r="BS7" s="26"/>
      <c r="BT7" s="30"/>
      <c r="BU7" s="89">
        <f t="shared" ref="BU7:BU9" si="2">IFERROR(AVERAGE(D7:BT9),0)</f>
        <v>0</v>
      </c>
      <c r="BV7" s="89">
        <f t="shared" ref="BV7:BV9" si="3">MIN(D7:BT9)</f>
        <v>0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75">
        <v>8.3000000000000004E-2</v>
      </c>
      <c r="B8" s="7" t="s">
        <v>11</v>
      </c>
      <c r="C8" s="11" t="s">
        <v>12</v>
      </c>
      <c r="D8" s="29"/>
      <c r="E8" s="22"/>
      <c r="F8" s="22"/>
      <c r="G8" s="22"/>
      <c r="H8" s="31"/>
      <c r="I8" s="34"/>
      <c r="J8" s="22"/>
      <c r="K8" s="22"/>
      <c r="L8" s="22"/>
      <c r="M8" s="31"/>
      <c r="N8" s="34"/>
      <c r="O8" s="22"/>
      <c r="P8" s="22"/>
      <c r="Q8" s="22"/>
      <c r="R8" s="31"/>
      <c r="S8" s="34"/>
      <c r="T8" s="22"/>
      <c r="U8" s="22"/>
      <c r="V8" s="22"/>
      <c r="W8" s="31"/>
      <c r="X8" s="34"/>
      <c r="Y8" s="22"/>
      <c r="Z8" s="22"/>
      <c r="AA8" s="22"/>
      <c r="AB8" s="31"/>
      <c r="AC8" s="34"/>
      <c r="AD8" s="22"/>
      <c r="AE8" s="22"/>
      <c r="AF8" s="22"/>
      <c r="AG8" s="31"/>
      <c r="AH8" s="34"/>
      <c r="AI8" s="22"/>
      <c r="AJ8" s="22"/>
      <c r="AK8" s="22"/>
      <c r="AL8" s="31"/>
      <c r="AM8" s="34"/>
      <c r="AN8" s="22"/>
      <c r="AO8" s="22"/>
      <c r="AP8" s="22"/>
      <c r="AQ8" s="31"/>
      <c r="AR8" s="34"/>
      <c r="AS8" s="22"/>
      <c r="AT8" s="22"/>
      <c r="AU8" s="22"/>
      <c r="AV8" s="31"/>
      <c r="AW8" s="34"/>
      <c r="AX8" s="22"/>
      <c r="AY8" s="22"/>
      <c r="AZ8" s="22"/>
      <c r="BA8" s="31"/>
      <c r="BB8" s="34"/>
      <c r="BC8" s="22"/>
      <c r="BD8" s="22"/>
      <c r="BE8" s="22"/>
      <c r="BF8" s="31"/>
      <c r="BG8" s="34"/>
      <c r="BH8" s="22"/>
      <c r="BI8" s="22"/>
      <c r="BJ8" s="22"/>
      <c r="BK8" s="31"/>
      <c r="BL8" s="34"/>
      <c r="BM8" s="22"/>
      <c r="BN8" s="22"/>
      <c r="BO8" s="22"/>
      <c r="BP8" s="31"/>
      <c r="BQ8" s="34"/>
      <c r="BR8" s="22"/>
      <c r="BS8" s="22"/>
      <c r="BT8" s="31"/>
      <c r="BU8" s="90">
        <f t="shared" si="2"/>
        <v>0</v>
      </c>
      <c r="BV8" s="90">
        <f t="shared" si="3"/>
        <v>0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75"/>
      <c r="B9" s="8" t="s">
        <v>13</v>
      </c>
      <c r="C9" s="12" t="s">
        <v>14</v>
      </c>
      <c r="D9" s="27"/>
      <c r="E9" s="28"/>
      <c r="F9" s="28"/>
      <c r="G9" s="28"/>
      <c r="H9" s="32"/>
      <c r="I9" s="35"/>
      <c r="J9" s="28"/>
      <c r="K9" s="28"/>
      <c r="L9" s="28"/>
      <c r="M9" s="32"/>
      <c r="N9" s="35"/>
      <c r="O9" s="28"/>
      <c r="P9" s="28"/>
      <c r="Q9" s="28"/>
      <c r="R9" s="32"/>
      <c r="S9" s="35"/>
      <c r="T9" s="28"/>
      <c r="U9" s="28"/>
      <c r="V9" s="28"/>
      <c r="W9" s="32"/>
      <c r="X9" s="35"/>
      <c r="Y9" s="28"/>
      <c r="Z9" s="28"/>
      <c r="AA9" s="28"/>
      <c r="AB9" s="32"/>
      <c r="AC9" s="35"/>
      <c r="AD9" s="28"/>
      <c r="AE9" s="28"/>
      <c r="AF9" s="28"/>
      <c r="AG9" s="32"/>
      <c r="AH9" s="35"/>
      <c r="AI9" s="28"/>
      <c r="AJ9" s="28"/>
      <c r="AK9" s="28"/>
      <c r="AL9" s="32"/>
      <c r="AM9" s="35"/>
      <c r="AN9" s="28"/>
      <c r="AO9" s="28"/>
      <c r="AP9" s="28"/>
      <c r="AQ9" s="32"/>
      <c r="AR9" s="35"/>
      <c r="AS9" s="28"/>
      <c r="AT9" s="28"/>
      <c r="AU9" s="28"/>
      <c r="AV9" s="32"/>
      <c r="AW9" s="35"/>
      <c r="AX9" s="28"/>
      <c r="AY9" s="28"/>
      <c r="AZ9" s="28"/>
      <c r="BA9" s="32"/>
      <c r="BB9" s="35"/>
      <c r="BC9" s="28"/>
      <c r="BD9" s="28"/>
      <c r="BE9" s="28"/>
      <c r="BF9" s="32"/>
      <c r="BG9" s="35"/>
      <c r="BH9" s="28"/>
      <c r="BI9" s="28"/>
      <c r="BJ9" s="28"/>
      <c r="BK9" s="32"/>
      <c r="BL9" s="35"/>
      <c r="BM9" s="28"/>
      <c r="BN9" s="28"/>
      <c r="BO9" s="28"/>
      <c r="BP9" s="32"/>
      <c r="BQ9" s="35"/>
      <c r="BR9" s="28"/>
      <c r="BS9" s="28"/>
      <c r="BT9" s="32"/>
      <c r="BU9" s="91">
        <f t="shared" si="2"/>
        <v>0</v>
      </c>
      <c r="BV9" s="91">
        <f t="shared" si="3"/>
        <v>0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7</v>
      </c>
      <c r="B10" s="6" t="s">
        <v>16</v>
      </c>
      <c r="C10" s="11" t="s">
        <v>9</v>
      </c>
      <c r="D10" s="25"/>
      <c r="E10" s="26"/>
      <c r="F10" s="26"/>
      <c r="G10" s="26"/>
      <c r="H10" s="30"/>
      <c r="I10" s="33"/>
      <c r="J10" s="26"/>
      <c r="K10" s="26"/>
      <c r="L10" s="26"/>
      <c r="M10" s="30"/>
      <c r="N10" s="33"/>
      <c r="O10" s="26"/>
      <c r="P10" s="26"/>
      <c r="Q10" s="26"/>
      <c r="R10" s="30"/>
      <c r="S10" s="33"/>
      <c r="T10" s="26"/>
      <c r="U10" s="26"/>
      <c r="V10" s="26"/>
      <c r="W10" s="30"/>
      <c r="X10" s="33"/>
      <c r="Y10" s="26"/>
      <c r="Z10" s="26"/>
      <c r="AA10" s="26"/>
      <c r="AB10" s="30"/>
      <c r="AC10" s="33"/>
      <c r="AD10" s="26"/>
      <c r="AE10" s="26"/>
      <c r="AF10" s="26"/>
      <c r="AG10" s="30"/>
      <c r="AH10" s="33"/>
      <c r="AI10" s="26"/>
      <c r="AJ10" s="26"/>
      <c r="AK10" s="26"/>
      <c r="AL10" s="30"/>
      <c r="AM10" s="33"/>
      <c r="AN10" s="26"/>
      <c r="AO10" s="26"/>
      <c r="AP10" s="26"/>
      <c r="AQ10" s="30"/>
      <c r="AR10" s="33"/>
      <c r="AS10" s="26"/>
      <c r="AT10" s="26"/>
      <c r="AU10" s="26"/>
      <c r="AV10" s="30"/>
      <c r="AW10" s="33"/>
      <c r="AX10" s="26"/>
      <c r="AY10" s="26"/>
      <c r="AZ10" s="26"/>
      <c r="BA10" s="30"/>
      <c r="BB10" s="33"/>
      <c r="BC10" s="26"/>
      <c r="BD10" s="26"/>
      <c r="BE10" s="26"/>
      <c r="BF10" s="30"/>
      <c r="BG10" s="33"/>
      <c r="BH10" s="26"/>
      <c r="BI10" s="26"/>
      <c r="BJ10" s="26"/>
      <c r="BK10" s="30"/>
      <c r="BL10" s="33"/>
      <c r="BM10" s="26"/>
      <c r="BN10" s="26"/>
      <c r="BO10" s="26"/>
      <c r="BP10" s="30"/>
      <c r="BQ10" s="33"/>
      <c r="BR10" s="26"/>
      <c r="BS10" s="26"/>
      <c r="BT10" s="30"/>
      <c r="BU10" s="89">
        <f t="shared" ref="BU10:BU12" si="4">IFERROR(AVERAGE(D10:BT12),0)</f>
        <v>0</v>
      </c>
      <c r="BV10" s="89">
        <f t="shared" ref="BV10:BV12" si="5">MIN(D10:BT12)</f>
        <v>0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75">
        <v>8.3000000000000004E-2</v>
      </c>
      <c r="B11" s="7" t="s">
        <v>11</v>
      </c>
      <c r="C11" s="11" t="s">
        <v>12</v>
      </c>
      <c r="D11" s="29"/>
      <c r="E11" s="22"/>
      <c r="F11" s="22"/>
      <c r="G11" s="22"/>
      <c r="H11" s="31"/>
      <c r="I11" s="34"/>
      <c r="J11" s="22"/>
      <c r="K11" s="22"/>
      <c r="L11" s="22"/>
      <c r="M11" s="31"/>
      <c r="N11" s="34"/>
      <c r="O11" s="22"/>
      <c r="P11" s="22"/>
      <c r="Q11" s="22"/>
      <c r="R11" s="31"/>
      <c r="S11" s="34"/>
      <c r="T11" s="22"/>
      <c r="U11" s="22"/>
      <c r="V11" s="22"/>
      <c r="W11" s="31"/>
      <c r="X11" s="34"/>
      <c r="Y11" s="22"/>
      <c r="Z11" s="22"/>
      <c r="AA11" s="22"/>
      <c r="AB11" s="31"/>
      <c r="AC11" s="34"/>
      <c r="AD11" s="22"/>
      <c r="AE11" s="22"/>
      <c r="AF11" s="22"/>
      <c r="AG11" s="31"/>
      <c r="AH11" s="34"/>
      <c r="AI11" s="22"/>
      <c r="AJ11" s="22"/>
      <c r="AK11" s="22"/>
      <c r="AL11" s="31"/>
      <c r="AM11" s="34"/>
      <c r="AN11" s="22"/>
      <c r="AO11" s="22"/>
      <c r="AP11" s="22"/>
      <c r="AQ11" s="31"/>
      <c r="AR11" s="34"/>
      <c r="AS11" s="22"/>
      <c r="AT11" s="22"/>
      <c r="AU11" s="22"/>
      <c r="AV11" s="31"/>
      <c r="AW11" s="34"/>
      <c r="AX11" s="22"/>
      <c r="AY11" s="22"/>
      <c r="AZ11" s="22"/>
      <c r="BA11" s="31"/>
      <c r="BB11" s="34"/>
      <c r="BC11" s="22"/>
      <c r="BD11" s="22"/>
      <c r="BE11" s="22"/>
      <c r="BF11" s="31"/>
      <c r="BG11" s="34"/>
      <c r="BH11" s="22"/>
      <c r="BI11" s="22"/>
      <c r="BJ11" s="22"/>
      <c r="BK11" s="31"/>
      <c r="BL11" s="34"/>
      <c r="BM11" s="22"/>
      <c r="BN11" s="22"/>
      <c r="BO11" s="22"/>
      <c r="BP11" s="31"/>
      <c r="BQ11" s="34"/>
      <c r="BR11" s="22"/>
      <c r="BS11" s="22"/>
      <c r="BT11" s="31"/>
      <c r="BU11" s="90">
        <f t="shared" si="4"/>
        <v>0</v>
      </c>
      <c r="BV11" s="90">
        <f t="shared" si="5"/>
        <v>0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75"/>
      <c r="B12" s="8" t="s">
        <v>13</v>
      </c>
      <c r="C12" s="12" t="s">
        <v>14</v>
      </c>
      <c r="D12" s="27"/>
      <c r="E12" s="28"/>
      <c r="F12" s="28"/>
      <c r="G12" s="28"/>
      <c r="H12" s="32"/>
      <c r="I12" s="35"/>
      <c r="J12" s="28"/>
      <c r="K12" s="28"/>
      <c r="L12" s="28"/>
      <c r="M12" s="32"/>
      <c r="N12" s="35"/>
      <c r="O12" s="28"/>
      <c r="P12" s="28"/>
      <c r="Q12" s="28"/>
      <c r="R12" s="32"/>
      <c r="S12" s="35"/>
      <c r="T12" s="28"/>
      <c r="U12" s="28"/>
      <c r="V12" s="28"/>
      <c r="W12" s="32"/>
      <c r="X12" s="35"/>
      <c r="Y12" s="28"/>
      <c r="Z12" s="28"/>
      <c r="AA12" s="28"/>
      <c r="AB12" s="32"/>
      <c r="AC12" s="35"/>
      <c r="AD12" s="28"/>
      <c r="AE12" s="28"/>
      <c r="AF12" s="28"/>
      <c r="AG12" s="32"/>
      <c r="AH12" s="35"/>
      <c r="AI12" s="28"/>
      <c r="AJ12" s="28"/>
      <c r="AK12" s="28"/>
      <c r="AL12" s="32"/>
      <c r="AM12" s="35"/>
      <c r="AN12" s="28"/>
      <c r="AO12" s="28"/>
      <c r="AP12" s="28"/>
      <c r="AQ12" s="32"/>
      <c r="AR12" s="35"/>
      <c r="AS12" s="28"/>
      <c r="AT12" s="28"/>
      <c r="AU12" s="28"/>
      <c r="AV12" s="32"/>
      <c r="AW12" s="35"/>
      <c r="AX12" s="28"/>
      <c r="AY12" s="28"/>
      <c r="AZ12" s="28"/>
      <c r="BA12" s="32"/>
      <c r="BB12" s="35"/>
      <c r="BC12" s="28"/>
      <c r="BD12" s="28"/>
      <c r="BE12" s="28"/>
      <c r="BF12" s="32"/>
      <c r="BG12" s="35"/>
      <c r="BH12" s="28"/>
      <c r="BI12" s="28"/>
      <c r="BJ12" s="28"/>
      <c r="BK12" s="32"/>
      <c r="BL12" s="35"/>
      <c r="BM12" s="28"/>
      <c r="BN12" s="28"/>
      <c r="BO12" s="28"/>
      <c r="BP12" s="32"/>
      <c r="BQ12" s="35"/>
      <c r="BR12" s="28"/>
      <c r="BS12" s="28"/>
      <c r="BT12" s="32"/>
      <c r="BU12" s="91">
        <f t="shared" si="4"/>
        <v>0</v>
      </c>
      <c r="BV12" s="91">
        <f t="shared" si="5"/>
        <v>0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7</v>
      </c>
      <c r="B13" s="6" t="s">
        <v>17</v>
      </c>
      <c r="C13" s="11" t="s">
        <v>9</v>
      </c>
      <c r="D13" s="25"/>
      <c r="E13" s="26"/>
      <c r="F13" s="26"/>
      <c r="G13" s="26"/>
      <c r="H13" s="30"/>
      <c r="I13" s="33"/>
      <c r="J13" s="26"/>
      <c r="K13" s="26"/>
      <c r="L13" s="26"/>
      <c r="M13" s="30"/>
      <c r="N13" s="33"/>
      <c r="O13" s="26"/>
      <c r="P13" s="26"/>
      <c r="Q13" s="26"/>
      <c r="R13" s="30"/>
      <c r="S13" s="33"/>
      <c r="T13" s="26"/>
      <c r="U13" s="26"/>
      <c r="V13" s="26"/>
      <c r="W13" s="30"/>
      <c r="X13" s="33"/>
      <c r="Y13" s="26"/>
      <c r="Z13" s="26"/>
      <c r="AA13" s="26"/>
      <c r="AB13" s="30"/>
      <c r="AC13" s="33"/>
      <c r="AD13" s="26"/>
      <c r="AE13" s="26"/>
      <c r="AF13" s="26"/>
      <c r="AG13" s="30"/>
      <c r="AH13" s="33"/>
      <c r="AI13" s="26"/>
      <c r="AJ13" s="26"/>
      <c r="AK13" s="26"/>
      <c r="AL13" s="30"/>
      <c r="AM13" s="33"/>
      <c r="AN13" s="26"/>
      <c r="AO13" s="26"/>
      <c r="AP13" s="26"/>
      <c r="AQ13" s="30"/>
      <c r="AR13" s="33"/>
      <c r="AS13" s="26"/>
      <c r="AT13" s="26"/>
      <c r="AU13" s="26"/>
      <c r="AV13" s="30"/>
      <c r="AW13" s="33"/>
      <c r="AX13" s="26"/>
      <c r="AY13" s="26"/>
      <c r="AZ13" s="26"/>
      <c r="BA13" s="30"/>
      <c r="BB13" s="33"/>
      <c r="BC13" s="26"/>
      <c r="BD13" s="26"/>
      <c r="BE13" s="26"/>
      <c r="BF13" s="30"/>
      <c r="BG13" s="33"/>
      <c r="BH13" s="26"/>
      <c r="BI13" s="26"/>
      <c r="BJ13" s="26"/>
      <c r="BK13" s="30"/>
      <c r="BL13" s="33"/>
      <c r="BM13" s="26"/>
      <c r="BN13" s="26"/>
      <c r="BO13" s="26"/>
      <c r="BP13" s="30"/>
      <c r="BQ13" s="33"/>
      <c r="BR13" s="26"/>
      <c r="BS13" s="26"/>
      <c r="BT13" s="30"/>
      <c r="BU13" s="89">
        <f t="shared" ref="BU13:BU15" si="6">IFERROR(AVERAGE(D13:BT15),0)</f>
        <v>0</v>
      </c>
      <c r="BV13" s="89">
        <f t="shared" ref="BV13:BV15" si="7">MIN(D13:BT15)</f>
        <v>0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75">
        <v>8.3000000000000004E-2</v>
      </c>
      <c r="B14" s="7" t="s">
        <v>11</v>
      </c>
      <c r="C14" s="11" t="s">
        <v>12</v>
      </c>
      <c r="D14" s="29"/>
      <c r="E14" s="22"/>
      <c r="F14" s="22"/>
      <c r="G14" s="22"/>
      <c r="H14" s="31"/>
      <c r="I14" s="34"/>
      <c r="J14" s="22"/>
      <c r="K14" s="22"/>
      <c r="L14" s="22"/>
      <c r="M14" s="31"/>
      <c r="N14" s="34"/>
      <c r="O14" s="22"/>
      <c r="P14" s="22"/>
      <c r="Q14" s="22"/>
      <c r="R14" s="31"/>
      <c r="S14" s="34"/>
      <c r="T14" s="22"/>
      <c r="U14" s="22"/>
      <c r="V14" s="22"/>
      <c r="W14" s="31"/>
      <c r="X14" s="34"/>
      <c r="Y14" s="22"/>
      <c r="Z14" s="22"/>
      <c r="AA14" s="22"/>
      <c r="AB14" s="31"/>
      <c r="AC14" s="34"/>
      <c r="AD14" s="22"/>
      <c r="AE14" s="22"/>
      <c r="AF14" s="22"/>
      <c r="AG14" s="31"/>
      <c r="AH14" s="34"/>
      <c r="AI14" s="22"/>
      <c r="AJ14" s="22"/>
      <c r="AK14" s="22"/>
      <c r="AL14" s="31"/>
      <c r="AM14" s="34"/>
      <c r="AN14" s="22"/>
      <c r="AO14" s="22"/>
      <c r="AP14" s="22"/>
      <c r="AQ14" s="31"/>
      <c r="AR14" s="34"/>
      <c r="AS14" s="22"/>
      <c r="AT14" s="22"/>
      <c r="AU14" s="22"/>
      <c r="AV14" s="31"/>
      <c r="AW14" s="34"/>
      <c r="AX14" s="22"/>
      <c r="AY14" s="22"/>
      <c r="AZ14" s="22"/>
      <c r="BA14" s="31"/>
      <c r="BB14" s="34"/>
      <c r="BC14" s="22"/>
      <c r="BD14" s="22"/>
      <c r="BE14" s="22"/>
      <c r="BF14" s="31"/>
      <c r="BG14" s="34"/>
      <c r="BH14" s="22"/>
      <c r="BI14" s="22"/>
      <c r="BJ14" s="22"/>
      <c r="BK14" s="31"/>
      <c r="BL14" s="34"/>
      <c r="BM14" s="22"/>
      <c r="BN14" s="22"/>
      <c r="BO14" s="22"/>
      <c r="BP14" s="31"/>
      <c r="BQ14" s="34"/>
      <c r="BR14" s="22"/>
      <c r="BS14" s="22"/>
      <c r="BT14" s="31"/>
      <c r="BU14" s="90">
        <f t="shared" si="6"/>
        <v>35</v>
      </c>
      <c r="BV14" s="90">
        <f t="shared" si="7"/>
        <v>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75"/>
      <c r="B15" s="8" t="s">
        <v>13</v>
      </c>
      <c r="C15" s="12" t="s">
        <v>14</v>
      </c>
      <c r="D15" s="27"/>
      <c r="E15" s="28"/>
      <c r="F15" s="28"/>
      <c r="G15" s="28"/>
      <c r="H15" s="32"/>
      <c r="I15" s="35"/>
      <c r="J15" s="28"/>
      <c r="K15" s="28"/>
      <c r="L15" s="28"/>
      <c r="M15" s="32"/>
      <c r="N15" s="35"/>
      <c r="O15" s="28"/>
      <c r="P15" s="28"/>
      <c r="Q15" s="28"/>
      <c r="R15" s="32"/>
      <c r="S15" s="35"/>
      <c r="T15" s="28"/>
      <c r="U15" s="28"/>
      <c r="V15" s="28"/>
      <c r="W15" s="32"/>
      <c r="X15" s="35"/>
      <c r="Y15" s="28"/>
      <c r="Z15" s="28"/>
      <c r="AA15" s="28"/>
      <c r="AB15" s="32"/>
      <c r="AC15" s="35"/>
      <c r="AD15" s="28"/>
      <c r="AE15" s="28"/>
      <c r="AF15" s="28"/>
      <c r="AG15" s="32"/>
      <c r="AH15" s="35"/>
      <c r="AI15" s="28"/>
      <c r="AJ15" s="28"/>
      <c r="AK15" s="28"/>
      <c r="AL15" s="32"/>
      <c r="AM15" s="35"/>
      <c r="AN15" s="28"/>
      <c r="AO15" s="28"/>
      <c r="AP15" s="28"/>
      <c r="AQ15" s="32"/>
      <c r="AR15" s="35"/>
      <c r="AS15" s="28"/>
      <c r="AT15" s="28"/>
      <c r="AU15" s="28"/>
      <c r="AV15" s="32"/>
      <c r="AW15" s="35"/>
      <c r="AX15" s="28"/>
      <c r="AY15" s="28"/>
      <c r="AZ15" s="28"/>
      <c r="BA15" s="32"/>
      <c r="BB15" s="35"/>
      <c r="BC15" s="28"/>
      <c r="BD15" s="28"/>
      <c r="BE15" s="28"/>
      <c r="BF15" s="32"/>
      <c r="BG15" s="35"/>
      <c r="BH15" s="28"/>
      <c r="BI15" s="28"/>
      <c r="BJ15" s="28"/>
      <c r="BK15" s="32"/>
      <c r="BL15" s="35"/>
      <c r="BM15" s="28"/>
      <c r="BN15" s="28"/>
      <c r="BO15" s="28"/>
      <c r="BP15" s="32"/>
      <c r="BQ15" s="35"/>
      <c r="BR15" s="28"/>
      <c r="BS15" s="28"/>
      <c r="BT15" s="32"/>
      <c r="BU15" s="91">
        <f t="shared" si="6"/>
        <v>35</v>
      </c>
      <c r="BV15" s="91">
        <f t="shared" si="7"/>
        <v>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73" t="s">
        <v>3</v>
      </c>
      <c r="B16" s="74"/>
      <c r="C16" s="18" t="s">
        <v>4</v>
      </c>
      <c r="D16" s="44">
        <v>1</v>
      </c>
      <c r="E16" s="45">
        <v>2</v>
      </c>
      <c r="F16" s="45">
        <v>3</v>
      </c>
      <c r="G16" s="45">
        <v>4</v>
      </c>
      <c r="H16" s="45">
        <v>5</v>
      </c>
      <c r="I16" s="45">
        <v>6</v>
      </c>
      <c r="J16" s="45">
        <v>7</v>
      </c>
      <c r="K16" s="45">
        <v>8</v>
      </c>
      <c r="L16" s="45">
        <v>9</v>
      </c>
      <c r="M16" s="45">
        <v>10</v>
      </c>
      <c r="N16" s="45">
        <v>11</v>
      </c>
      <c r="O16" s="45">
        <v>12</v>
      </c>
      <c r="P16" s="45">
        <v>13</v>
      </c>
      <c r="Q16" s="45">
        <v>14</v>
      </c>
      <c r="R16" s="45">
        <v>15</v>
      </c>
      <c r="S16" s="45">
        <v>16</v>
      </c>
      <c r="T16" s="45">
        <v>17</v>
      </c>
      <c r="U16" s="45">
        <v>18</v>
      </c>
      <c r="V16" s="45">
        <v>19</v>
      </c>
      <c r="W16" s="45">
        <v>20</v>
      </c>
      <c r="X16" s="45">
        <v>21</v>
      </c>
      <c r="Y16" s="45">
        <v>22</v>
      </c>
      <c r="Z16" s="45">
        <v>23</v>
      </c>
      <c r="AA16" s="45">
        <v>24</v>
      </c>
      <c r="AB16" s="45">
        <v>25</v>
      </c>
      <c r="AC16" s="45">
        <v>26</v>
      </c>
      <c r="AD16" s="45">
        <v>27</v>
      </c>
      <c r="AE16" s="45">
        <v>28</v>
      </c>
      <c r="AF16" s="45">
        <v>29</v>
      </c>
      <c r="AG16" s="45">
        <v>30</v>
      </c>
      <c r="AH16" s="45">
        <v>31</v>
      </c>
      <c r="AI16" s="45">
        <v>32</v>
      </c>
      <c r="AJ16" s="45">
        <v>33</v>
      </c>
      <c r="AK16" s="45">
        <v>34</v>
      </c>
      <c r="AL16" s="45">
        <v>35</v>
      </c>
      <c r="AM16" s="45">
        <v>36</v>
      </c>
      <c r="AN16" s="45">
        <v>37</v>
      </c>
      <c r="AO16" s="45">
        <v>38</v>
      </c>
      <c r="AP16" s="45">
        <v>39</v>
      </c>
      <c r="AQ16" s="45">
        <v>40</v>
      </c>
      <c r="AR16" s="45">
        <v>41</v>
      </c>
      <c r="AS16" s="45">
        <v>42</v>
      </c>
      <c r="AT16" s="45">
        <v>43</v>
      </c>
      <c r="AU16" s="45">
        <v>44</v>
      </c>
      <c r="AV16" s="45">
        <v>45</v>
      </c>
      <c r="AW16" s="45">
        <v>46</v>
      </c>
      <c r="AX16" s="45">
        <v>47</v>
      </c>
      <c r="AY16" s="45">
        <v>48</v>
      </c>
      <c r="AZ16" s="45">
        <v>49</v>
      </c>
      <c r="BA16" s="45">
        <v>50</v>
      </c>
      <c r="BB16" s="45">
        <v>51</v>
      </c>
      <c r="BC16" s="45">
        <v>52</v>
      </c>
      <c r="BD16" s="45">
        <v>53</v>
      </c>
      <c r="BE16" s="45">
        <v>54</v>
      </c>
      <c r="BF16" s="45">
        <v>55</v>
      </c>
      <c r="BG16" s="45">
        <v>56</v>
      </c>
      <c r="BH16" s="45">
        <v>57</v>
      </c>
      <c r="BI16" s="45">
        <v>58</v>
      </c>
      <c r="BJ16" s="45">
        <v>59</v>
      </c>
      <c r="BK16" s="45">
        <v>60</v>
      </c>
      <c r="BL16" s="45">
        <v>61</v>
      </c>
      <c r="BM16" s="45">
        <v>62</v>
      </c>
      <c r="BN16" s="45">
        <v>63</v>
      </c>
      <c r="BO16" s="45">
        <v>64</v>
      </c>
      <c r="BP16" s="45">
        <v>65</v>
      </c>
      <c r="BQ16" s="45">
        <v>66</v>
      </c>
      <c r="BR16" s="45">
        <v>67</v>
      </c>
      <c r="BS16" s="45">
        <v>68</v>
      </c>
      <c r="BT16" s="46">
        <v>69</v>
      </c>
      <c r="BU16" s="40" t="s">
        <v>5</v>
      </c>
      <c r="BV16" s="41" t="s">
        <v>6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10</v>
      </c>
      <c r="C97" s="92" t="s">
        <v>10</v>
      </c>
      <c r="D97" s="93"/>
      <c r="E97" s="93"/>
      <c r="F97" s="93"/>
      <c r="G97" s="93"/>
      <c r="H97" s="93"/>
      <c r="I97" s="93"/>
      <c r="J97" s="93"/>
      <c r="K97" s="93"/>
      <c r="L97" s="93"/>
      <c r="M97" s="94" t="s">
        <v>18</v>
      </c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6">
        <v>3</v>
      </c>
      <c r="AA97" s="96"/>
      <c r="AB97" s="96"/>
      <c r="AC97" s="96"/>
      <c r="AD97" s="96"/>
      <c r="AE97" s="96"/>
      <c r="AF97" s="97"/>
      <c r="AG97" s="98" t="s">
        <v>56</v>
      </c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100"/>
      <c r="AW97" s="55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47" t="s">
        <v>20</v>
      </c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8"/>
      <c r="CL97" s="195" t="str">
        <f>Thickness!CL97</f>
        <v xml:space="preserve">INTERNATIONAL PAPER </v>
      </c>
      <c r="CM97" s="196"/>
      <c r="CN97" s="196"/>
      <c r="CO97" s="196"/>
      <c r="CP97" s="196"/>
      <c r="CQ97" s="196"/>
      <c r="CR97" s="196"/>
      <c r="CS97" s="196"/>
      <c r="CT97" s="196"/>
      <c r="CU97" s="196"/>
      <c r="CV97" s="196"/>
      <c r="CW97" s="196"/>
      <c r="CX97" s="196"/>
      <c r="CY97" s="196"/>
      <c r="CZ97" s="196"/>
      <c r="DA97" s="196"/>
      <c r="DB97" s="196"/>
      <c r="DC97" s="196"/>
      <c r="DD97" s="196"/>
      <c r="DE97" s="196"/>
      <c r="DF97" s="196"/>
      <c r="DG97" s="196"/>
      <c r="DH97" s="196"/>
      <c r="DI97" s="196"/>
      <c r="DJ97" s="196"/>
      <c r="DK97" s="196"/>
      <c r="DL97" s="196"/>
      <c r="DM97" s="196"/>
      <c r="DN97" s="196"/>
      <c r="DO97" s="196"/>
      <c r="DP97" s="196"/>
      <c r="DQ97" s="196"/>
      <c r="DR97" s="196"/>
      <c r="DS97" s="196"/>
      <c r="DT97" s="196"/>
      <c r="DU97" s="196"/>
      <c r="DV97" s="196"/>
      <c r="DW97" s="196"/>
      <c r="DX97" s="196"/>
      <c r="DY97" s="196"/>
      <c r="DZ97" s="197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01" t="s">
        <v>22</v>
      </c>
      <c r="B98" s="42" t="s">
        <v>10</v>
      </c>
      <c r="C98" s="92" t="s">
        <v>10</v>
      </c>
      <c r="D98" s="102"/>
      <c r="E98" s="102"/>
      <c r="F98" s="102"/>
      <c r="G98" s="102"/>
      <c r="H98" s="102"/>
      <c r="I98" s="102"/>
      <c r="J98" s="102"/>
      <c r="K98" s="102"/>
      <c r="L98" s="102"/>
      <c r="M98" s="103" t="s">
        <v>23</v>
      </c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5" t="s">
        <v>24</v>
      </c>
      <c r="AA98" s="105"/>
      <c r="AB98" s="105"/>
      <c r="AC98" s="105"/>
      <c r="AD98" s="105"/>
      <c r="AE98" s="105"/>
      <c r="AF98" s="105"/>
      <c r="AG98" s="106">
        <f>TRUNC(MAX(D4:BT6,D7:BT9,D10:BT12,D13:BT15),3)</f>
        <v>0</v>
      </c>
      <c r="AH98" s="107"/>
      <c r="AI98" s="107"/>
      <c r="AJ98" s="107"/>
      <c r="AK98" s="107"/>
      <c r="AL98" s="108" t="s">
        <v>25</v>
      </c>
      <c r="AM98" s="109"/>
      <c r="AN98" s="109"/>
      <c r="AO98" s="109"/>
      <c r="AP98" s="109"/>
      <c r="AQ98" s="109"/>
      <c r="AR98" s="109"/>
      <c r="AS98" s="109"/>
      <c r="AT98" s="109"/>
      <c r="AU98" s="109"/>
      <c r="AV98" s="110"/>
      <c r="AW98" s="57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50"/>
      <c r="CL98" s="198" t="str">
        <f>Thickness!CL98</f>
        <v>RIVERDALE MILL</v>
      </c>
      <c r="CM98" s="199"/>
      <c r="CN98" s="199"/>
      <c r="CO98" s="199"/>
      <c r="CP98" s="199"/>
      <c r="CQ98" s="199"/>
      <c r="CR98" s="199"/>
      <c r="CS98" s="199"/>
      <c r="CT98" s="199"/>
      <c r="CU98" s="199"/>
      <c r="CV98" s="199"/>
      <c r="CW98" s="199"/>
      <c r="CX98" s="199"/>
      <c r="CY98" s="199"/>
      <c r="CZ98" s="199"/>
      <c r="DA98" s="199"/>
      <c r="DB98" s="199"/>
      <c r="DC98" s="199"/>
      <c r="DD98" s="199"/>
      <c r="DE98" s="199"/>
      <c r="DF98" s="199"/>
      <c r="DG98" s="199"/>
      <c r="DH98" s="199"/>
      <c r="DI98" s="199"/>
      <c r="DJ98" s="199"/>
      <c r="DK98" s="199"/>
      <c r="DL98" s="199"/>
      <c r="DM98" s="199"/>
      <c r="DN98" s="199"/>
      <c r="DO98" s="199"/>
      <c r="DP98" s="199"/>
      <c r="DQ98" s="199"/>
      <c r="DR98" s="199"/>
      <c r="DS98" s="199"/>
      <c r="DT98" s="199"/>
      <c r="DU98" s="199"/>
      <c r="DV98" s="199"/>
      <c r="DW98" s="199"/>
      <c r="DX98" s="199"/>
      <c r="DY98" s="199"/>
      <c r="DZ98" s="200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01"/>
      <c r="B99" s="42" t="s">
        <v>10</v>
      </c>
      <c r="C99" s="92" t="s">
        <v>10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03" t="s">
        <v>27</v>
      </c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12">
        <v>0.20300000000000001</v>
      </c>
      <c r="AA99" s="112"/>
      <c r="AB99" s="112"/>
      <c r="AC99" s="112"/>
      <c r="AD99" s="112"/>
      <c r="AE99" s="112"/>
      <c r="AF99" s="112"/>
      <c r="AG99" s="113" t="e">
        <f>TRUNC(AVERAGE(D4:BT6,D7:BT9,D10:BT12,D13:BT15),3)</f>
        <v>#DIV/0!</v>
      </c>
      <c r="AH99" s="114"/>
      <c r="AI99" s="114"/>
      <c r="AJ99" s="114"/>
      <c r="AK99" s="114"/>
      <c r="AL99" s="115" t="s">
        <v>28</v>
      </c>
      <c r="AM99" s="116"/>
      <c r="AN99" s="116"/>
      <c r="AO99" s="116"/>
      <c r="AP99" s="116"/>
      <c r="AQ99" s="116"/>
      <c r="AR99" s="116"/>
      <c r="AS99" s="116"/>
      <c r="AT99" s="116"/>
      <c r="AU99" s="116"/>
      <c r="AV99" s="117"/>
      <c r="AW99" s="57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50"/>
      <c r="CL99" s="201" t="s">
        <v>57</v>
      </c>
      <c r="CM99" s="202"/>
      <c r="CN99" s="202"/>
      <c r="CO99" s="202"/>
      <c r="CP99" s="202"/>
      <c r="CQ99" s="202"/>
      <c r="CR99" s="202"/>
      <c r="CS99" s="202"/>
      <c r="CT99" s="202"/>
      <c r="CU99" s="202"/>
      <c r="CV99" s="202"/>
      <c r="CW99" s="202"/>
      <c r="CX99" s="202"/>
      <c r="CY99" s="202"/>
      <c r="CZ99" s="202"/>
      <c r="DA99" s="202"/>
      <c r="DB99" s="202"/>
      <c r="DC99" s="202"/>
      <c r="DD99" s="202"/>
      <c r="DE99" s="202"/>
      <c r="DF99" s="202"/>
      <c r="DG99" s="202"/>
      <c r="DH99" s="202"/>
      <c r="DI99" s="202"/>
      <c r="DJ99" s="202"/>
      <c r="DK99" s="202"/>
      <c r="DL99" s="202"/>
      <c r="DM99" s="202"/>
      <c r="DN99" s="202"/>
      <c r="DO99" s="202"/>
      <c r="DP99" s="202"/>
      <c r="DQ99" s="202"/>
      <c r="DR99" s="202"/>
      <c r="DS99" s="202"/>
      <c r="DT99" s="202"/>
      <c r="DU99" s="202"/>
      <c r="DV99" s="202"/>
      <c r="DW99" s="202"/>
      <c r="DX99" s="202"/>
      <c r="DY99" s="202"/>
      <c r="DZ99" s="203"/>
    </row>
    <row r="100" spans="1:182" ht="36" customHeight="1" x14ac:dyDescent="0.2">
      <c r="A100" s="101"/>
      <c r="B100" s="42" t="s">
        <v>10</v>
      </c>
      <c r="C100" s="92" t="s">
        <v>10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03" t="s">
        <v>30</v>
      </c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19">
        <v>8.3000000000000004E-2</v>
      </c>
      <c r="AA100" s="119"/>
      <c r="AB100" s="119"/>
      <c r="AC100" s="119"/>
      <c r="AD100" s="119"/>
      <c r="AE100" s="119"/>
      <c r="AF100" s="119"/>
      <c r="AG100" s="120">
        <f>TRUNC(MIN(D4:BT6,D7:BT9,D10:BT12,D13:BT15),3)</f>
        <v>0</v>
      </c>
      <c r="AH100" s="114"/>
      <c r="AI100" s="114"/>
      <c r="AJ100" s="114"/>
      <c r="AK100" s="114"/>
      <c r="AL100" s="115" t="s">
        <v>31</v>
      </c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7"/>
      <c r="AW100" s="59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2"/>
      <c r="CL100" s="204" t="str">
        <f>Thickness!CL100</f>
        <v>NO. 1 RECOVERY BOILER</v>
      </c>
      <c r="CM100" s="205"/>
      <c r="CN100" s="205"/>
      <c r="CO100" s="205"/>
      <c r="CP100" s="205"/>
      <c r="CQ100" s="205"/>
      <c r="CR100" s="205"/>
      <c r="CS100" s="205"/>
      <c r="CT100" s="205"/>
      <c r="CU100" s="205"/>
      <c r="CV100" s="205"/>
      <c r="CW100" s="205"/>
      <c r="CX100" s="205"/>
      <c r="CY100" s="205"/>
      <c r="CZ100" s="205"/>
      <c r="DA100" s="205"/>
      <c r="DB100" s="205"/>
      <c r="DC100" s="205"/>
      <c r="DD100" s="205"/>
      <c r="DE100" s="205"/>
      <c r="DF100" s="205"/>
      <c r="DG100" s="205"/>
      <c r="DH100" s="205"/>
      <c r="DI100" s="205"/>
      <c r="DJ100" s="205"/>
      <c r="DK100" s="205"/>
      <c r="DL100" s="205"/>
      <c r="DM100" s="205"/>
      <c r="DN100" s="205"/>
      <c r="DO100" s="205"/>
      <c r="DP100" s="205"/>
      <c r="DQ100" s="205"/>
      <c r="DR100" s="205"/>
      <c r="DS100" s="205"/>
      <c r="DT100" s="205"/>
      <c r="DU100" s="205"/>
      <c r="DV100" s="205"/>
      <c r="DW100" s="205"/>
      <c r="DX100" s="205"/>
      <c r="DY100" s="205"/>
      <c r="DZ100" s="206"/>
    </row>
    <row r="101" spans="1:182" ht="36" customHeight="1" x14ac:dyDescent="0.2">
      <c r="A101" s="101"/>
      <c r="B101" s="42" t="s">
        <v>10</v>
      </c>
      <c r="C101" s="92" t="s">
        <v>10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21" t="s">
        <v>33</v>
      </c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3">
        <v>0.1</v>
      </c>
      <c r="AA101" s="123"/>
      <c r="AB101" s="123"/>
      <c r="AC101" s="123"/>
      <c r="AD101" s="123"/>
      <c r="AE101" s="123"/>
      <c r="AF101" s="123"/>
      <c r="AG101" s="124" t="e">
        <f>STDEV(D4:BT6,D7:BT9,D10:BT12,D13:BT15)</f>
        <v>#DIV/0!</v>
      </c>
      <c r="AH101" s="125"/>
      <c r="AI101" s="125"/>
      <c r="AJ101" s="125"/>
      <c r="AK101" s="125"/>
      <c r="AL101" s="126" t="s">
        <v>34</v>
      </c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8"/>
      <c r="AW101" s="53" t="str">
        <f>Thickness!AW101</f>
        <v>Job #  H449364  P.O. #  0018342455 W.O. #  N/A   Date:  5/05/2025</v>
      </c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4"/>
      <c r="CL101" s="207" t="str">
        <f>Thickness!CL101</f>
        <v>99 ABOVE STUD LINE</v>
      </c>
      <c r="CM101" s="208"/>
      <c r="CN101" s="208"/>
      <c r="CO101" s="208"/>
      <c r="CP101" s="208"/>
      <c r="CQ101" s="208"/>
      <c r="CR101" s="208"/>
      <c r="CS101" s="208"/>
      <c r="CT101" s="208"/>
      <c r="CU101" s="208"/>
      <c r="CV101" s="208"/>
      <c r="CW101" s="208"/>
      <c r="CX101" s="208"/>
      <c r="CY101" s="208"/>
      <c r="CZ101" s="208"/>
      <c r="DA101" s="208"/>
      <c r="DB101" s="208"/>
      <c r="DC101" s="208"/>
      <c r="DD101" s="208"/>
      <c r="DE101" s="208"/>
      <c r="DF101" s="208"/>
      <c r="DG101" s="208"/>
      <c r="DH101" s="208"/>
      <c r="DI101" s="208"/>
      <c r="DJ101" s="208"/>
      <c r="DK101" s="208"/>
      <c r="DL101" s="208"/>
      <c r="DM101" s="208"/>
      <c r="DN101" s="208"/>
      <c r="DO101" s="208"/>
      <c r="DP101" s="208"/>
      <c r="DQ101" s="208"/>
      <c r="DR101" s="208"/>
      <c r="DS101" s="208"/>
      <c r="DT101" s="208"/>
      <c r="DU101" s="208"/>
      <c r="DV101" s="208"/>
      <c r="DW101" s="208"/>
      <c r="DX101" s="208"/>
      <c r="DY101" s="208"/>
      <c r="DZ101" s="209"/>
    </row>
    <row r="102" spans="1:182" ht="36" customHeight="1" x14ac:dyDescent="0.35">
      <c r="B102" s="16" t="s">
        <v>58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47" t="s">
        <v>20</v>
      </c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8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50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50"/>
    </row>
    <row r="108" spans="1:182" x14ac:dyDescent="0.2"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2"/>
    </row>
    <row r="110" spans="1:182" x14ac:dyDescent="0.2">
      <c r="BR110" s="47" t="s">
        <v>38</v>
      </c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8"/>
    </row>
    <row r="111" spans="1:182" x14ac:dyDescent="0.2"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50"/>
    </row>
    <row r="112" spans="1:182" x14ac:dyDescent="0.2"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50"/>
    </row>
    <row r="113" spans="70:89" x14ac:dyDescent="0.2"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2"/>
    </row>
    <row r="115" spans="70:89" x14ac:dyDescent="0.2">
      <c r="BR115" s="47" t="s">
        <v>39</v>
      </c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8"/>
    </row>
    <row r="116" spans="70:89" x14ac:dyDescent="0.2"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50"/>
    </row>
    <row r="117" spans="70:89" x14ac:dyDescent="0.2"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50"/>
    </row>
    <row r="118" spans="70:89" x14ac:dyDescent="0.2"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2"/>
    </row>
  </sheetData>
  <mergeCells count="55">
    <mergeCell ref="A16:B16"/>
    <mergeCell ref="AL100:AV100"/>
    <mergeCell ref="C101:L101"/>
    <mergeCell ref="M101:Y101"/>
    <mergeCell ref="Z101:AF101"/>
    <mergeCell ref="AG101:AK101"/>
    <mergeCell ref="AL101:AV101"/>
    <mergeCell ref="AL98:AV98"/>
    <mergeCell ref="C99:L99"/>
    <mergeCell ref="M99:Y99"/>
    <mergeCell ref="Z99:AF99"/>
    <mergeCell ref="AG99:AK99"/>
    <mergeCell ref="AL99:AV99"/>
    <mergeCell ref="A98:A101"/>
    <mergeCell ref="C98:L98"/>
    <mergeCell ref="M98:Y98"/>
    <mergeCell ref="Z98:AF98"/>
    <mergeCell ref="AG98:AK98"/>
    <mergeCell ref="C100:L100"/>
    <mergeCell ref="M100:Y100"/>
    <mergeCell ref="Z100:AF100"/>
    <mergeCell ref="AG100:AK100"/>
    <mergeCell ref="BV13:BV15"/>
    <mergeCell ref="C97:L97"/>
    <mergeCell ref="M97:Y97"/>
    <mergeCell ref="Z97:AF97"/>
    <mergeCell ref="AG97:AV97"/>
    <mergeCell ref="A3:B3"/>
    <mergeCell ref="A1:B2"/>
    <mergeCell ref="C1:DP1"/>
    <mergeCell ref="DQ1:DZ1"/>
    <mergeCell ref="C2:DP2"/>
    <mergeCell ref="DQ2:DZ2"/>
    <mergeCell ref="A5:A6"/>
    <mergeCell ref="AW97:BQ100"/>
    <mergeCell ref="BR97:CK100"/>
    <mergeCell ref="CL100:DZ100"/>
    <mergeCell ref="AW101:CK101"/>
    <mergeCell ref="CL101:DZ101"/>
    <mergeCell ref="A8:A9"/>
    <mergeCell ref="BU4:BU6"/>
    <mergeCell ref="BV4:BV6"/>
    <mergeCell ref="A11:A12"/>
    <mergeCell ref="BU7:BU9"/>
    <mergeCell ref="BV7:BV9"/>
    <mergeCell ref="A14:A15"/>
    <mergeCell ref="BU10:BU12"/>
    <mergeCell ref="BV10:BV12"/>
    <mergeCell ref="BU13:BU15"/>
    <mergeCell ref="BR105:CK108"/>
    <mergeCell ref="BR110:CK113"/>
    <mergeCell ref="BR115:CK118"/>
    <mergeCell ref="CL97:DZ97"/>
    <mergeCell ref="CL98:DZ98"/>
    <mergeCell ref="CL99:DZ99"/>
  </mergeCells>
  <conditionalFormatting sqref="D4:BT15 AG98:AG100">
    <cfRule type="cellIs" dxfId="3" priority="1" operator="between">
      <formula>0.001</formula>
      <formula>0.999</formula>
    </cfRule>
    <cfRule type="containsText" dxfId="2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18"/>
  <sheetViews>
    <sheetView zoomScale="50" zoomScaleNormal="50" workbookViewId="0">
      <selection activeCell="AS7" sqref="AS7:AS9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47">
        <f>Thickness!A1</f>
        <v>2025</v>
      </c>
      <c r="B1" s="248"/>
      <c r="C1" s="133" t="str">
        <f>IF(ISBLANK(Thickness!C1),"",(Thickness!C1))</f>
        <v/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5"/>
      <c r="DQ1" s="61" t="s">
        <v>0</v>
      </c>
      <c r="DR1" s="62"/>
      <c r="DS1" s="62"/>
      <c r="DT1" s="62"/>
      <c r="DU1" s="62"/>
      <c r="DV1" s="62"/>
      <c r="DW1" s="62"/>
      <c r="DX1" s="62"/>
      <c r="DY1" s="62"/>
      <c r="DZ1" s="63"/>
    </row>
    <row r="2" spans="1:182" s="5" customFormat="1" ht="36" customHeight="1" x14ac:dyDescent="0.2">
      <c r="A2" s="249"/>
      <c r="B2" s="250"/>
      <c r="C2" s="83" t="s">
        <v>59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5"/>
      <c r="DQ2" s="61" t="s">
        <v>2</v>
      </c>
      <c r="DR2" s="62"/>
      <c r="DS2" s="62"/>
      <c r="DT2" s="62"/>
      <c r="DU2" s="62"/>
      <c r="DV2" s="62"/>
      <c r="DW2" s="62"/>
      <c r="DX2" s="62"/>
      <c r="DY2" s="62"/>
      <c r="DZ2" s="63"/>
      <c r="EA2" s="4"/>
    </row>
    <row r="3" spans="1:182" s="5" customFormat="1" ht="36" customHeight="1" x14ac:dyDescent="0.2">
      <c r="A3" s="73" t="s">
        <v>3</v>
      </c>
      <c r="B3" s="74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43">
        <v>69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255" t="s">
        <v>60</v>
      </c>
      <c r="D4" s="252"/>
      <c r="E4" s="26"/>
      <c r="F4" s="26"/>
      <c r="G4" s="26"/>
      <c r="H4" s="30"/>
      <c r="I4" s="33"/>
      <c r="J4" s="26"/>
      <c r="K4" s="26"/>
      <c r="L4" s="26"/>
      <c r="M4" s="30"/>
      <c r="N4" s="33"/>
      <c r="O4" s="26"/>
      <c r="P4" s="26"/>
      <c r="Q4" s="26"/>
      <c r="R4" s="30"/>
      <c r="S4" s="33"/>
      <c r="T4" s="26"/>
      <c r="U4" s="26"/>
      <c r="V4" s="26"/>
      <c r="W4" s="30"/>
      <c r="X4" s="33"/>
      <c r="Y4" s="26"/>
      <c r="Z4" s="26"/>
      <c r="AA4" s="26"/>
      <c r="AB4" s="30"/>
      <c r="AC4" s="33"/>
      <c r="AD4" s="26"/>
      <c r="AE4" s="26"/>
      <c r="AF4" s="26"/>
      <c r="AG4" s="30"/>
      <c r="AH4" s="33"/>
      <c r="AI4" s="26"/>
      <c r="AJ4" s="26"/>
      <c r="AK4" s="26"/>
      <c r="AL4" s="30"/>
      <c r="AM4" s="33"/>
      <c r="AN4" s="26"/>
      <c r="AO4" s="26"/>
      <c r="AP4" s="26"/>
      <c r="AQ4" s="30"/>
      <c r="AR4" s="33"/>
      <c r="AS4" s="26"/>
      <c r="AT4" s="26"/>
      <c r="AU4" s="26"/>
      <c r="AV4" s="30"/>
      <c r="AW4" s="33"/>
      <c r="AX4" s="26"/>
      <c r="AY4" s="26"/>
      <c r="AZ4" s="26"/>
      <c r="BA4" s="30"/>
      <c r="BB4" s="33"/>
      <c r="BC4" s="26"/>
      <c r="BD4" s="26"/>
      <c r="BE4" s="26"/>
      <c r="BF4" s="30"/>
      <c r="BG4" s="33"/>
      <c r="BH4" s="26"/>
      <c r="BI4" s="26"/>
      <c r="BJ4" s="26"/>
      <c r="BK4" s="30"/>
      <c r="BL4" s="33"/>
      <c r="BM4" s="26"/>
      <c r="BN4" s="26"/>
      <c r="BO4" s="26"/>
      <c r="BP4" s="30"/>
      <c r="BQ4" s="33"/>
      <c r="BR4" s="26"/>
      <c r="BS4" s="26"/>
      <c r="BT4" s="30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75" t="s">
        <v>10</v>
      </c>
      <c r="B5" s="7" t="s">
        <v>11</v>
      </c>
      <c r="C5" s="256"/>
      <c r="D5" s="253"/>
      <c r="E5" s="22"/>
      <c r="F5" s="22"/>
      <c r="G5" s="22"/>
      <c r="H5" s="31"/>
      <c r="I5" s="34"/>
      <c r="J5" s="22"/>
      <c r="K5" s="22"/>
      <c r="L5" s="22"/>
      <c r="M5" s="31"/>
      <c r="N5" s="34"/>
      <c r="O5" s="22"/>
      <c r="P5" s="22"/>
      <c r="Q5" s="22"/>
      <c r="R5" s="31"/>
      <c r="S5" s="34"/>
      <c r="T5" s="22"/>
      <c r="U5" s="22"/>
      <c r="V5" s="22"/>
      <c r="W5" s="31"/>
      <c r="X5" s="34"/>
      <c r="Y5" s="22"/>
      <c r="Z5" s="22"/>
      <c r="AA5" s="22"/>
      <c r="AB5" s="31"/>
      <c r="AC5" s="34"/>
      <c r="AD5" s="22"/>
      <c r="AE5" s="22"/>
      <c r="AF5" s="22"/>
      <c r="AG5" s="31"/>
      <c r="AH5" s="34"/>
      <c r="AI5" s="22"/>
      <c r="AJ5" s="22"/>
      <c r="AK5" s="22"/>
      <c r="AL5" s="31"/>
      <c r="AM5" s="34"/>
      <c r="AN5" s="22"/>
      <c r="AO5" s="22"/>
      <c r="AP5" s="22"/>
      <c r="AQ5" s="31"/>
      <c r="AR5" s="34"/>
      <c r="AS5" s="22"/>
      <c r="AT5" s="22"/>
      <c r="AU5" s="22"/>
      <c r="AV5" s="31"/>
      <c r="AW5" s="34"/>
      <c r="AX5" s="22"/>
      <c r="AY5" s="22"/>
      <c r="AZ5" s="22"/>
      <c r="BA5" s="31"/>
      <c r="BB5" s="34"/>
      <c r="BC5" s="22"/>
      <c r="BD5" s="22"/>
      <c r="BE5" s="22"/>
      <c r="BF5" s="31"/>
      <c r="BG5" s="34"/>
      <c r="BH5" s="22"/>
      <c r="BI5" s="22"/>
      <c r="BJ5" s="22"/>
      <c r="BK5" s="31"/>
      <c r="BL5" s="34"/>
      <c r="BM5" s="22"/>
      <c r="BN5" s="22"/>
      <c r="BO5" s="22"/>
      <c r="BP5" s="31"/>
      <c r="BQ5" s="34"/>
      <c r="BR5" s="22"/>
      <c r="BS5" s="22"/>
      <c r="BT5" s="31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75"/>
      <c r="B6" s="8" t="s">
        <v>13</v>
      </c>
      <c r="C6" s="256"/>
      <c r="D6" s="254"/>
      <c r="E6" s="28"/>
      <c r="F6" s="28"/>
      <c r="G6" s="28"/>
      <c r="H6" s="32"/>
      <c r="I6" s="35"/>
      <c r="J6" s="28"/>
      <c r="K6" s="28"/>
      <c r="L6" s="28"/>
      <c r="M6" s="32"/>
      <c r="N6" s="35"/>
      <c r="O6" s="28"/>
      <c r="P6" s="28"/>
      <c r="Q6" s="28"/>
      <c r="R6" s="32"/>
      <c r="S6" s="35"/>
      <c r="T6" s="28"/>
      <c r="U6" s="28"/>
      <c r="V6" s="28"/>
      <c r="W6" s="32"/>
      <c r="X6" s="35"/>
      <c r="Y6" s="28"/>
      <c r="Z6" s="28"/>
      <c r="AA6" s="28"/>
      <c r="AB6" s="32"/>
      <c r="AC6" s="35"/>
      <c r="AD6" s="28"/>
      <c r="AE6" s="28"/>
      <c r="AF6" s="28"/>
      <c r="AG6" s="32"/>
      <c r="AH6" s="35"/>
      <c r="AI6" s="28"/>
      <c r="AJ6" s="28"/>
      <c r="AK6" s="28"/>
      <c r="AL6" s="32"/>
      <c r="AM6" s="35"/>
      <c r="AN6" s="28"/>
      <c r="AO6" s="28"/>
      <c r="AP6" s="28"/>
      <c r="AQ6" s="32"/>
      <c r="AR6" s="35"/>
      <c r="AS6" s="28"/>
      <c r="AT6" s="28"/>
      <c r="AU6" s="28"/>
      <c r="AV6" s="32"/>
      <c r="AW6" s="35"/>
      <c r="AX6" s="28"/>
      <c r="AY6" s="28"/>
      <c r="AZ6" s="28"/>
      <c r="BA6" s="32"/>
      <c r="BB6" s="35"/>
      <c r="BC6" s="28"/>
      <c r="BD6" s="28"/>
      <c r="BE6" s="28"/>
      <c r="BF6" s="32"/>
      <c r="BG6" s="35"/>
      <c r="BH6" s="28"/>
      <c r="BI6" s="28"/>
      <c r="BJ6" s="28"/>
      <c r="BK6" s="32"/>
      <c r="BL6" s="35"/>
      <c r="BM6" s="28"/>
      <c r="BN6" s="28"/>
      <c r="BO6" s="28"/>
      <c r="BP6" s="32"/>
      <c r="BQ6" s="35"/>
      <c r="BR6" s="28"/>
      <c r="BS6" s="28"/>
      <c r="BT6" s="3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7</v>
      </c>
      <c r="B7" s="6" t="s">
        <v>15</v>
      </c>
      <c r="C7" s="255" t="s">
        <v>60</v>
      </c>
      <c r="D7" s="252"/>
      <c r="E7" s="26"/>
      <c r="F7" s="26"/>
      <c r="G7" s="26"/>
      <c r="H7" s="30"/>
      <c r="I7" s="33"/>
      <c r="J7" s="26"/>
      <c r="K7" s="26"/>
      <c r="L7" s="26"/>
      <c r="M7" s="30"/>
      <c r="N7" s="33"/>
      <c r="O7" s="26"/>
      <c r="P7" s="26"/>
      <c r="Q7" s="26"/>
      <c r="R7" s="30"/>
      <c r="S7" s="33"/>
      <c r="T7" s="26"/>
      <c r="U7" s="26"/>
      <c r="V7" s="26"/>
      <c r="W7" s="30"/>
      <c r="X7" s="33"/>
      <c r="Y7" s="26"/>
      <c r="Z7" s="26"/>
      <c r="AA7" s="26"/>
      <c r="AB7" s="30"/>
      <c r="AC7" s="33"/>
      <c r="AD7" s="26"/>
      <c r="AE7" s="26"/>
      <c r="AF7" s="26"/>
      <c r="AG7" s="30"/>
      <c r="AH7" s="33"/>
      <c r="AI7" s="26"/>
      <c r="AJ7" s="26"/>
      <c r="AK7" s="26"/>
      <c r="AL7" s="30"/>
      <c r="AM7" s="33"/>
      <c r="AN7" s="26"/>
      <c r="AO7" s="26"/>
      <c r="AP7" s="26"/>
      <c r="AQ7" s="30"/>
      <c r="AR7" s="33"/>
      <c r="AS7" s="26"/>
      <c r="AT7" s="26"/>
      <c r="AU7" s="26"/>
      <c r="AV7" s="30"/>
      <c r="AW7" s="33"/>
      <c r="AX7" s="26"/>
      <c r="AY7" s="26"/>
      <c r="AZ7" s="26"/>
      <c r="BA7" s="30"/>
      <c r="BB7" s="33"/>
      <c r="BC7" s="26"/>
      <c r="BD7" s="26"/>
      <c r="BE7" s="26"/>
      <c r="BF7" s="30"/>
      <c r="BG7" s="33"/>
      <c r="BH7" s="26"/>
      <c r="BI7" s="26"/>
      <c r="BJ7" s="26"/>
      <c r="BK7" s="30"/>
      <c r="BL7" s="33"/>
      <c r="BM7" s="26"/>
      <c r="BN7" s="26"/>
      <c r="BO7" s="26"/>
      <c r="BP7" s="30"/>
      <c r="BQ7" s="33"/>
      <c r="BR7" s="26"/>
      <c r="BS7" s="26"/>
      <c r="BT7" s="30"/>
      <c r="BU7" s="22"/>
      <c r="BV7" s="22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75" t="s">
        <v>10</v>
      </c>
      <c r="B8" s="7" t="s">
        <v>11</v>
      </c>
      <c r="C8" s="256"/>
      <c r="D8" s="253"/>
      <c r="E8" s="22"/>
      <c r="F8" s="22"/>
      <c r="G8" s="22"/>
      <c r="H8" s="31"/>
      <c r="I8" s="34"/>
      <c r="J8" s="22"/>
      <c r="K8" s="22"/>
      <c r="L8" s="22"/>
      <c r="M8" s="31"/>
      <c r="N8" s="34"/>
      <c r="O8" s="22"/>
      <c r="P8" s="22"/>
      <c r="Q8" s="22"/>
      <c r="R8" s="31"/>
      <c r="S8" s="34"/>
      <c r="T8" s="22"/>
      <c r="U8" s="22"/>
      <c r="V8" s="22"/>
      <c r="W8" s="31"/>
      <c r="X8" s="34"/>
      <c r="Y8" s="22"/>
      <c r="Z8" s="22"/>
      <c r="AA8" s="22"/>
      <c r="AB8" s="31"/>
      <c r="AC8" s="34"/>
      <c r="AD8" s="22"/>
      <c r="AE8" s="22"/>
      <c r="AF8" s="22"/>
      <c r="AG8" s="31"/>
      <c r="AH8" s="34"/>
      <c r="AI8" s="22"/>
      <c r="AJ8" s="22"/>
      <c r="AK8" s="22"/>
      <c r="AL8" s="31"/>
      <c r="AM8" s="34"/>
      <c r="AN8" s="22"/>
      <c r="AO8" s="22"/>
      <c r="AP8" s="22"/>
      <c r="AQ8" s="31"/>
      <c r="AR8" s="34"/>
      <c r="AS8" s="22"/>
      <c r="AT8" s="22"/>
      <c r="AU8" s="22"/>
      <c r="AV8" s="31"/>
      <c r="AW8" s="34"/>
      <c r="AX8" s="22"/>
      <c r="AY8" s="22"/>
      <c r="AZ8" s="22"/>
      <c r="BA8" s="31"/>
      <c r="BB8" s="34"/>
      <c r="BC8" s="22"/>
      <c r="BD8" s="22"/>
      <c r="BE8" s="22"/>
      <c r="BF8" s="31"/>
      <c r="BG8" s="34"/>
      <c r="BH8" s="22"/>
      <c r="BI8" s="22"/>
      <c r="BJ8" s="22"/>
      <c r="BK8" s="31"/>
      <c r="BL8" s="34"/>
      <c r="BM8" s="22"/>
      <c r="BN8" s="22"/>
      <c r="BO8" s="22"/>
      <c r="BP8" s="31"/>
      <c r="BQ8" s="34"/>
      <c r="BR8" s="22"/>
      <c r="BS8" s="22"/>
      <c r="BT8" s="31"/>
      <c r="BU8" s="22"/>
      <c r="BV8" s="22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75"/>
      <c r="B9" s="8" t="s">
        <v>13</v>
      </c>
      <c r="C9" s="256"/>
      <c r="D9" s="254"/>
      <c r="E9" s="28"/>
      <c r="F9" s="28"/>
      <c r="G9" s="28"/>
      <c r="H9" s="32"/>
      <c r="I9" s="35"/>
      <c r="J9" s="28"/>
      <c r="K9" s="28"/>
      <c r="L9" s="28"/>
      <c r="M9" s="32"/>
      <c r="N9" s="35"/>
      <c r="O9" s="28"/>
      <c r="P9" s="28"/>
      <c r="Q9" s="28"/>
      <c r="R9" s="32"/>
      <c r="S9" s="35"/>
      <c r="T9" s="28"/>
      <c r="U9" s="28"/>
      <c r="V9" s="28"/>
      <c r="W9" s="32"/>
      <c r="X9" s="35"/>
      <c r="Y9" s="28"/>
      <c r="Z9" s="28"/>
      <c r="AA9" s="28"/>
      <c r="AB9" s="32"/>
      <c r="AC9" s="35"/>
      <c r="AD9" s="28"/>
      <c r="AE9" s="28"/>
      <c r="AF9" s="28"/>
      <c r="AG9" s="32"/>
      <c r="AH9" s="35"/>
      <c r="AI9" s="28"/>
      <c r="AJ9" s="28"/>
      <c r="AK9" s="28"/>
      <c r="AL9" s="32"/>
      <c r="AM9" s="35"/>
      <c r="AN9" s="28"/>
      <c r="AO9" s="28"/>
      <c r="AP9" s="28"/>
      <c r="AQ9" s="32"/>
      <c r="AR9" s="35"/>
      <c r="AS9" s="28"/>
      <c r="AT9" s="28"/>
      <c r="AU9" s="28"/>
      <c r="AV9" s="32"/>
      <c r="AW9" s="35"/>
      <c r="AX9" s="28"/>
      <c r="AY9" s="28"/>
      <c r="AZ9" s="28"/>
      <c r="BA9" s="32"/>
      <c r="BB9" s="35"/>
      <c r="BC9" s="28"/>
      <c r="BD9" s="28"/>
      <c r="BE9" s="28"/>
      <c r="BF9" s="32"/>
      <c r="BG9" s="35"/>
      <c r="BH9" s="28"/>
      <c r="BI9" s="28"/>
      <c r="BJ9" s="28"/>
      <c r="BK9" s="32"/>
      <c r="BL9" s="35"/>
      <c r="BM9" s="28"/>
      <c r="BN9" s="28"/>
      <c r="BO9" s="28"/>
      <c r="BP9" s="32"/>
      <c r="BQ9" s="35"/>
      <c r="BR9" s="28"/>
      <c r="BS9" s="28"/>
      <c r="BT9" s="32"/>
      <c r="BU9" s="22"/>
      <c r="BV9" s="22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7</v>
      </c>
      <c r="B10" s="6" t="s">
        <v>16</v>
      </c>
      <c r="C10" s="255" t="s">
        <v>60</v>
      </c>
      <c r="D10" s="252"/>
      <c r="E10" s="26"/>
      <c r="F10" s="26"/>
      <c r="G10" s="26"/>
      <c r="H10" s="30"/>
      <c r="I10" s="33"/>
      <c r="J10" s="26"/>
      <c r="K10" s="26"/>
      <c r="L10" s="26"/>
      <c r="M10" s="30"/>
      <c r="N10" s="33"/>
      <c r="O10" s="26"/>
      <c r="P10" s="26"/>
      <c r="Q10" s="26"/>
      <c r="R10" s="30"/>
      <c r="S10" s="33"/>
      <c r="T10" s="26"/>
      <c r="U10" s="26"/>
      <c r="V10" s="26"/>
      <c r="W10" s="30"/>
      <c r="X10" s="33"/>
      <c r="Y10" s="26"/>
      <c r="Z10" s="26"/>
      <c r="AA10" s="26"/>
      <c r="AB10" s="30"/>
      <c r="AC10" s="33"/>
      <c r="AD10" s="26"/>
      <c r="AE10" s="26"/>
      <c r="AF10" s="26"/>
      <c r="AG10" s="30"/>
      <c r="AH10" s="33"/>
      <c r="AI10" s="26"/>
      <c r="AJ10" s="26"/>
      <c r="AK10" s="26"/>
      <c r="AL10" s="30"/>
      <c r="AM10" s="33"/>
      <c r="AN10" s="26"/>
      <c r="AO10" s="26"/>
      <c r="AP10" s="26"/>
      <c r="AQ10" s="30"/>
      <c r="AR10" s="33"/>
      <c r="AS10" s="26"/>
      <c r="AT10" s="26"/>
      <c r="AU10" s="26"/>
      <c r="AV10" s="30"/>
      <c r="AW10" s="33"/>
      <c r="AX10" s="26"/>
      <c r="AY10" s="26"/>
      <c r="AZ10" s="26"/>
      <c r="BA10" s="30"/>
      <c r="BB10" s="33"/>
      <c r="BC10" s="26"/>
      <c r="BD10" s="26"/>
      <c r="BE10" s="26"/>
      <c r="BF10" s="30"/>
      <c r="BG10" s="33"/>
      <c r="BH10" s="26"/>
      <c r="BI10" s="26"/>
      <c r="BJ10" s="26"/>
      <c r="BK10" s="30"/>
      <c r="BL10" s="33"/>
      <c r="BM10" s="26"/>
      <c r="BN10" s="26"/>
      <c r="BO10" s="26"/>
      <c r="BP10" s="30"/>
      <c r="BQ10" s="33"/>
      <c r="BR10" s="26"/>
      <c r="BS10" s="26"/>
      <c r="BT10" s="30"/>
      <c r="BU10" s="22"/>
      <c r="BV10" s="22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75" t="s">
        <v>10</v>
      </c>
      <c r="B11" s="7" t="s">
        <v>11</v>
      </c>
      <c r="C11" s="256"/>
      <c r="D11" s="253"/>
      <c r="E11" s="22"/>
      <c r="F11" s="22"/>
      <c r="G11" s="22"/>
      <c r="H11" s="31"/>
      <c r="I11" s="34"/>
      <c r="J11" s="22"/>
      <c r="K11" s="22"/>
      <c r="L11" s="22"/>
      <c r="M11" s="31"/>
      <c r="N11" s="34"/>
      <c r="O11" s="22"/>
      <c r="P11" s="22"/>
      <c r="Q11" s="22"/>
      <c r="R11" s="31"/>
      <c r="S11" s="34"/>
      <c r="T11" s="22"/>
      <c r="U11" s="22"/>
      <c r="V11" s="22"/>
      <c r="W11" s="31"/>
      <c r="X11" s="34"/>
      <c r="Y11" s="22"/>
      <c r="Z11" s="22"/>
      <c r="AA11" s="22"/>
      <c r="AB11" s="31"/>
      <c r="AC11" s="34"/>
      <c r="AD11" s="22"/>
      <c r="AE11" s="22"/>
      <c r="AF11" s="22"/>
      <c r="AG11" s="31"/>
      <c r="AH11" s="34"/>
      <c r="AI11" s="22"/>
      <c r="AJ11" s="22"/>
      <c r="AK11" s="22"/>
      <c r="AL11" s="31"/>
      <c r="AM11" s="34"/>
      <c r="AN11" s="22"/>
      <c r="AO11" s="22"/>
      <c r="AP11" s="22"/>
      <c r="AQ11" s="31"/>
      <c r="AR11" s="34"/>
      <c r="AS11" s="22"/>
      <c r="AT11" s="22"/>
      <c r="AU11" s="22"/>
      <c r="AV11" s="31"/>
      <c r="AW11" s="34"/>
      <c r="AX11" s="22"/>
      <c r="AY11" s="22"/>
      <c r="AZ11" s="22"/>
      <c r="BA11" s="31"/>
      <c r="BB11" s="34"/>
      <c r="BC11" s="22"/>
      <c r="BD11" s="22"/>
      <c r="BE11" s="22"/>
      <c r="BF11" s="31"/>
      <c r="BG11" s="34"/>
      <c r="BH11" s="22"/>
      <c r="BI11" s="22"/>
      <c r="BJ11" s="22"/>
      <c r="BK11" s="31"/>
      <c r="BL11" s="34"/>
      <c r="BM11" s="22"/>
      <c r="BN11" s="22"/>
      <c r="BO11" s="22"/>
      <c r="BP11" s="31"/>
      <c r="BQ11" s="34"/>
      <c r="BR11" s="22"/>
      <c r="BS11" s="22"/>
      <c r="BT11" s="31"/>
      <c r="BU11" s="22"/>
      <c r="BV11" s="22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75"/>
      <c r="B12" s="8" t="s">
        <v>13</v>
      </c>
      <c r="C12" s="256"/>
      <c r="D12" s="254"/>
      <c r="E12" s="28"/>
      <c r="F12" s="28"/>
      <c r="G12" s="28"/>
      <c r="H12" s="32"/>
      <c r="I12" s="35"/>
      <c r="J12" s="28"/>
      <c r="K12" s="28"/>
      <c r="L12" s="28"/>
      <c r="M12" s="32"/>
      <c r="N12" s="35"/>
      <c r="O12" s="28"/>
      <c r="P12" s="28"/>
      <c r="Q12" s="28"/>
      <c r="R12" s="32"/>
      <c r="S12" s="35"/>
      <c r="T12" s="28"/>
      <c r="U12" s="28"/>
      <c r="V12" s="28"/>
      <c r="W12" s="32"/>
      <c r="X12" s="35"/>
      <c r="Y12" s="28"/>
      <c r="Z12" s="28"/>
      <c r="AA12" s="28"/>
      <c r="AB12" s="32"/>
      <c r="AC12" s="35"/>
      <c r="AD12" s="28"/>
      <c r="AE12" s="28"/>
      <c r="AF12" s="28"/>
      <c r="AG12" s="32"/>
      <c r="AH12" s="35"/>
      <c r="AI12" s="28"/>
      <c r="AJ12" s="28"/>
      <c r="AK12" s="28"/>
      <c r="AL12" s="32"/>
      <c r="AM12" s="35"/>
      <c r="AN12" s="28"/>
      <c r="AO12" s="28"/>
      <c r="AP12" s="28"/>
      <c r="AQ12" s="32"/>
      <c r="AR12" s="35"/>
      <c r="AS12" s="28"/>
      <c r="AT12" s="28"/>
      <c r="AU12" s="28"/>
      <c r="AV12" s="32"/>
      <c r="AW12" s="35"/>
      <c r="AX12" s="28"/>
      <c r="AY12" s="28"/>
      <c r="AZ12" s="28"/>
      <c r="BA12" s="32"/>
      <c r="BB12" s="35"/>
      <c r="BC12" s="28"/>
      <c r="BD12" s="28"/>
      <c r="BE12" s="28"/>
      <c r="BF12" s="32"/>
      <c r="BG12" s="35"/>
      <c r="BH12" s="28"/>
      <c r="BI12" s="28"/>
      <c r="BJ12" s="28"/>
      <c r="BK12" s="32"/>
      <c r="BL12" s="35"/>
      <c r="BM12" s="28"/>
      <c r="BN12" s="28"/>
      <c r="BO12" s="28"/>
      <c r="BP12" s="32"/>
      <c r="BQ12" s="35"/>
      <c r="BR12" s="28"/>
      <c r="BS12" s="28"/>
      <c r="BT12" s="32"/>
      <c r="BU12" s="22"/>
      <c r="BV12" s="22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7</v>
      </c>
      <c r="B13" s="6" t="s">
        <v>17</v>
      </c>
      <c r="C13" s="255" t="s">
        <v>60</v>
      </c>
      <c r="D13" s="252"/>
      <c r="E13" s="26"/>
      <c r="F13" s="26"/>
      <c r="G13" s="26"/>
      <c r="H13" s="30"/>
      <c r="I13" s="33"/>
      <c r="J13" s="26"/>
      <c r="K13" s="26"/>
      <c r="L13" s="26"/>
      <c r="M13" s="30"/>
      <c r="N13" s="33"/>
      <c r="O13" s="26"/>
      <c r="P13" s="26"/>
      <c r="Q13" s="26"/>
      <c r="R13" s="30"/>
      <c r="S13" s="33"/>
      <c r="T13" s="26"/>
      <c r="U13" s="26"/>
      <c r="V13" s="26"/>
      <c r="W13" s="30"/>
      <c r="X13" s="33"/>
      <c r="Y13" s="26"/>
      <c r="Z13" s="26"/>
      <c r="AA13" s="26"/>
      <c r="AB13" s="30"/>
      <c r="AC13" s="33"/>
      <c r="AD13" s="26"/>
      <c r="AE13" s="26"/>
      <c r="AF13" s="26"/>
      <c r="AG13" s="30"/>
      <c r="AH13" s="33"/>
      <c r="AI13" s="26"/>
      <c r="AJ13" s="26"/>
      <c r="AK13" s="26"/>
      <c r="AL13" s="30"/>
      <c r="AM13" s="33"/>
      <c r="AN13" s="26"/>
      <c r="AO13" s="26"/>
      <c r="AP13" s="26"/>
      <c r="AQ13" s="30"/>
      <c r="AR13" s="33"/>
      <c r="AS13" s="26"/>
      <c r="AT13" s="26"/>
      <c r="AU13" s="26"/>
      <c r="AV13" s="30"/>
      <c r="AW13" s="33"/>
      <c r="AX13" s="26"/>
      <c r="AY13" s="26"/>
      <c r="AZ13" s="26"/>
      <c r="BA13" s="30"/>
      <c r="BB13" s="33"/>
      <c r="BC13" s="26"/>
      <c r="BD13" s="26"/>
      <c r="BE13" s="26"/>
      <c r="BF13" s="30"/>
      <c r="BG13" s="33"/>
      <c r="BH13" s="26"/>
      <c r="BI13" s="26"/>
      <c r="BJ13" s="26"/>
      <c r="BK13" s="30"/>
      <c r="BL13" s="33"/>
      <c r="BM13" s="26"/>
      <c r="BN13" s="26"/>
      <c r="BO13" s="26"/>
      <c r="BP13" s="30"/>
      <c r="BQ13" s="33"/>
      <c r="BR13" s="26"/>
      <c r="BS13" s="26"/>
      <c r="BT13" s="30"/>
      <c r="BU13" s="22"/>
      <c r="BV13" s="22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75" t="s">
        <v>10</v>
      </c>
      <c r="B14" s="7" t="s">
        <v>11</v>
      </c>
      <c r="C14" s="256"/>
      <c r="D14" s="253"/>
      <c r="E14" s="22"/>
      <c r="F14" s="22"/>
      <c r="G14" s="22"/>
      <c r="H14" s="31"/>
      <c r="I14" s="34"/>
      <c r="J14" s="22"/>
      <c r="K14" s="22"/>
      <c r="L14" s="22"/>
      <c r="M14" s="31"/>
      <c r="N14" s="34"/>
      <c r="O14" s="22"/>
      <c r="P14" s="22"/>
      <c r="Q14" s="22"/>
      <c r="R14" s="31"/>
      <c r="S14" s="34"/>
      <c r="T14" s="22"/>
      <c r="U14" s="22"/>
      <c r="V14" s="22"/>
      <c r="W14" s="31"/>
      <c r="X14" s="34"/>
      <c r="Y14" s="22"/>
      <c r="Z14" s="22"/>
      <c r="AA14" s="22"/>
      <c r="AB14" s="31"/>
      <c r="AC14" s="34"/>
      <c r="AD14" s="22"/>
      <c r="AE14" s="22"/>
      <c r="AF14" s="22"/>
      <c r="AG14" s="31"/>
      <c r="AH14" s="34"/>
      <c r="AI14" s="22"/>
      <c r="AJ14" s="22"/>
      <c r="AK14" s="22"/>
      <c r="AL14" s="31"/>
      <c r="AM14" s="34"/>
      <c r="AN14" s="22"/>
      <c r="AO14" s="22"/>
      <c r="AP14" s="22"/>
      <c r="AQ14" s="31"/>
      <c r="AR14" s="34"/>
      <c r="AS14" s="22"/>
      <c r="AT14" s="22"/>
      <c r="AU14" s="22"/>
      <c r="AV14" s="31"/>
      <c r="AW14" s="34"/>
      <c r="AX14" s="22"/>
      <c r="AY14" s="22"/>
      <c r="AZ14" s="22"/>
      <c r="BA14" s="31"/>
      <c r="BB14" s="34"/>
      <c r="BC14" s="22"/>
      <c r="BD14" s="22"/>
      <c r="BE14" s="22"/>
      <c r="BF14" s="31"/>
      <c r="BG14" s="34"/>
      <c r="BH14" s="22"/>
      <c r="BI14" s="22"/>
      <c r="BJ14" s="22"/>
      <c r="BK14" s="31"/>
      <c r="BL14" s="34"/>
      <c r="BM14" s="22"/>
      <c r="BN14" s="22"/>
      <c r="BO14" s="22"/>
      <c r="BP14" s="31"/>
      <c r="BQ14" s="34"/>
      <c r="BR14" s="22"/>
      <c r="BS14" s="22"/>
      <c r="BT14" s="31"/>
      <c r="BU14" s="22"/>
      <c r="BV14" s="22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75"/>
      <c r="B15" s="8" t="s">
        <v>13</v>
      </c>
      <c r="C15" s="256"/>
      <c r="D15" s="254"/>
      <c r="E15" s="28"/>
      <c r="F15" s="28"/>
      <c r="G15" s="28"/>
      <c r="H15" s="32"/>
      <c r="I15" s="35"/>
      <c r="J15" s="28"/>
      <c r="K15" s="28"/>
      <c r="L15" s="28"/>
      <c r="M15" s="32"/>
      <c r="N15" s="35"/>
      <c r="O15" s="28"/>
      <c r="P15" s="28"/>
      <c r="Q15" s="28"/>
      <c r="R15" s="32"/>
      <c r="S15" s="35"/>
      <c r="T15" s="28"/>
      <c r="U15" s="28"/>
      <c r="V15" s="28"/>
      <c r="W15" s="32"/>
      <c r="X15" s="35"/>
      <c r="Y15" s="28"/>
      <c r="Z15" s="28"/>
      <c r="AA15" s="28"/>
      <c r="AB15" s="32"/>
      <c r="AC15" s="35"/>
      <c r="AD15" s="28"/>
      <c r="AE15" s="28"/>
      <c r="AF15" s="28"/>
      <c r="AG15" s="32"/>
      <c r="AH15" s="35"/>
      <c r="AI15" s="28"/>
      <c r="AJ15" s="28"/>
      <c r="AK15" s="28"/>
      <c r="AL15" s="32"/>
      <c r="AM15" s="35"/>
      <c r="AN15" s="28"/>
      <c r="AO15" s="28"/>
      <c r="AP15" s="28"/>
      <c r="AQ15" s="32"/>
      <c r="AR15" s="35"/>
      <c r="AS15" s="28"/>
      <c r="AT15" s="28"/>
      <c r="AU15" s="28"/>
      <c r="AV15" s="32"/>
      <c r="AW15" s="35"/>
      <c r="AX15" s="28"/>
      <c r="AY15" s="28"/>
      <c r="AZ15" s="28"/>
      <c r="BA15" s="32"/>
      <c r="BB15" s="35"/>
      <c r="BC15" s="28"/>
      <c r="BD15" s="28"/>
      <c r="BE15" s="28"/>
      <c r="BF15" s="32"/>
      <c r="BG15" s="35"/>
      <c r="BH15" s="28"/>
      <c r="BI15" s="28"/>
      <c r="BJ15" s="28"/>
      <c r="BK15" s="32"/>
      <c r="BL15" s="35"/>
      <c r="BM15" s="28"/>
      <c r="BN15" s="28"/>
      <c r="BO15" s="28"/>
      <c r="BP15" s="32"/>
      <c r="BQ15" s="35"/>
      <c r="BR15" s="28"/>
      <c r="BS15" s="28"/>
      <c r="BT15" s="32"/>
      <c r="BU15" s="22"/>
      <c r="BV15" s="22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73" t="s">
        <v>3</v>
      </c>
      <c r="B16" s="74"/>
      <c r="C16" s="18" t="s">
        <v>4</v>
      </c>
      <c r="D16" s="44">
        <v>1</v>
      </c>
      <c r="E16" s="45">
        <v>2</v>
      </c>
      <c r="F16" s="45">
        <v>3</v>
      </c>
      <c r="G16" s="45">
        <v>4</v>
      </c>
      <c r="H16" s="45">
        <v>5</v>
      </c>
      <c r="I16" s="45">
        <v>6</v>
      </c>
      <c r="J16" s="45">
        <v>7</v>
      </c>
      <c r="K16" s="45">
        <v>8</v>
      </c>
      <c r="L16" s="45">
        <v>9</v>
      </c>
      <c r="M16" s="45">
        <v>10</v>
      </c>
      <c r="N16" s="45">
        <v>11</v>
      </c>
      <c r="O16" s="45">
        <v>12</v>
      </c>
      <c r="P16" s="45">
        <v>13</v>
      </c>
      <c r="Q16" s="45">
        <v>14</v>
      </c>
      <c r="R16" s="45">
        <v>15</v>
      </c>
      <c r="S16" s="45">
        <v>16</v>
      </c>
      <c r="T16" s="45">
        <v>17</v>
      </c>
      <c r="U16" s="45">
        <v>18</v>
      </c>
      <c r="V16" s="45">
        <v>19</v>
      </c>
      <c r="W16" s="45">
        <v>20</v>
      </c>
      <c r="X16" s="45">
        <v>21</v>
      </c>
      <c r="Y16" s="45">
        <v>22</v>
      </c>
      <c r="Z16" s="45">
        <v>23</v>
      </c>
      <c r="AA16" s="45">
        <v>24</v>
      </c>
      <c r="AB16" s="45">
        <v>25</v>
      </c>
      <c r="AC16" s="45">
        <v>26</v>
      </c>
      <c r="AD16" s="45">
        <v>27</v>
      </c>
      <c r="AE16" s="45">
        <v>28</v>
      </c>
      <c r="AF16" s="45">
        <v>29</v>
      </c>
      <c r="AG16" s="45">
        <v>30</v>
      </c>
      <c r="AH16" s="45">
        <v>31</v>
      </c>
      <c r="AI16" s="45">
        <v>32</v>
      </c>
      <c r="AJ16" s="45">
        <v>33</v>
      </c>
      <c r="AK16" s="45">
        <v>34</v>
      </c>
      <c r="AL16" s="45">
        <v>35</v>
      </c>
      <c r="AM16" s="45">
        <v>36</v>
      </c>
      <c r="AN16" s="45">
        <v>37</v>
      </c>
      <c r="AO16" s="45">
        <v>38</v>
      </c>
      <c r="AP16" s="45">
        <v>39</v>
      </c>
      <c r="AQ16" s="45">
        <v>40</v>
      </c>
      <c r="AR16" s="45">
        <v>41</v>
      </c>
      <c r="AS16" s="45">
        <v>42</v>
      </c>
      <c r="AT16" s="45">
        <v>43</v>
      </c>
      <c r="AU16" s="45">
        <v>44</v>
      </c>
      <c r="AV16" s="45">
        <v>45</v>
      </c>
      <c r="AW16" s="45">
        <v>46</v>
      </c>
      <c r="AX16" s="45">
        <v>47</v>
      </c>
      <c r="AY16" s="45">
        <v>48</v>
      </c>
      <c r="AZ16" s="45">
        <v>49</v>
      </c>
      <c r="BA16" s="45">
        <v>50</v>
      </c>
      <c r="BB16" s="45">
        <v>51</v>
      </c>
      <c r="BC16" s="45">
        <v>52</v>
      </c>
      <c r="BD16" s="45">
        <v>53</v>
      </c>
      <c r="BE16" s="45">
        <v>54</v>
      </c>
      <c r="BF16" s="45">
        <v>55</v>
      </c>
      <c r="BG16" s="45">
        <v>56</v>
      </c>
      <c r="BH16" s="45">
        <v>57</v>
      </c>
      <c r="BI16" s="45">
        <v>58</v>
      </c>
      <c r="BJ16" s="45">
        <v>59</v>
      </c>
      <c r="BK16" s="45">
        <v>60</v>
      </c>
      <c r="BL16" s="45">
        <v>61</v>
      </c>
      <c r="BM16" s="45">
        <v>62</v>
      </c>
      <c r="BN16" s="45">
        <v>63</v>
      </c>
      <c r="BO16" s="45">
        <v>64</v>
      </c>
      <c r="BP16" s="45">
        <v>65</v>
      </c>
      <c r="BQ16" s="45">
        <v>66</v>
      </c>
      <c r="BR16" s="45">
        <v>67</v>
      </c>
      <c r="BS16" s="45">
        <v>68</v>
      </c>
      <c r="BT16" s="46">
        <v>69</v>
      </c>
      <c r="BU16" s="19"/>
      <c r="BV16" s="19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170" t="s">
        <v>61</v>
      </c>
      <c r="C97" s="171"/>
      <c r="D97" s="171"/>
      <c r="E97" s="171"/>
      <c r="F97" s="171"/>
      <c r="G97" s="171"/>
      <c r="H97" s="171"/>
      <c r="I97" s="171"/>
      <c r="J97" s="171"/>
      <c r="K97" s="171"/>
      <c r="L97" s="172"/>
      <c r="M97" s="157" t="s">
        <v>62</v>
      </c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9"/>
      <c r="AG97" s="241" t="s">
        <v>63</v>
      </c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3"/>
      <c r="AW97" s="55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47" t="s">
        <v>20</v>
      </c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8"/>
      <c r="CL97" s="226" t="str">
        <f>Thickness!CL97</f>
        <v xml:space="preserve">INTERNATIONAL PAPER </v>
      </c>
      <c r="CM97" s="227"/>
      <c r="CN97" s="227"/>
      <c r="CO97" s="227"/>
      <c r="CP97" s="227"/>
      <c r="CQ97" s="227"/>
      <c r="CR97" s="227"/>
      <c r="CS97" s="227"/>
      <c r="CT97" s="227"/>
      <c r="CU97" s="227"/>
      <c r="CV97" s="227"/>
      <c r="CW97" s="227"/>
      <c r="CX97" s="227"/>
      <c r="CY97" s="227"/>
      <c r="CZ97" s="227"/>
      <c r="DA97" s="227"/>
      <c r="DB97" s="227"/>
      <c r="DC97" s="227"/>
      <c r="DD97" s="227"/>
      <c r="DE97" s="227"/>
      <c r="DF97" s="227"/>
      <c r="DG97" s="227"/>
      <c r="DH97" s="227"/>
      <c r="DI97" s="227"/>
      <c r="DJ97" s="227"/>
      <c r="DK97" s="227"/>
      <c r="DL97" s="227"/>
      <c r="DM97" s="227"/>
      <c r="DN97" s="227"/>
      <c r="DO97" s="227"/>
      <c r="DP97" s="227"/>
      <c r="DQ97" s="227"/>
      <c r="DR97" s="227"/>
      <c r="DS97" s="227"/>
      <c r="DT97" s="227"/>
      <c r="DU97" s="227"/>
      <c r="DV97" s="227"/>
      <c r="DW97" s="227"/>
      <c r="DX97" s="227"/>
      <c r="DY97" s="227"/>
      <c r="DZ97" s="228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01" t="s">
        <v>22</v>
      </c>
      <c r="B98" s="251" t="s">
        <v>64</v>
      </c>
      <c r="C98" s="174"/>
      <c r="D98" s="174"/>
      <c r="E98" s="174"/>
      <c r="F98" s="174"/>
      <c r="G98" s="174"/>
      <c r="H98" s="174"/>
      <c r="I98" s="174"/>
      <c r="J98" s="174"/>
      <c r="K98" s="174"/>
      <c r="L98" s="175"/>
      <c r="M98" s="160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/>
      <c r="AG98" s="244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6"/>
      <c r="AW98" s="57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50"/>
      <c r="CL98" s="229" t="str">
        <f>Thickness!CL98</f>
        <v>RIVERDALE MILL</v>
      </c>
      <c r="CM98" s="230"/>
      <c r="CN98" s="230"/>
      <c r="CO98" s="230"/>
      <c r="CP98" s="230"/>
      <c r="CQ98" s="230"/>
      <c r="CR98" s="230"/>
      <c r="CS98" s="230"/>
      <c r="CT98" s="230"/>
      <c r="CU98" s="230"/>
      <c r="CV98" s="230"/>
      <c r="CW98" s="230"/>
      <c r="CX98" s="230"/>
      <c r="CY98" s="230"/>
      <c r="CZ98" s="230"/>
      <c r="DA98" s="230"/>
      <c r="DB98" s="230"/>
      <c r="DC98" s="230"/>
      <c r="DD98" s="230"/>
      <c r="DE98" s="230"/>
      <c r="DF98" s="230"/>
      <c r="DG98" s="230"/>
      <c r="DH98" s="230"/>
      <c r="DI98" s="230"/>
      <c r="DJ98" s="230"/>
      <c r="DK98" s="230"/>
      <c r="DL98" s="230"/>
      <c r="DM98" s="230"/>
      <c r="DN98" s="230"/>
      <c r="DO98" s="230"/>
      <c r="DP98" s="230"/>
      <c r="DQ98" s="230"/>
      <c r="DR98" s="230"/>
      <c r="DS98" s="230"/>
      <c r="DT98" s="230"/>
      <c r="DU98" s="230"/>
      <c r="DV98" s="230"/>
      <c r="DW98" s="230"/>
      <c r="DX98" s="230"/>
      <c r="DY98" s="230"/>
      <c r="DZ98" s="231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01"/>
      <c r="B99" s="232" t="s">
        <v>65</v>
      </c>
      <c r="C99" s="233"/>
      <c r="D99" s="233"/>
      <c r="E99" s="233"/>
      <c r="F99" s="233"/>
      <c r="G99" s="233"/>
      <c r="H99" s="233"/>
      <c r="I99" s="233"/>
      <c r="J99" s="233"/>
      <c r="K99" s="233"/>
      <c r="L99" s="234"/>
      <c r="M99" s="142" t="s">
        <v>47</v>
      </c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4"/>
      <c r="AG99" s="244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6"/>
      <c r="AW99" s="57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50"/>
      <c r="CL99" s="217" t="s">
        <v>66</v>
      </c>
      <c r="CM99" s="218"/>
      <c r="CN99" s="218"/>
      <c r="CO99" s="218"/>
      <c r="CP99" s="218"/>
      <c r="CQ99" s="218"/>
      <c r="CR99" s="218"/>
      <c r="CS99" s="218"/>
      <c r="CT99" s="218"/>
      <c r="CU99" s="218"/>
      <c r="CV99" s="218"/>
      <c r="CW99" s="218"/>
      <c r="CX99" s="218"/>
      <c r="CY99" s="218"/>
      <c r="CZ99" s="218"/>
      <c r="DA99" s="218"/>
      <c r="DB99" s="218"/>
      <c r="DC99" s="218"/>
      <c r="DD99" s="218"/>
      <c r="DE99" s="218"/>
      <c r="DF99" s="218"/>
      <c r="DG99" s="218"/>
      <c r="DH99" s="218"/>
      <c r="DI99" s="218"/>
      <c r="DJ99" s="218"/>
      <c r="DK99" s="218"/>
      <c r="DL99" s="218"/>
      <c r="DM99" s="218"/>
      <c r="DN99" s="218"/>
      <c r="DO99" s="218"/>
      <c r="DP99" s="218"/>
      <c r="DQ99" s="218"/>
      <c r="DR99" s="218"/>
      <c r="DS99" s="218"/>
      <c r="DT99" s="218"/>
      <c r="DU99" s="218"/>
      <c r="DV99" s="218"/>
      <c r="DW99" s="218"/>
      <c r="DX99" s="218"/>
      <c r="DY99" s="218"/>
      <c r="DZ99" s="219"/>
    </row>
    <row r="100" spans="1:182" ht="36" customHeight="1" x14ac:dyDescent="0.2">
      <c r="A100" s="101"/>
      <c r="B100" s="214" t="s">
        <v>67</v>
      </c>
      <c r="C100" s="215"/>
      <c r="D100" s="215"/>
      <c r="E100" s="215"/>
      <c r="F100" s="215"/>
      <c r="G100" s="215"/>
      <c r="H100" s="215"/>
      <c r="I100" s="215"/>
      <c r="J100" s="215"/>
      <c r="K100" s="215"/>
      <c r="L100" s="216"/>
      <c r="M100" s="145" t="s">
        <v>50</v>
      </c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  <c r="AF100" s="147"/>
      <c r="AG100" s="235">
        <v>44228</v>
      </c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7"/>
      <c r="AW100" s="59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2"/>
      <c r="CL100" s="217" t="str">
        <f>Thickness!CL100</f>
        <v>NO. 1 RECOVERY BOILER</v>
      </c>
      <c r="CM100" s="218"/>
      <c r="CN100" s="218"/>
      <c r="CO100" s="218"/>
      <c r="CP100" s="218"/>
      <c r="CQ100" s="218"/>
      <c r="CR100" s="218"/>
      <c r="CS100" s="218"/>
      <c r="CT100" s="218"/>
      <c r="CU100" s="218"/>
      <c r="CV100" s="218"/>
      <c r="CW100" s="218"/>
      <c r="CX100" s="218"/>
      <c r="CY100" s="218"/>
      <c r="CZ100" s="218"/>
      <c r="DA100" s="218"/>
      <c r="DB100" s="218"/>
      <c r="DC100" s="218"/>
      <c r="DD100" s="218"/>
      <c r="DE100" s="218"/>
      <c r="DF100" s="218"/>
      <c r="DG100" s="218"/>
      <c r="DH100" s="218"/>
      <c r="DI100" s="218"/>
      <c r="DJ100" s="218"/>
      <c r="DK100" s="218"/>
      <c r="DL100" s="218"/>
      <c r="DM100" s="218"/>
      <c r="DN100" s="218"/>
      <c r="DO100" s="218"/>
      <c r="DP100" s="218"/>
      <c r="DQ100" s="218"/>
      <c r="DR100" s="218"/>
      <c r="DS100" s="218"/>
      <c r="DT100" s="218"/>
      <c r="DU100" s="218"/>
      <c r="DV100" s="218"/>
      <c r="DW100" s="218"/>
      <c r="DX100" s="218"/>
      <c r="DY100" s="218"/>
      <c r="DZ100" s="219"/>
    </row>
    <row r="101" spans="1:182" ht="36" customHeight="1" x14ac:dyDescent="0.2">
      <c r="A101" s="101"/>
      <c r="B101" s="220" t="s">
        <v>68</v>
      </c>
      <c r="C101" s="221"/>
      <c r="D101" s="221"/>
      <c r="E101" s="221"/>
      <c r="F101" s="221"/>
      <c r="G101" s="221"/>
      <c r="H101" s="221"/>
      <c r="I101" s="221"/>
      <c r="J101" s="221"/>
      <c r="K101" s="221"/>
      <c r="L101" s="222"/>
      <c r="M101" s="165" t="s">
        <v>52</v>
      </c>
      <c r="N101" s="166"/>
      <c r="O101" s="166"/>
      <c r="P101" s="166"/>
      <c r="Q101" s="167"/>
      <c r="R101" s="168" t="s">
        <v>53</v>
      </c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9"/>
      <c r="AG101" s="238"/>
      <c r="AH101" s="239"/>
      <c r="AI101" s="239"/>
      <c r="AJ101" s="239"/>
      <c r="AK101" s="239"/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40"/>
      <c r="AW101" s="53" t="str">
        <f>Thickness!AW101</f>
        <v>Job #  H449364  P.O. #  0018342455 W.O. #  N/A   Date:  5/05/2025</v>
      </c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4"/>
      <c r="CL101" s="223" t="str">
        <f>Thickness!CL101</f>
        <v>99 ABOVE STUD LINE</v>
      </c>
      <c r="CM101" s="224"/>
      <c r="CN101" s="224"/>
      <c r="CO101" s="224"/>
      <c r="CP101" s="224"/>
      <c r="CQ101" s="224"/>
      <c r="CR101" s="224"/>
      <c r="CS101" s="224"/>
      <c r="CT101" s="224"/>
      <c r="CU101" s="224"/>
      <c r="CV101" s="224"/>
      <c r="CW101" s="224"/>
      <c r="CX101" s="224"/>
      <c r="CY101" s="224"/>
      <c r="CZ101" s="224"/>
      <c r="DA101" s="224"/>
      <c r="DB101" s="224"/>
      <c r="DC101" s="224"/>
      <c r="DD101" s="224"/>
      <c r="DE101" s="224"/>
      <c r="DF101" s="224"/>
      <c r="DG101" s="224"/>
      <c r="DH101" s="224"/>
      <c r="DI101" s="224"/>
      <c r="DJ101" s="224"/>
      <c r="DK101" s="224"/>
      <c r="DL101" s="224"/>
      <c r="DM101" s="224"/>
      <c r="DN101" s="224"/>
      <c r="DO101" s="224"/>
      <c r="DP101" s="224"/>
      <c r="DQ101" s="224"/>
      <c r="DR101" s="224"/>
      <c r="DS101" s="224"/>
      <c r="DT101" s="224"/>
      <c r="DU101" s="224"/>
      <c r="DV101" s="224"/>
      <c r="DW101" s="224"/>
      <c r="DX101" s="224"/>
      <c r="DY101" s="224"/>
      <c r="DZ101" s="225"/>
    </row>
    <row r="102" spans="1:182" ht="36" customHeight="1" x14ac:dyDescent="0.35">
      <c r="B102" s="16" t="s">
        <v>69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47" t="s">
        <v>20</v>
      </c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8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50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50"/>
    </row>
    <row r="108" spans="1:182" x14ac:dyDescent="0.2"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2"/>
    </row>
    <row r="110" spans="1:182" x14ac:dyDescent="0.2">
      <c r="BR110" s="47" t="s">
        <v>38</v>
      </c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8"/>
    </row>
    <row r="111" spans="1:182" x14ac:dyDescent="0.2"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50"/>
    </row>
    <row r="112" spans="1:182" x14ac:dyDescent="0.2"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50"/>
    </row>
    <row r="113" spans="70:89" x14ac:dyDescent="0.2"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2"/>
    </row>
    <row r="115" spans="70:89" x14ac:dyDescent="0.2">
      <c r="BR115" s="47" t="s">
        <v>39</v>
      </c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8"/>
    </row>
    <row r="116" spans="70:89" x14ac:dyDescent="0.2"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50"/>
    </row>
    <row r="117" spans="70:89" x14ac:dyDescent="0.2"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50"/>
    </row>
    <row r="118" spans="70:89" x14ac:dyDescent="0.2"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2"/>
    </row>
  </sheetData>
  <mergeCells count="43">
    <mergeCell ref="A16:B16"/>
    <mergeCell ref="D10:D12"/>
    <mergeCell ref="A11:A12"/>
    <mergeCell ref="C13:C15"/>
    <mergeCell ref="D13:D15"/>
    <mergeCell ref="A14:A15"/>
    <mergeCell ref="A3:B3"/>
    <mergeCell ref="M97:AF98"/>
    <mergeCell ref="M99:AF99"/>
    <mergeCell ref="M100:AF100"/>
    <mergeCell ref="M101:Q101"/>
    <mergeCell ref="R101:AF101"/>
    <mergeCell ref="A5:A6"/>
    <mergeCell ref="B97:L97"/>
    <mergeCell ref="A98:A101"/>
    <mergeCell ref="B98:L98"/>
    <mergeCell ref="D4:D6"/>
    <mergeCell ref="C4:C6"/>
    <mergeCell ref="C7:C9"/>
    <mergeCell ref="D7:D9"/>
    <mergeCell ref="A8:A9"/>
    <mergeCell ref="C10:C12"/>
    <mergeCell ref="A1:B2"/>
    <mergeCell ref="C1:DP1"/>
    <mergeCell ref="DQ1:DZ1"/>
    <mergeCell ref="C2:DP2"/>
    <mergeCell ref="DQ2:DZ2"/>
    <mergeCell ref="BR110:CK113"/>
    <mergeCell ref="BR115:CK118"/>
    <mergeCell ref="B100:L100"/>
    <mergeCell ref="CL100:DZ100"/>
    <mergeCell ref="B101:L101"/>
    <mergeCell ref="AW101:CK101"/>
    <mergeCell ref="CL101:DZ101"/>
    <mergeCell ref="BR105:CK108"/>
    <mergeCell ref="AW97:BQ100"/>
    <mergeCell ref="BR97:CK100"/>
    <mergeCell ref="CL97:DZ97"/>
    <mergeCell ref="CL98:DZ98"/>
    <mergeCell ref="B99:L99"/>
    <mergeCell ref="CL99:DZ99"/>
    <mergeCell ref="AG100:AV101"/>
    <mergeCell ref="AG97:AV99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18"/>
  <sheetViews>
    <sheetView zoomScale="50" zoomScaleNormal="50" workbookViewId="0">
      <selection activeCell="AS7" sqref="AS7:AS9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6" width="11.7109375" style="3" customWidth="1"/>
    <col min="247" max="16384" width="11.7109375" style="3"/>
  </cols>
  <sheetData>
    <row r="1" spans="1:182" ht="36" customHeight="1" x14ac:dyDescent="0.2">
      <c r="A1" s="271">
        <f>Thickness!A1</f>
        <v>2025</v>
      </c>
      <c r="B1" s="272"/>
      <c r="C1" s="133" t="str">
        <f>IF(ISBLANK(Thickness!C1),"",(Thickness!C1))</f>
        <v/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134"/>
      <c r="BN1" s="134"/>
      <c r="BO1" s="134"/>
      <c r="BP1" s="134"/>
      <c r="BQ1" s="134"/>
      <c r="BR1" s="134"/>
      <c r="BS1" s="134"/>
      <c r="BT1" s="134"/>
      <c r="BU1" s="134"/>
      <c r="BV1" s="134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  <c r="CZ1" s="134"/>
      <c r="DA1" s="134"/>
      <c r="DB1" s="134"/>
      <c r="DC1" s="134"/>
      <c r="DD1" s="134"/>
      <c r="DE1" s="134"/>
      <c r="DF1" s="134"/>
      <c r="DG1" s="134"/>
      <c r="DH1" s="134"/>
      <c r="DI1" s="134"/>
      <c r="DJ1" s="134"/>
      <c r="DK1" s="134"/>
      <c r="DL1" s="134"/>
      <c r="DM1" s="134"/>
      <c r="DN1" s="134"/>
      <c r="DO1" s="134"/>
      <c r="DP1" s="135"/>
      <c r="DQ1" s="61" t="s">
        <v>0</v>
      </c>
      <c r="DR1" s="62"/>
      <c r="DS1" s="62"/>
      <c r="DT1" s="62"/>
      <c r="DU1" s="62"/>
      <c r="DV1" s="62"/>
      <c r="DW1" s="62"/>
      <c r="DX1" s="62"/>
      <c r="DY1" s="62"/>
      <c r="DZ1" s="63"/>
    </row>
    <row r="2" spans="1:182" s="5" customFormat="1" ht="36" customHeight="1" x14ac:dyDescent="0.2">
      <c r="A2" s="273"/>
      <c r="B2" s="274"/>
      <c r="C2" s="133" t="s">
        <v>70</v>
      </c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  <c r="DD2" s="134"/>
      <c r="DE2" s="134"/>
      <c r="DF2" s="134"/>
      <c r="DG2" s="134"/>
      <c r="DH2" s="134"/>
      <c r="DI2" s="134"/>
      <c r="DJ2" s="134"/>
      <c r="DK2" s="134"/>
      <c r="DL2" s="134"/>
      <c r="DM2" s="134"/>
      <c r="DN2" s="134"/>
      <c r="DO2" s="134"/>
      <c r="DP2" s="135"/>
      <c r="DQ2" s="61" t="s">
        <v>2</v>
      </c>
      <c r="DR2" s="62"/>
      <c r="DS2" s="62"/>
      <c r="DT2" s="62"/>
      <c r="DU2" s="62"/>
      <c r="DV2" s="62"/>
      <c r="DW2" s="62"/>
      <c r="DX2" s="62"/>
      <c r="DY2" s="62"/>
      <c r="DZ2" s="63"/>
      <c r="EA2" s="4"/>
    </row>
    <row r="3" spans="1:182" s="5" customFormat="1" ht="36" customHeight="1" x14ac:dyDescent="0.2">
      <c r="A3" s="73" t="s">
        <v>3</v>
      </c>
      <c r="B3" s="74"/>
      <c r="C3" s="18" t="s">
        <v>4</v>
      </c>
      <c r="D3" s="36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43">
        <v>69</v>
      </c>
      <c r="BU3" s="40" t="s">
        <v>5</v>
      </c>
      <c r="BV3" s="41" t="s">
        <v>6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7</v>
      </c>
      <c r="B4" s="6" t="s">
        <v>8</v>
      </c>
      <c r="C4" s="260" t="s">
        <v>71</v>
      </c>
      <c r="D4" s="252">
        <f>MIN(Thickness!D4:D6)</f>
        <v>0.32300000000000001</v>
      </c>
      <c r="E4" s="275">
        <f>MIN(Thickness!E4:E6)</f>
        <v>0.218</v>
      </c>
      <c r="F4" s="275">
        <f>MIN(Thickness!F4:F6)</f>
        <v>0.219</v>
      </c>
      <c r="G4" s="275">
        <f>MIN(Thickness!G4:G6)</f>
        <v>0.224</v>
      </c>
      <c r="H4" s="278">
        <f>MIN(Thickness!H4:H6)</f>
        <v>0.218</v>
      </c>
      <c r="I4" s="281">
        <f>MIN(Thickness!I4:I6)</f>
        <v>0.21299999999999999</v>
      </c>
      <c r="J4" s="275">
        <f>MIN(Thickness!J4:J6)</f>
        <v>0.219</v>
      </c>
      <c r="K4" s="275">
        <f>MIN(Thickness!K4:K6)</f>
        <v>0.22700000000000001</v>
      </c>
      <c r="L4" s="275">
        <f>MIN(Thickness!L4:L6)</f>
        <v>0.22900000000000001</v>
      </c>
      <c r="M4" s="278">
        <f>MIN(Thickness!M4:M6)</f>
        <v>0.219</v>
      </c>
      <c r="N4" s="281">
        <f>MIN(Thickness!N4:N6)</f>
        <v>0.22700000000000001</v>
      </c>
      <c r="O4" s="275">
        <f>MIN(Thickness!O4:O6)</f>
        <v>0.22600000000000001</v>
      </c>
      <c r="P4" s="275">
        <f>MIN(Thickness!P4:P6)</f>
        <v>0.22</v>
      </c>
      <c r="Q4" s="275">
        <f>MIN(Thickness!Q4:Q6)</f>
        <v>0.22500000000000001</v>
      </c>
      <c r="R4" s="278">
        <f>MIN(Thickness!R4:R6)</f>
        <v>0.23200000000000001</v>
      </c>
      <c r="S4" s="281">
        <f>MIN(Thickness!S4:S6)</f>
        <v>0.26800000000000002</v>
      </c>
      <c r="T4" s="275">
        <f>MIN(Thickness!T4:T6)</f>
        <v>0.33900000000000002</v>
      </c>
      <c r="U4" s="275">
        <f>MIN(Thickness!U4:U6)</f>
        <v>0.33100000000000002</v>
      </c>
      <c r="V4" s="275">
        <f>MIN(Thickness!V4:V6)</f>
        <v>0.26800000000000002</v>
      </c>
      <c r="W4" s="278">
        <f>MIN(Thickness!W4:W6)</f>
        <v>0.22</v>
      </c>
      <c r="X4" s="281">
        <f>MIN(Thickness!X4:X6)</f>
        <v>0.222</v>
      </c>
      <c r="Y4" s="275">
        <f>MIN(Thickness!Y4:Y6)</f>
        <v>0.22700000000000001</v>
      </c>
      <c r="Z4" s="275">
        <f>MIN(Thickness!Z4:Z6)</f>
        <v>0.22500000000000001</v>
      </c>
      <c r="AA4" s="275">
        <f>MIN(Thickness!AA4:AA6)</f>
        <v>0.224</v>
      </c>
      <c r="AB4" s="278">
        <f>MIN(Thickness!AB4:AB6)</f>
        <v>0.22500000000000001</v>
      </c>
      <c r="AC4" s="281">
        <f>MIN(Thickness!AC4:AC6)</f>
        <v>0.218</v>
      </c>
      <c r="AD4" s="275">
        <f>MIN(Thickness!AD4:AD6)</f>
        <v>0.22900000000000001</v>
      </c>
      <c r="AE4" s="275">
        <f>MIN(Thickness!AE4:AE6)</f>
        <v>0.23100000000000001</v>
      </c>
      <c r="AF4" s="275">
        <f>MIN(Thickness!AF4:AF6)</f>
        <v>0.219</v>
      </c>
      <c r="AG4" s="278">
        <f>MIN(Thickness!AG4:AG6)</f>
        <v>0.22800000000000001</v>
      </c>
      <c r="AH4" s="281">
        <f>MIN(Thickness!AH4:AH6)</f>
        <v>0.22800000000000001</v>
      </c>
      <c r="AI4" s="275">
        <f>MIN(Thickness!AI4:AI6)</f>
        <v>0.22600000000000001</v>
      </c>
      <c r="AJ4" s="275">
        <f>MIN(Thickness!AJ4:AJ6)</f>
        <v>0.223</v>
      </c>
      <c r="AK4" s="275">
        <f>MIN(Thickness!AK4:AK6)</f>
        <v>0.21299999999999999</v>
      </c>
      <c r="AL4" s="278">
        <f>MIN(Thickness!AL4:AL6)</f>
        <v>0.224</v>
      </c>
      <c r="AM4" s="281">
        <f>MIN(Thickness!AM4:AM6)</f>
        <v>0.22900000000000001</v>
      </c>
      <c r="AN4" s="275">
        <f>MIN(Thickness!AN4:AN6)</f>
        <v>0.23899999999999999</v>
      </c>
      <c r="AO4" s="275">
        <f>MIN(Thickness!AO4:AO6)</f>
        <v>0.217</v>
      </c>
      <c r="AP4" s="275">
        <f>MIN(Thickness!AP4:AP6)</f>
        <v>0.223</v>
      </c>
      <c r="AQ4" s="278">
        <f>MIN(Thickness!AQ4:AQ6)</f>
        <v>0.23100000000000001</v>
      </c>
      <c r="AR4" s="281">
        <f>MIN(Thickness!AR4:AR6)</f>
        <v>0.23200000000000001</v>
      </c>
      <c r="AS4" s="275">
        <f>MIN(Thickness!AS4:AS6)</f>
        <v>0.23300000000000001</v>
      </c>
      <c r="AT4" s="275">
        <f>MIN(Thickness!AT4:AT6)</f>
        <v>0.22700000000000001</v>
      </c>
      <c r="AU4" s="275">
        <f>MIN(Thickness!AU4:AU6)</f>
        <v>0.224</v>
      </c>
      <c r="AV4" s="278">
        <f>MIN(Thickness!AV4:AV6)</f>
        <v>0.26800000000000002</v>
      </c>
      <c r="AW4" s="281">
        <f>MIN(Thickness!AW4:AW6)</f>
        <v>0.33700000000000002</v>
      </c>
      <c r="AX4" s="275">
        <f>MIN(Thickness!AX4:AX6)</f>
        <v>0.33100000000000002</v>
      </c>
      <c r="AY4" s="275">
        <f>MIN(Thickness!AY4:AY6)</f>
        <v>0.26400000000000001</v>
      </c>
      <c r="AZ4" s="275">
        <f>MIN(Thickness!AZ4:AZ6)</f>
        <v>0.22800000000000001</v>
      </c>
      <c r="BA4" s="278">
        <f>MIN(Thickness!BA4:BA6)</f>
        <v>0.22500000000000001</v>
      </c>
      <c r="BB4" s="281">
        <f>MIN(Thickness!BB4:BB6)</f>
        <v>0.224</v>
      </c>
      <c r="BC4" s="275">
        <f>MIN(Thickness!BC4:BC6)</f>
        <v>0.22800000000000001</v>
      </c>
      <c r="BD4" s="275">
        <f>MIN(Thickness!BD4:BD6)</f>
        <v>0.219</v>
      </c>
      <c r="BE4" s="275">
        <f>MIN(Thickness!BE4:BE6)</f>
        <v>0.22900000000000001</v>
      </c>
      <c r="BF4" s="278">
        <f>MIN(Thickness!BF4:BF6)</f>
        <v>0.23400000000000001</v>
      </c>
      <c r="BG4" s="281">
        <f>MIN(Thickness!BG4:BG6)</f>
        <v>0.23499999999999999</v>
      </c>
      <c r="BH4" s="275">
        <f>MIN(Thickness!BH4:BH6)</f>
        <v>0.22900000000000001</v>
      </c>
      <c r="BI4" s="275">
        <f>MIN(Thickness!BI4:BI6)</f>
        <v>0.20300000000000001</v>
      </c>
      <c r="BJ4" s="275">
        <f>MIN(Thickness!BJ4:BJ6)</f>
        <v>0.22600000000000001</v>
      </c>
      <c r="BK4" s="278">
        <f>MIN(Thickness!BK4:BK6)</f>
        <v>0.224</v>
      </c>
      <c r="BL4" s="281">
        <f>MIN(Thickness!BL4:BL6)</f>
        <v>0.223</v>
      </c>
      <c r="BM4" s="275">
        <f>MIN(Thickness!BM4:BM6)</f>
        <v>0.222</v>
      </c>
      <c r="BN4" s="275">
        <f>MIN(Thickness!BN4:BN6)</f>
        <v>0.33</v>
      </c>
      <c r="BO4" s="275" t="s">
        <v>10</v>
      </c>
      <c r="BP4" s="278" t="s">
        <v>10</v>
      </c>
      <c r="BQ4" s="281" t="s">
        <v>10</v>
      </c>
      <c r="BR4" s="275" t="s">
        <v>10</v>
      </c>
      <c r="BS4" s="275" t="s">
        <v>10</v>
      </c>
      <c r="BT4" s="278" t="s">
        <v>10</v>
      </c>
      <c r="BU4" s="89">
        <f t="shared" ref="BU4:BU6" si="0">IFERROR(AVERAGE(D4:BT6),0)</f>
        <v>0.23747619047619045</v>
      </c>
      <c r="BV4" s="89">
        <f t="shared" ref="BV4:BV6" si="1">MIN(D4:BT6)</f>
        <v>0.20300000000000001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75">
        <v>8.3000000000000004E-2</v>
      </c>
      <c r="B5" s="7" t="s">
        <v>11</v>
      </c>
      <c r="C5" s="261"/>
      <c r="D5" s="253"/>
      <c r="E5" s="276"/>
      <c r="F5" s="276"/>
      <c r="G5" s="276"/>
      <c r="H5" s="279"/>
      <c r="I5" s="282"/>
      <c r="J5" s="276"/>
      <c r="K5" s="276"/>
      <c r="L5" s="276"/>
      <c r="M5" s="279"/>
      <c r="N5" s="282"/>
      <c r="O5" s="276"/>
      <c r="P5" s="276"/>
      <c r="Q5" s="276"/>
      <c r="R5" s="279"/>
      <c r="S5" s="282"/>
      <c r="T5" s="276"/>
      <c r="U5" s="276"/>
      <c r="V5" s="276"/>
      <c r="W5" s="279"/>
      <c r="X5" s="282"/>
      <c r="Y5" s="276"/>
      <c r="Z5" s="276"/>
      <c r="AA5" s="276"/>
      <c r="AB5" s="279"/>
      <c r="AC5" s="282"/>
      <c r="AD5" s="276"/>
      <c r="AE5" s="276"/>
      <c r="AF5" s="276"/>
      <c r="AG5" s="279"/>
      <c r="AH5" s="282"/>
      <c r="AI5" s="276"/>
      <c r="AJ5" s="276"/>
      <c r="AK5" s="276"/>
      <c r="AL5" s="279"/>
      <c r="AM5" s="282"/>
      <c r="AN5" s="276"/>
      <c r="AO5" s="276"/>
      <c r="AP5" s="276"/>
      <c r="AQ5" s="279"/>
      <c r="AR5" s="282"/>
      <c r="AS5" s="276"/>
      <c r="AT5" s="276"/>
      <c r="AU5" s="276"/>
      <c r="AV5" s="279"/>
      <c r="AW5" s="282"/>
      <c r="AX5" s="276"/>
      <c r="AY5" s="276"/>
      <c r="AZ5" s="276"/>
      <c r="BA5" s="279"/>
      <c r="BB5" s="282"/>
      <c r="BC5" s="276"/>
      <c r="BD5" s="276"/>
      <c r="BE5" s="276"/>
      <c r="BF5" s="279"/>
      <c r="BG5" s="282"/>
      <c r="BH5" s="276"/>
      <c r="BI5" s="276"/>
      <c r="BJ5" s="276"/>
      <c r="BK5" s="279"/>
      <c r="BL5" s="282"/>
      <c r="BM5" s="276"/>
      <c r="BN5" s="276"/>
      <c r="BO5" s="276" t="s">
        <v>10</v>
      </c>
      <c r="BP5" s="279" t="s">
        <v>10</v>
      </c>
      <c r="BQ5" s="282" t="s">
        <v>10</v>
      </c>
      <c r="BR5" s="276" t="s">
        <v>10</v>
      </c>
      <c r="BS5" s="276" t="s">
        <v>10</v>
      </c>
      <c r="BT5" s="279" t="s">
        <v>10</v>
      </c>
      <c r="BU5" s="90">
        <f t="shared" si="0"/>
        <v>0.22850724637681161</v>
      </c>
      <c r="BV5" s="90">
        <f t="shared" si="1"/>
        <v>0.217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75"/>
      <c r="B6" s="8" t="s">
        <v>13</v>
      </c>
      <c r="C6" s="261"/>
      <c r="D6" s="254"/>
      <c r="E6" s="277"/>
      <c r="F6" s="277"/>
      <c r="G6" s="277"/>
      <c r="H6" s="280"/>
      <c r="I6" s="283"/>
      <c r="J6" s="277"/>
      <c r="K6" s="277"/>
      <c r="L6" s="277"/>
      <c r="M6" s="280"/>
      <c r="N6" s="283"/>
      <c r="O6" s="277"/>
      <c r="P6" s="277"/>
      <c r="Q6" s="277"/>
      <c r="R6" s="280"/>
      <c r="S6" s="283"/>
      <c r="T6" s="277"/>
      <c r="U6" s="277"/>
      <c r="V6" s="277"/>
      <c r="W6" s="280"/>
      <c r="X6" s="283"/>
      <c r="Y6" s="277"/>
      <c r="Z6" s="277"/>
      <c r="AA6" s="277"/>
      <c r="AB6" s="280"/>
      <c r="AC6" s="283"/>
      <c r="AD6" s="277"/>
      <c r="AE6" s="277"/>
      <c r="AF6" s="277"/>
      <c r="AG6" s="280"/>
      <c r="AH6" s="283"/>
      <c r="AI6" s="277"/>
      <c r="AJ6" s="277"/>
      <c r="AK6" s="277"/>
      <c r="AL6" s="280"/>
      <c r="AM6" s="283"/>
      <c r="AN6" s="277"/>
      <c r="AO6" s="277"/>
      <c r="AP6" s="277"/>
      <c r="AQ6" s="280"/>
      <c r="AR6" s="283"/>
      <c r="AS6" s="277"/>
      <c r="AT6" s="277"/>
      <c r="AU6" s="277"/>
      <c r="AV6" s="280"/>
      <c r="AW6" s="283"/>
      <c r="AX6" s="277"/>
      <c r="AY6" s="277"/>
      <c r="AZ6" s="277"/>
      <c r="BA6" s="280"/>
      <c r="BB6" s="283"/>
      <c r="BC6" s="277"/>
      <c r="BD6" s="277"/>
      <c r="BE6" s="277"/>
      <c r="BF6" s="280"/>
      <c r="BG6" s="283"/>
      <c r="BH6" s="277"/>
      <c r="BI6" s="277"/>
      <c r="BJ6" s="277"/>
      <c r="BK6" s="280"/>
      <c r="BL6" s="283"/>
      <c r="BM6" s="277"/>
      <c r="BN6" s="277"/>
      <c r="BO6" s="277" t="s">
        <v>10</v>
      </c>
      <c r="BP6" s="280" t="s">
        <v>10</v>
      </c>
      <c r="BQ6" s="283" t="s">
        <v>10</v>
      </c>
      <c r="BR6" s="277" t="s">
        <v>10</v>
      </c>
      <c r="BS6" s="277" t="s">
        <v>10</v>
      </c>
      <c r="BT6" s="280" t="s">
        <v>10</v>
      </c>
      <c r="BU6" s="91">
        <f t="shared" si="0"/>
        <v>0.22850724637681161</v>
      </c>
      <c r="BV6" s="91">
        <f t="shared" si="1"/>
        <v>0.217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7</v>
      </c>
      <c r="B7" s="6" t="s">
        <v>15</v>
      </c>
      <c r="C7" s="260" t="s">
        <v>71</v>
      </c>
      <c r="D7" s="252">
        <f>MIN(Thickness!D7:D9)</f>
        <v>0.221</v>
      </c>
      <c r="E7" s="275">
        <f>MIN(Thickness!E7:E9)</f>
        <v>0.218</v>
      </c>
      <c r="F7" s="275">
        <f>MIN(Thickness!F7:F9)</f>
        <v>0.22900000000000001</v>
      </c>
      <c r="G7" s="275">
        <f>MIN(Thickness!G7:G9)</f>
        <v>0.22700000000000001</v>
      </c>
      <c r="H7" s="278">
        <f>MIN(Thickness!H7:H9)</f>
        <v>0.222</v>
      </c>
      <c r="I7" s="281">
        <f>MIN(Thickness!I7:I9)</f>
        <v>0.27400000000000002</v>
      </c>
      <c r="J7" s="275">
        <f>MIN(Thickness!J7:J9)</f>
        <v>0.27</v>
      </c>
      <c r="K7" s="275">
        <f>MIN(Thickness!K7:K9)</f>
        <v>0.26600000000000001</v>
      </c>
      <c r="L7" s="275">
        <f>MIN(Thickness!L7:L9)</f>
        <v>0.26800000000000002</v>
      </c>
      <c r="M7" s="278">
        <f>MIN(Thickness!M7:M9)</f>
        <v>0.26500000000000001</v>
      </c>
      <c r="N7" s="281">
        <f>MIN(Thickness!N7:N9)</f>
        <v>0.26600000000000001</v>
      </c>
      <c r="O7" s="275">
        <f>MIN(Thickness!O7:O9)</f>
        <v>0.22500000000000001</v>
      </c>
      <c r="P7" s="275">
        <f>MIN(Thickness!P7:P9)</f>
        <v>0.22900000000000001</v>
      </c>
      <c r="Q7" s="275">
        <f>MIN(Thickness!Q7:Q9)</f>
        <v>0.22600000000000001</v>
      </c>
      <c r="R7" s="278">
        <f>MIN(Thickness!R7:R9)</f>
        <v>0.222</v>
      </c>
      <c r="S7" s="281">
        <f>MIN(Thickness!S7:S9)</f>
        <v>0.22900000000000001</v>
      </c>
      <c r="T7" s="275">
        <f>MIN(Thickness!T7:T9)</f>
        <v>0.224</v>
      </c>
      <c r="U7" s="275">
        <f>MIN(Thickness!U7:U9)</f>
        <v>0.22700000000000001</v>
      </c>
      <c r="V7" s="275">
        <f>MIN(Thickness!V7:V9)</f>
        <v>0.224</v>
      </c>
      <c r="W7" s="278">
        <f>MIN(Thickness!W7:W9)</f>
        <v>0.22700000000000001</v>
      </c>
      <c r="X7" s="281">
        <f>MIN(Thickness!X7:X9)</f>
        <v>0.22800000000000001</v>
      </c>
      <c r="Y7" s="275">
        <f>MIN(Thickness!Y7:Y9)</f>
        <v>0.224</v>
      </c>
      <c r="Z7" s="275">
        <f>MIN(Thickness!Z7:Z9)</f>
        <v>0.222</v>
      </c>
      <c r="AA7" s="275">
        <f>MIN(Thickness!AA7:AA9)</f>
        <v>0.217</v>
      </c>
      <c r="AB7" s="278">
        <f>MIN(Thickness!AB7:AB9)</f>
        <v>0.222</v>
      </c>
      <c r="AC7" s="281">
        <f>MIN(Thickness!AC7:AC9)</f>
        <v>0.217</v>
      </c>
      <c r="AD7" s="275">
        <f>MIN(Thickness!AD7:AD9)</f>
        <v>0.22600000000000001</v>
      </c>
      <c r="AE7" s="275">
        <f>MIN(Thickness!AE7:AE9)</f>
        <v>0.22900000000000001</v>
      </c>
      <c r="AF7" s="275">
        <f>MIN(Thickness!AF7:AF9)</f>
        <v>0.22600000000000001</v>
      </c>
      <c r="AG7" s="278">
        <f>MIN(Thickness!AG7:AG9)</f>
        <v>0.22500000000000001</v>
      </c>
      <c r="AH7" s="281">
        <f>MIN(Thickness!AH7:AH9)</f>
        <v>0.223</v>
      </c>
      <c r="AI7" s="275">
        <f>MIN(Thickness!AI7:AI9)</f>
        <v>0.224</v>
      </c>
      <c r="AJ7" s="275">
        <f>MIN(Thickness!AJ7:AJ9)</f>
        <v>0.22800000000000001</v>
      </c>
      <c r="AK7" s="275">
        <f>MIN(Thickness!AK7:AK9)</f>
        <v>0.224</v>
      </c>
      <c r="AL7" s="278">
        <f>MIN(Thickness!AL7:AL9)</f>
        <v>0.221</v>
      </c>
      <c r="AM7" s="281">
        <f>MIN(Thickness!AM7:AM9)</f>
        <v>0.224</v>
      </c>
      <c r="AN7" s="275">
        <f>MIN(Thickness!AN7:AN9)</f>
        <v>0.23200000000000001</v>
      </c>
      <c r="AO7" s="275">
        <f>MIN(Thickness!AO7:AO9)</f>
        <v>0.23200000000000001</v>
      </c>
      <c r="AP7" s="275">
        <f>MIN(Thickness!AP7:AP9)</f>
        <v>0.22600000000000001</v>
      </c>
      <c r="AQ7" s="278">
        <f>MIN(Thickness!AQ7:AQ9)</f>
        <v>0.219</v>
      </c>
      <c r="AR7" s="281">
        <f>MIN(Thickness!AR7:AR9)</f>
        <v>0.23200000000000001</v>
      </c>
      <c r="AS7" s="275">
        <f>MIN(Thickness!AS7:AS9)</f>
        <v>0.22700000000000001</v>
      </c>
      <c r="AT7" s="275">
        <f>MIN(Thickness!AT7:AT9)</f>
        <v>0.22500000000000001</v>
      </c>
      <c r="AU7" s="275">
        <f>MIN(Thickness!AU7:AU9)</f>
        <v>0.22700000000000001</v>
      </c>
      <c r="AV7" s="278">
        <f>MIN(Thickness!AV7:AV9)</f>
        <v>0.22800000000000001</v>
      </c>
      <c r="AW7" s="281">
        <f>MIN(Thickness!AW7:AW9)</f>
        <v>0.222</v>
      </c>
      <c r="AX7" s="275">
        <f>MIN(Thickness!AX7:AX9)</f>
        <v>0.222</v>
      </c>
      <c r="AY7" s="275">
        <f>MIN(Thickness!AY7:AY9)</f>
        <v>0.222</v>
      </c>
      <c r="AZ7" s="275">
        <f>MIN(Thickness!AZ7:AZ9)</f>
        <v>0.22700000000000001</v>
      </c>
      <c r="BA7" s="278">
        <f>MIN(Thickness!BA7:BA9)</f>
        <v>0.22500000000000001</v>
      </c>
      <c r="BB7" s="281">
        <f>MIN(Thickness!BB7:BB9)</f>
        <v>0.22600000000000001</v>
      </c>
      <c r="BC7" s="275">
        <f>MIN(Thickness!BC7:BC9)</f>
        <v>0.23100000000000001</v>
      </c>
      <c r="BD7" s="275">
        <f>MIN(Thickness!BD7:BD9)</f>
        <v>0.223</v>
      </c>
      <c r="BE7" s="275">
        <f>MIN(Thickness!BE7:BE9)</f>
        <v>0.22700000000000001</v>
      </c>
      <c r="BF7" s="278">
        <f>MIN(Thickness!BF7:BF9)</f>
        <v>0.22600000000000001</v>
      </c>
      <c r="BG7" s="281">
        <f>MIN(Thickness!BG7:BG9)</f>
        <v>0.222</v>
      </c>
      <c r="BH7" s="275">
        <f>MIN(Thickness!BH7:BH9)</f>
        <v>0.222</v>
      </c>
      <c r="BI7" s="275">
        <f>MIN(Thickness!BI7:BI9)</f>
        <v>0.22700000000000001</v>
      </c>
      <c r="BJ7" s="275">
        <f>MIN(Thickness!BJ7:BJ9)</f>
        <v>0.22600000000000001</v>
      </c>
      <c r="BK7" s="278">
        <f>MIN(Thickness!BK7:BK9)</f>
        <v>0.22700000000000001</v>
      </c>
      <c r="BL7" s="281">
        <f>MIN(Thickness!BL7:BL9)</f>
        <v>0.22800000000000001</v>
      </c>
      <c r="BM7" s="275">
        <f>MIN(Thickness!BM7:BM9)</f>
        <v>0.223</v>
      </c>
      <c r="BN7" s="275">
        <f>MIN(Thickness!BN7:BN9)</f>
        <v>0.22700000000000001</v>
      </c>
      <c r="BO7" s="275">
        <f>MIN(Thickness!BO7:BO9)</f>
        <v>0.223</v>
      </c>
      <c r="BP7" s="278">
        <f>MIN(Thickness!BP7:BP9)</f>
        <v>0.219</v>
      </c>
      <c r="BQ7" s="281">
        <f>MIN(Thickness!BQ7:BQ9)</f>
        <v>0.223</v>
      </c>
      <c r="BR7" s="275">
        <f>MIN(Thickness!BR7:BR9)</f>
        <v>0.224</v>
      </c>
      <c r="BS7" s="275">
        <f>MIN(Thickness!BS7:BS9)</f>
        <v>0.219</v>
      </c>
      <c r="BT7" s="278">
        <f>MIN(Thickness!BT7:BT9)</f>
        <v>0.219</v>
      </c>
      <c r="BU7" s="89">
        <f t="shared" ref="BU7:BU9" si="2">IFERROR(AVERAGE(D7:BT9),0)</f>
        <v>0.22850724637681161</v>
      </c>
      <c r="BV7" s="89">
        <f t="shared" ref="BV7:BV9" si="3">MIN(D7:BT9)</f>
        <v>0.217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75">
        <v>8.3000000000000004E-2</v>
      </c>
      <c r="B8" s="7" t="s">
        <v>11</v>
      </c>
      <c r="C8" s="261"/>
      <c r="D8" s="253"/>
      <c r="E8" s="276"/>
      <c r="F8" s="276"/>
      <c r="G8" s="276"/>
      <c r="H8" s="279"/>
      <c r="I8" s="282"/>
      <c r="J8" s="276"/>
      <c r="K8" s="276"/>
      <c r="L8" s="276"/>
      <c r="M8" s="279"/>
      <c r="N8" s="282"/>
      <c r="O8" s="276"/>
      <c r="P8" s="276"/>
      <c r="Q8" s="276"/>
      <c r="R8" s="279"/>
      <c r="S8" s="282"/>
      <c r="T8" s="276"/>
      <c r="U8" s="276"/>
      <c r="V8" s="276"/>
      <c r="W8" s="279"/>
      <c r="X8" s="282"/>
      <c r="Y8" s="276"/>
      <c r="Z8" s="276"/>
      <c r="AA8" s="276"/>
      <c r="AB8" s="279"/>
      <c r="AC8" s="282"/>
      <c r="AD8" s="276"/>
      <c r="AE8" s="276"/>
      <c r="AF8" s="276"/>
      <c r="AG8" s="279"/>
      <c r="AH8" s="282"/>
      <c r="AI8" s="276"/>
      <c r="AJ8" s="276"/>
      <c r="AK8" s="276"/>
      <c r="AL8" s="279"/>
      <c r="AM8" s="282"/>
      <c r="AN8" s="276"/>
      <c r="AO8" s="276"/>
      <c r="AP8" s="276"/>
      <c r="AQ8" s="279"/>
      <c r="AR8" s="282"/>
      <c r="AS8" s="276"/>
      <c r="AT8" s="276"/>
      <c r="AU8" s="276"/>
      <c r="AV8" s="279"/>
      <c r="AW8" s="282"/>
      <c r="AX8" s="276"/>
      <c r="AY8" s="276"/>
      <c r="AZ8" s="276"/>
      <c r="BA8" s="279"/>
      <c r="BB8" s="282"/>
      <c r="BC8" s="276"/>
      <c r="BD8" s="276"/>
      <c r="BE8" s="276"/>
      <c r="BF8" s="279"/>
      <c r="BG8" s="282"/>
      <c r="BH8" s="276"/>
      <c r="BI8" s="276"/>
      <c r="BJ8" s="276"/>
      <c r="BK8" s="279"/>
      <c r="BL8" s="282"/>
      <c r="BM8" s="276"/>
      <c r="BN8" s="276"/>
      <c r="BO8" s="276"/>
      <c r="BP8" s="279"/>
      <c r="BQ8" s="282"/>
      <c r="BR8" s="276"/>
      <c r="BS8" s="276"/>
      <c r="BT8" s="279"/>
      <c r="BU8" s="90">
        <f t="shared" si="2"/>
        <v>0.22072580645161297</v>
      </c>
      <c r="BV8" s="90">
        <f t="shared" si="3"/>
        <v>0.214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75"/>
      <c r="B9" s="8" t="s">
        <v>13</v>
      </c>
      <c r="C9" s="261"/>
      <c r="D9" s="254"/>
      <c r="E9" s="277"/>
      <c r="F9" s="277"/>
      <c r="G9" s="277"/>
      <c r="H9" s="280"/>
      <c r="I9" s="283"/>
      <c r="J9" s="277"/>
      <c r="K9" s="277"/>
      <c r="L9" s="277"/>
      <c r="M9" s="280"/>
      <c r="N9" s="283"/>
      <c r="O9" s="277"/>
      <c r="P9" s="277"/>
      <c r="Q9" s="277"/>
      <c r="R9" s="280"/>
      <c r="S9" s="283"/>
      <c r="T9" s="277"/>
      <c r="U9" s="277"/>
      <c r="V9" s="277"/>
      <c r="W9" s="280"/>
      <c r="X9" s="283"/>
      <c r="Y9" s="277"/>
      <c r="Z9" s="277"/>
      <c r="AA9" s="277"/>
      <c r="AB9" s="280"/>
      <c r="AC9" s="283"/>
      <c r="AD9" s="277"/>
      <c r="AE9" s="277"/>
      <c r="AF9" s="277"/>
      <c r="AG9" s="280"/>
      <c r="AH9" s="283"/>
      <c r="AI9" s="277"/>
      <c r="AJ9" s="277"/>
      <c r="AK9" s="277"/>
      <c r="AL9" s="280"/>
      <c r="AM9" s="283"/>
      <c r="AN9" s="277"/>
      <c r="AO9" s="277"/>
      <c r="AP9" s="277"/>
      <c r="AQ9" s="280"/>
      <c r="AR9" s="283"/>
      <c r="AS9" s="277"/>
      <c r="AT9" s="277"/>
      <c r="AU9" s="277"/>
      <c r="AV9" s="280"/>
      <c r="AW9" s="283"/>
      <c r="AX9" s="277"/>
      <c r="AY9" s="277"/>
      <c r="AZ9" s="277"/>
      <c r="BA9" s="280"/>
      <c r="BB9" s="283"/>
      <c r="BC9" s="277"/>
      <c r="BD9" s="277"/>
      <c r="BE9" s="277"/>
      <c r="BF9" s="280"/>
      <c r="BG9" s="283"/>
      <c r="BH9" s="277"/>
      <c r="BI9" s="277"/>
      <c r="BJ9" s="277"/>
      <c r="BK9" s="280"/>
      <c r="BL9" s="283"/>
      <c r="BM9" s="277"/>
      <c r="BN9" s="277"/>
      <c r="BO9" s="277"/>
      <c r="BP9" s="280"/>
      <c r="BQ9" s="283"/>
      <c r="BR9" s="277"/>
      <c r="BS9" s="277"/>
      <c r="BT9" s="280"/>
      <c r="BU9" s="91">
        <f t="shared" si="2"/>
        <v>0.22072580645161297</v>
      </c>
      <c r="BV9" s="91">
        <f t="shared" si="3"/>
        <v>0.214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7</v>
      </c>
      <c r="B10" s="6" t="s">
        <v>16</v>
      </c>
      <c r="C10" s="260" t="s">
        <v>71</v>
      </c>
      <c r="D10" s="252">
        <f>MIN(Thickness!D10:D12)</f>
        <v>0.223</v>
      </c>
      <c r="E10" s="275">
        <f>MIN(Thickness!E10:E12)</f>
        <v>0.221</v>
      </c>
      <c r="F10" s="275">
        <f>MIN(Thickness!F10:F12)</f>
        <v>0.215</v>
      </c>
      <c r="G10" s="275">
        <f>MIN(Thickness!G10:G12)</f>
        <v>0.22500000000000001</v>
      </c>
      <c r="H10" s="278">
        <f>MIN(Thickness!H10:H12)</f>
        <v>0.219</v>
      </c>
      <c r="I10" s="281">
        <f>MIN(Thickness!I10:I12)</f>
        <v>0.224</v>
      </c>
      <c r="J10" s="275">
        <f>MIN(Thickness!J10:J12)</f>
        <v>0.217</v>
      </c>
      <c r="K10" s="275">
        <f>MIN(Thickness!K10:K12)</f>
        <v>0.219</v>
      </c>
      <c r="L10" s="275">
        <f>MIN(Thickness!L10:L12)</f>
        <v>0.222</v>
      </c>
      <c r="M10" s="278">
        <f>MIN(Thickness!M10:M12)</f>
        <v>0.22500000000000001</v>
      </c>
      <c r="N10" s="281">
        <f>MIN(Thickness!N10:N12)</f>
        <v>0.22</v>
      </c>
      <c r="O10" s="275">
        <f>MIN(Thickness!O10:O12)</f>
        <v>0.216</v>
      </c>
      <c r="P10" s="275">
        <f>MIN(Thickness!P10:P12)</f>
        <v>0.219</v>
      </c>
      <c r="Q10" s="275">
        <f>MIN(Thickness!Q10:Q12)</f>
        <v>0.22600000000000001</v>
      </c>
      <c r="R10" s="278">
        <f>MIN(Thickness!R10:R12)</f>
        <v>0.224</v>
      </c>
      <c r="S10" s="281">
        <f>MIN(Thickness!S10:S12)</f>
        <v>0.219</v>
      </c>
      <c r="T10" s="275">
        <f>MIN(Thickness!T10:T12)</f>
        <v>0.22</v>
      </c>
      <c r="U10" s="275">
        <f>MIN(Thickness!U10:U12)</f>
        <v>0.23</v>
      </c>
      <c r="V10" s="275">
        <f>MIN(Thickness!V10:V12)</f>
        <v>0.22</v>
      </c>
      <c r="W10" s="278">
        <f>MIN(Thickness!W10:W12)</f>
        <v>0.214</v>
      </c>
      <c r="X10" s="281">
        <f>MIN(Thickness!X10:X12)</f>
        <v>0.22600000000000001</v>
      </c>
      <c r="Y10" s="275">
        <f>MIN(Thickness!Y10:Y12)</f>
        <v>0.223</v>
      </c>
      <c r="Z10" s="275">
        <f>MIN(Thickness!Z10:Z12)</f>
        <v>0.221</v>
      </c>
      <c r="AA10" s="275">
        <f>MIN(Thickness!AA10:AA12)</f>
        <v>0.22800000000000001</v>
      </c>
      <c r="AB10" s="278">
        <f>MIN(Thickness!AB10:AB12)</f>
        <v>0.222</v>
      </c>
      <c r="AC10" s="281">
        <f>MIN(Thickness!AC10:AC12)</f>
        <v>0.22600000000000001</v>
      </c>
      <c r="AD10" s="275">
        <f>MIN(Thickness!AD10:AD12)</f>
        <v>0.224</v>
      </c>
      <c r="AE10" s="275">
        <f>MIN(Thickness!AE10:AE12)</f>
        <v>0.216</v>
      </c>
      <c r="AF10" s="275">
        <f>MIN(Thickness!AF10:AF12)</f>
        <v>0.223</v>
      </c>
      <c r="AG10" s="278">
        <f>MIN(Thickness!AG10:AG12)</f>
        <v>0.222</v>
      </c>
      <c r="AH10" s="281">
        <f>MIN(Thickness!AH10:AH12)</f>
        <v>0.22</v>
      </c>
      <c r="AI10" s="275">
        <f>MIN(Thickness!AI10:AI12)</f>
        <v>0.224</v>
      </c>
      <c r="AJ10" s="275">
        <f>MIN(Thickness!AJ10:AJ12)</f>
        <v>0.219</v>
      </c>
      <c r="AK10" s="275">
        <f>MIN(Thickness!AK10:AK12)</f>
        <v>0.224</v>
      </c>
      <c r="AL10" s="278">
        <f>MIN(Thickness!AL10:AL12)</f>
        <v>0.22500000000000001</v>
      </c>
      <c r="AM10" s="281">
        <f>MIN(Thickness!AM10:AM12)</f>
        <v>0.218</v>
      </c>
      <c r="AN10" s="275">
        <f>MIN(Thickness!AN10:AN12)</f>
        <v>0.215</v>
      </c>
      <c r="AO10" s="275">
        <f>MIN(Thickness!AO10:AO12)</f>
        <v>0.218</v>
      </c>
      <c r="AP10" s="275">
        <f>MIN(Thickness!AP10:AP12)</f>
        <v>0.215</v>
      </c>
      <c r="AQ10" s="278">
        <f>MIN(Thickness!AQ10:AQ12)</f>
        <v>0.217</v>
      </c>
      <c r="AR10" s="281">
        <f>MIN(Thickness!AR10:AR12)</f>
        <v>0.22</v>
      </c>
      <c r="AS10" s="275">
        <f>MIN(Thickness!AS10:AS12)</f>
        <v>0.215</v>
      </c>
      <c r="AT10" s="275">
        <f>MIN(Thickness!AT10:AT12)</f>
        <v>0.217</v>
      </c>
      <c r="AU10" s="275">
        <f>MIN(Thickness!AU10:AU12)</f>
        <v>0.22</v>
      </c>
      <c r="AV10" s="278">
        <f>MIN(Thickness!AV10:AV12)</f>
        <v>0.22</v>
      </c>
      <c r="AW10" s="281">
        <f>MIN(Thickness!AW10:AW12)</f>
        <v>0.215</v>
      </c>
      <c r="AX10" s="275">
        <f>MIN(Thickness!AX10:AX12)</f>
        <v>0.221</v>
      </c>
      <c r="AY10" s="275">
        <f>MIN(Thickness!AY10:AY12)</f>
        <v>0.224</v>
      </c>
      <c r="AZ10" s="275">
        <f>MIN(Thickness!AZ10:AZ12)</f>
        <v>0.224</v>
      </c>
      <c r="BA10" s="278">
        <f>MIN(Thickness!BA10:BA12)</f>
        <v>0.222</v>
      </c>
      <c r="BB10" s="281">
        <f>MIN(Thickness!BB10:BB12)</f>
        <v>0.219</v>
      </c>
      <c r="BC10" s="275">
        <f>MIN(Thickness!BC10:BC12)</f>
        <v>0.218</v>
      </c>
      <c r="BD10" s="275">
        <f>MIN(Thickness!BD10:BD12)</f>
        <v>0.223</v>
      </c>
      <c r="BE10" s="275">
        <f>MIN(Thickness!BE10:BE12)</f>
        <v>0.218</v>
      </c>
      <c r="BF10" s="278">
        <f>MIN(Thickness!BF10:BF12)</f>
        <v>0.219</v>
      </c>
      <c r="BG10" s="281">
        <f>MIN(Thickness!BG10:BG12)</f>
        <v>0.219</v>
      </c>
      <c r="BH10" s="275">
        <f>MIN(Thickness!BH10:BH12)</f>
        <v>0.218</v>
      </c>
      <c r="BI10" s="275">
        <f>MIN(Thickness!BI10:BI12)</f>
        <v>0.218</v>
      </c>
      <c r="BJ10" s="275">
        <f>MIN(Thickness!BJ10:BJ12)</f>
        <v>0.218</v>
      </c>
      <c r="BK10" s="278">
        <f>MIN(Thickness!BK10:BK12)</f>
        <v>0.222</v>
      </c>
      <c r="BL10" s="281">
        <f>MIN(Thickness!BL10:BL12)</f>
        <v>0.22700000000000001</v>
      </c>
      <c r="BM10" s="275">
        <f>MIN(Thickness!BM10:BM12)</f>
        <v>0.224</v>
      </c>
      <c r="BN10" s="275" t="s">
        <v>10</v>
      </c>
      <c r="BO10" s="275" t="s">
        <v>10</v>
      </c>
      <c r="BP10" s="278" t="s">
        <v>10</v>
      </c>
      <c r="BQ10" s="281" t="s">
        <v>10</v>
      </c>
      <c r="BR10" s="275" t="s">
        <v>10</v>
      </c>
      <c r="BS10" s="275" t="s">
        <v>10</v>
      </c>
      <c r="BT10" s="278" t="s">
        <v>10</v>
      </c>
      <c r="BU10" s="89">
        <f t="shared" ref="BU10:BU12" si="4">IFERROR(AVERAGE(D10:BT12),0)</f>
        <v>0.22072580645161297</v>
      </c>
      <c r="BV10" s="89">
        <f t="shared" ref="BV10:BV12" si="5">MIN(D10:BT12)</f>
        <v>0.214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75">
        <v>8.3000000000000004E-2</v>
      </c>
      <c r="B11" s="7" t="s">
        <v>11</v>
      </c>
      <c r="C11" s="261"/>
      <c r="D11" s="253"/>
      <c r="E11" s="276"/>
      <c r="F11" s="276"/>
      <c r="G11" s="276"/>
      <c r="H11" s="279"/>
      <c r="I11" s="282"/>
      <c r="J11" s="276"/>
      <c r="K11" s="276"/>
      <c r="L11" s="276"/>
      <c r="M11" s="279"/>
      <c r="N11" s="282"/>
      <c r="O11" s="276"/>
      <c r="P11" s="276"/>
      <c r="Q11" s="276"/>
      <c r="R11" s="279"/>
      <c r="S11" s="282"/>
      <c r="T11" s="276"/>
      <c r="U11" s="276"/>
      <c r="V11" s="276"/>
      <c r="W11" s="279"/>
      <c r="X11" s="282"/>
      <c r="Y11" s="276"/>
      <c r="Z11" s="276"/>
      <c r="AA11" s="276"/>
      <c r="AB11" s="279"/>
      <c r="AC11" s="282"/>
      <c r="AD11" s="276"/>
      <c r="AE11" s="276"/>
      <c r="AF11" s="276"/>
      <c r="AG11" s="279"/>
      <c r="AH11" s="282"/>
      <c r="AI11" s="276"/>
      <c r="AJ11" s="276"/>
      <c r="AK11" s="276"/>
      <c r="AL11" s="279"/>
      <c r="AM11" s="282"/>
      <c r="AN11" s="276"/>
      <c r="AO11" s="276"/>
      <c r="AP11" s="276"/>
      <c r="AQ11" s="279"/>
      <c r="AR11" s="282"/>
      <c r="AS11" s="276"/>
      <c r="AT11" s="276"/>
      <c r="AU11" s="276"/>
      <c r="AV11" s="279"/>
      <c r="AW11" s="282"/>
      <c r="AX11" s="276"/>
      <c r="AY11" s="276"/>
      <c r="AZ11" s="276"/>
      <c r="BA11" s="279"/>
      <c r="BB11" s="282"/>
      <c r="BC11" s="276"/>
      <c r="BD11" s="276"/>
      <c r="BE11" s="276"/>
      <c r="BF11" s="279"/>
      <c r="BG11" s="282"/>
      <c r="BH11" s="276"/>
      <c r="BI11" s="276"/>
      <c r="BJ11" s="276"/>
      <c r="BK11" s="279"/>
      <c r="BL11" s="282"/>
      <c r="BM11" s="276"/>
      <c r="BN11" s="276" t="s">
        <v>10</v>
      </c>
      <c r="BO11" s="276" t="s">
        <v>10</v>
      </c>
      <c r="BP11" s="279" t="s">
        <v>10</v>
      </c>
      <c r="BQ11" s="282" t="s">
        <v>10</v>
      </c>
      <c r="BR11" s="276" t="s">
        <v>10</v>
      </c>
      <c r="BS11" s="276" t="s">
        <v>10</v>
      </c>
      <c r="BT11" s="279" t="s">
        <v>10</v>
      </c>
      <c r="BU11" s="90">
        <f t="shared" si="4"/>
        <v>0.22728985507246385</v>
      </c>
      <c r="BV11" s="90">
        <f t="shared" si="5"/>
        <v>0.21099999999999999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75"/>
      <c r="B12" s="8" t="s">
        <v>13</v>
      </c>
      <c r="C12" s="261"/>
      <c r="D12" s="254"/>
      <c r="E12" s="277"/>
      <c r="F12" s="277"/>
      <c r="G12" s="277"/>
      <c r="H12" s="280"/>
      <c r="I12" s="283"/>
      <c r="J12" s="277"/>
      <c r="K12" s="277"/>
      <c r="L12" s="277"/>
      <c r="M12" s="280"/>
      <c r="N12" s="283"/>
      <c r="O12" s="277"/>
      <c r="P12" s="277"/>
      <c r="Q12" s="277"/>
      <c r="R12" s="280"/>
      <c r="S12" s="283"/>
      <c r="T12" s="277"/>
      <c r="U12" s="277"/>
      <c r="V12" s="277"/>
      <c r="W12" s="280"/>
      <c r="X12" s="283"/>
      <c r="Y12" s="277"/>
      <c r="Z12" s="277"/>
      <c r="AA12" s="277"/>
      <c r="AB12" s="280"/>
      <c r="AC12" s="283"/>
      <c r="AD12" s="277"/>
      <c r="AE12" s="277"/>
      <c r="AF12" s="277"/>
      <c r="AG12" s="280"/>
      <c r="AH12" s="283"/>
      <c r="AI12" s="277"/>
      <c r="AJ12" s="277"/>
      <c r="AK12" s="277"/>
      <c r="AL12" s="280"/>
      <c r="AM12" s="283"/>
      <c r="AN12" s="277"/>
      <c r="AO12" s="277"/>
      <c r="AP12" s="277"/>
      <c r="AQ12" s="280"/>
      <c r="AR12" s="283"/>
      <c r="AS12" s="277"/>
      <c r="AT12" s="277"/>
      <c r="AU12" s="277"/>
      <c r="AV12" s="280"/>
      <c r="AW12" s="283"/>
      <c r="AX12" s="277"/>
      <c r="AY12" s="277"/>
      <c r="AZ12" s="277"/>
      <c r="BA12" s="280"/>
      <c r="BB12" s="283"/>
      <c r="BC12" s="277"/>
      <c r="BD12" s="277"/>
      <c r="BE12" s="277"/>
      <c r="BF12" s="280"/>
      <c r="BG12" s="283"/>
      <c r="BH12" s="277"/>
      <c r="BI12" s="277"/>
      <c r="BJ12" s="277"/>
      <c r="BK12" s="280"/>
      <c r="BL12" s="283"/>
      <c r="BM12" s="277"/>
      <c r="BN12" s="277" t="s">
        <v>10</v>
      </c>
      <c r="BO12" s="277" t="s">
        <v>10</v>
      </c>
      <c r="BP12" s="280" t="s">
        <v>10</v>
      </c>
      <c r="BQ12" s="283" t="s">
        <v>10</v>
      </c>
      <c r="BR12" s="277" t="s">
        <v>10</v>
      </c>
      <c r="BS12" s="277" t="s">
        <v>10</v>
      </c>
      <c r="BT12" s="280" t="s">
        <v>10</v>
      </c>
      <c r="BU12" s="91">
        <f t="shared" si="4"/>
        <v>0.22728985507246385</v>
      </c>
      <c r="BV12" s="91">
        <f t="shared" si="5"/>
        <v>0.21099999999999999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7</v>
      </c>
      <c r="B13" s="6" t="s">
        <v>17</v>
      </c>
      <c r="C13" s="260" t="s">
        <v>71</v>
      </c>
      <c r="D13" s="252">
        <f>MIN(Thickness!D13:D15)</f>
        <v>0.223</v>
      </c>
      <c r="E13" s="275">
        <f>MIN(Thickness!E13:E15)</f>
        <v>0.222</v>
      </c>
      <c r="F13" s="275">
        <f>MIN(Thickness!F13:F15)</f>
        <v>0.222</v>
      </c>
      <c r="G13" s="275">
        <f>MIN(Thickness!G13:G15)</f>
        <v>0.23</v>
      </c>
      <c r="H13" s="278">
        <f>MIN(Thickness!H13:H15)</f>
        <v>0.216</v>
      </c>
      <c r="I13" s="281">
        <f>MIN(Thickness!I13:I15)</f>
        <v>0.219</v>
      </c>
      <c r="J13" s="275">
        <f>MIN(Thickness!J13:J15)</f>
        <v>0.221</v>
      </c>
      <c r="K13" s="275">
        <f>MIN(Thickness!K13:K15)</f>
        <v>0.219</v>
      </c>
      <c r="L13" s="275">
        <f>MIN(Thickness!L13:L15)</f>
        <v>0.222</v>
      </c>
      <c r="M13" s="278">
        <f>MIN(Thickness!M13:M15)</f>
        <v>0.224</v>
      </c>
      <c r="N13" s="281">
        <f>MIN(Thickness!N13:N15)</f>
        <v>0.221</v>
      </c>
      <c r="O13" s="275">
        <f>MIN(Thickness!O13:O15)</f>
        <v>0.217</v>
      </c>
      <c r="P13" s="275">
        <f>MIN(Thickness!P13:P15)</f>
        <v>0.33</v>
      </c>
      <c r="Q13" s="275">
        <f>MIN(Thickness!Q13:Q15)</f>
        <v>0.224</v>
      </c>
      <c r="R13" s="278">
        <f>MIN(Thickness!R13:R15)</f>
        <v>0.222</v>
      </c>
      <c r="S13" s="281">
        <f>MIN(Thickness!S13:S15)</f>
        <v>0.217</v>
      </c>
      <c r="T13" s="275">
        <f>MIN(Thickness!T13:T15)</f>
        <v>0.217</v>
      </c>
      <c r="U13" s="275">
        <f>MIN(Thickness!U13:U15)</f>
        <v>0.224</v>
      </c>
      <c r="V13" s="275">
        <f>MIN(Thickness!V13:V15)</f>
        <v>0.22</v>
      </c>
      <c r="W13" s="278">
        <f>MIN(Thickness!W13:W15)</f>
        <v>0.219</v>
      </c>
      <c r="X13" s="281">
        <f>MIN(Thickness!X13:X15)</f>
        <v>0.22700000000000001</v>
      </c>
      <c r="Y13" s="275">
        <f>MIN(Thickness!Y13:Y15)</f>
        <v>0.23</v>
      </c>
      <c r="Z13" s="275">
        <f>MIN(Thickness!Z13:Z15)</f>
        <v>0.221</v>
      </c>
      <c r="AA13" s="275">
        <f>MIN(Thickness!AA13:AA15)</f>
        <v>0.22</v>
      </c>
      <c r="AB13" s="278">
        <f>MIN(Thickness!AB13:AB15)</f>
        <v>0.223</v>
      </c>
      <c r="AC13" s="281">
        <f>MIN(Thickness!AC13:AC15)</f>
        <v>0.23400000000000001</v>
      </c>
      <c r="AD13" s="275">
        <f>MIN(Thickness!AD13:AD15)</f>
        <v>0.223</v>
      </c>
      <c r="AE13" s="275">
        <f>MIN(Thickness!AE13:AE15)</f>
        <v>0.222</v>
      </c>
      <c r="AF13" s="275">
        <f>MIN(Thickness!AF13:AF15)</f>
        <v>0.221</v>
      </c>
      <c r="AG13" s="278">
        <f>MIN(Thickness!AG13:AG15)</f>
        <v>0.218</v>
      </c>
      <c r="AH13" s="281">
        <f>MIN(Thickness!AH13:AH15)</f>
        <v>0.222</v>
      </c>
      <c r="AI13" s="275">
        <f>MIN(Thickness!AI13:AI15)</f>
        <v>0.219</v>
      </c>
      <c r="AJ13" s="275">
        <f>MIN(Thickness!AJ13:AJ15)</f>
        <v>0.222</v>
      </c>
      <c r="AK13" s="275">
        <f>MIN(Thickness!AK13:AK15)</f>
        <v>0.221</v>
      </c>
      <c r="AL13" s="278">
        <f>MIN(Thickness!AL13:AL15)</f>
        <v>0.214</v>
      </c>
      <c r="AM13" s="281">
        <f>MIN(Thickness!AM13:AM15)</f>
        <v>0.215</v>
      </c>
      <c r="AN13" s="275">
        <f>MIN(Thickness!AN13:AN15)</f>
        <v>0.21099999999999999</v>
      </c>
      <c r="AO13" s="275">
        <f>MIN(Thickness!AO13:AO15)</f>
        <v>0.22500000000000001</v>
      </c>
      <c r="AP13" s="275">
        <f>MIN(Thickness!AP13:AP15)</f>
        <v>0.219</v>
      </c>
      <c r="AQ13" s="278">
        <f>MIN(Thickness!AQ13:AQ15)</f>
        <v>0.22700000000000001</v>
      </c>
      <c r="AR13" s="281">
        <f>MIN(Thickness!AR13:AR15)</f>
        <v>0.218</v>
      </c>
      <c r="AS13" s="275">
        <f>MIN(Thickness!AS13:AS15)</f>
        <v>0.218</v>
      </c>
      <c r="AT13" s="275">
        <f>MIN(Thickness!AT13:AT15)</f>
        <v>0.21299999999999999</v>
      </c>
      <c r="AU13" s="275">
        <f>MIN(Thickness!AU13:AU15)</f>
        <v>0.222</v>
      </c>
      <c r="AV13" s="278">
        <f>MIN(Thickness!AV13:AV15)</f>
        <v>0.223</v>
      </c>
      <c r="AW13" s="281">
        <f>MIN(Thickness!AW13:AW15)</f>
        <v>0.214</v>
      </c>
      <c r="AX13" s="275">
        <f>MIN(Thickness!AX13:AX15)</f>
        <v>0.215</v>
      </c>
      <c r="AY13" s="275">
        <f>MIN(Thickness!AY13:AY15)</f>
        <v>0.31900000000000001</v>
      </c>
      <c r="AZ13" s="275">
        <f>MIN(Thickness!AZ13:AZ15)</f>
        <v>0.32100000000000001</v>
      </c>
      <c r="BA13" s="278">
        <f>MIN(Thickness!BA13:BA15)</f>
        <v>0.222</v>
      </c>
      <c r="BB13" s="281">
        <f>MIN(Thickness!BB13:BB15)</f>
        <v>0.221</v>
      </c>
      <c r="BC13" s="275">
        <f>MIN(Thickness!BC13:BC15)</f>
        <v>0.22</v>
      </c>
      <c r="BD13" s="275">
        <f>MIN(Thickness!BD13:BD15)</f>
        <v>0.22900000000000001</v>
      </c>
      <c r="BE13" s="275">
        <f>MIN(Thickness!BE13:BE15)</f>
        <v>0.224</v>
      </c>
      <c r="BF13" s="278">
        <f>MIN(Thickness!BF13:BF15)</f>
        <v>0.217</v>
      </c>
      <c r="BG13" s="281">
        <f>MIN(Thickness!BG13:BG15)</f>
        <v>0.22500000000000001</v>
      </c>
      <c r="BH13" s="275">
        <f>MIN(Thickness!BH13:BH15)</f>
        <v>0.22600000000000001</v>
      </c>
      <c r="BI13" s="275">
        <f>MIN(Thickness!BI13:BI15)</f>
        <v>0.22600000000000001</v>
      </c>
      <c r="BJ13" s="275">
        <f>MIN(Thickness!BJ13:BJ15)</f>
        <v>0.219</v>
      </c>
      <c r="BK13" s="278">
        <f>MIN(Thickness!BK13:BK15)</f>
        <v>0.21099999999999999</v>
      </c>
      <c r="BL13" s="281">
        <f>MIN(Thickness!BL13:BL15)</f>
        <v>0.22600000000000001</v>
      </c>
      <c r="BM13" s="275">
        <f>MIN(Thickness!BM13:BM15)</f>
        <v>0.221</v>
      </c>
      <c r="BN13" s="275">
        <f>MIN(Thickness!BN13:BN15)</f>
        <v>0.221</v>
      </c>
      <c r="BO13" s="275">
        <f>MIN(Thickness!BO13:BO15)</f>
        <v>0.224</v>
      </c>
      <c r="BP13" s="278">
        <f>MIN(Thickness!BP13:BP15)</f>
        <v>0.26100000000000001</v>
      </c>
      <c r="BQ13" s="281">
        <f>MIN(Thickness!BQ13:BQ15)</f>
        <v>0.26500000000000001</v>
      </c>
      <c r="BR13" s="275">
        <f>MIN(Thickness!BR13:BR15)</f>
        <v>0.223</v>
      </c>
      <c r="BS13" s="275">
        <f>MIN(Thickness!BS13:BS15)</f>
        <v>0.216</v>
      </c>
      <c r="BT13" s="278">
        <f>MIN(Thickness!BT13:BT15)</f>
        <v>0.26</v>
      </c>
      <c r="BU13" s="89">
        <f t="shared" ref="BU13:BU15" si="6">IFERROR(AVERAGE(D13:BT15),0)</f>
        <v>0.22728985507246385</v>
      </c>
      <c r="BV13" s="89">
        <f t="shared" ref="BV13:BV15" si="7">MIN(D13:BT15)</f>
        <v>0.21099999999999999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75">
        <v>8.3000000000000004E-2</v>
      </c>
      <c r="B14" s="7" t="s">
        <v>11</v>
      </c>
      <c r="C14" s="261"/>
      <c r="D14" s="253"/>
      <c r="E14" s="276"/>
      <c r="F14" s="276"/>
      <c r="G14" s="276"/>
      <c r="H14" s="279"/>
      <c r="I14" s="282"/>
      <c r="J14" s="276"/>
      <c r="K14" s="276"/>
      <c r="L14" s="276"/>
      <c r="M14" s="279"/>
      <c r="N14" s="282"/>
      <c r="O14" s="276"/>
      <c r="P14" s="276"/>
      <c r="Q14" s="276"/>
      <c r="R14" s="279"/>
      <c r="S14" s="282"/>
      <c r="T14" s="276"/>
      <c r="U14" s="276"/>
      <c r="V14" s="276"/>
      <c r="W14" s="279"/>
      <c r="X14" s="282"/>
      <c r="Y14" s="276"/>
      <c r="Z14" s="276"/>
      <c r="AA14" s="276"/>
      <c r="AB14" s="279"/>
      <c r="AC14" s="282"/>
      <c r="AD14" s="276"/>
      <c r="AE14" s="276"/>
      <c r="AF14" s="276"/>
      <c r="AG14" s="279"/>
      <c r="AH14" s="282"/>
      <c r="AI14" s="276"/>
      <c r="AJ14" s="276"/>
      <c r="AK14" s="276"/>
      <c r="AL14" s="279"/>
      <c r="AM14" s="282"/>
      <c r="AN14" s="276"/>
      <c r="AO14" s="276"/>
      <c r="AP14" s="276"/>
      <c r="AQ14" s="279"/>
      <c r="AR14" s="282"/>
      <c r="AS14" s="276"/>
      <c r="AT14" s="276"/>
      <c r="AU14" s="276"/>
      <c r="AV14" s="279"/>
      <c r="AW14" s="282"/>
      <c r="AX14" s="276"/>
      <c r="AY14" s="276"/>
      <c r="AZ14" s="276"/>
      <c r="BA14" s="279"/>
      <c r="BB14" s="282"/>
      <c r="BC14" s="276"/>
      <c r="BD14" s="276"/>
      <c r="BE14" s="276"/>
      <c r="BF14" s="279"/>
      <c r="BG14" s="282"/>
      <c r="BH14" s="276"/>
      <c r="BI14" s="276"/>
      <c r="BJ14" s="276"/>
      <c r="BK14" s="279"/>
      <c r="BL14" s="282"/>
      <c r="BM14" s="276"/>
      <c r="BN14" s="276"/>
      <c r="BO14" s="276"/>
      <c r="BP14" s="279"/>
      <c r="BQ14" s="282"/>
      <c r="BR14" s="276"/>
      <c r="BS14" s="276"/>
      <c r="BT14" s="279"/>
      <c r="BU14" s="90">
        <f t="shared" si="6"/>
        <v>35</v>
      </c>
      <c r="BV14" s="90">
        <f t="shared" si="7"/>
        <v>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75"/>
      <c r="B15" s="8" t="s">
        <v>13</v>
      </c>
      <c r="C15" s="261"/>
      <c r="D15" s="254"/>
      <c r="E15" s="277"/>
      <c r="F15" s="277"/>
      <c r="G15" s="277"/>
      <c r="H15" s="280"/>
      <c r="I15" s="283"/>
      <c r="J15" s="277"/>
      <c r="K15" s="277"/>
      <c r="L15" s="277"/>
      <c r="M15" s="280"/>
      <c r="N15" s="283"/>
      <c r="O15" s="277"/>
      <c r="P15" s="277"/>
      <c r="Q15" s="277"/>
      <c r="R15" s="280"/>
      <c r="S15" s="283"/>
      <c r="T15" s="277"/>
      <c r="U15" s="277"/>
      <c r="V15" s="277"/>
      <c r="W15" s="280"/>
      <c r="X15" s="283"/>
      <c r="Y15" s="277"/>
      <c r="Z15" s="277"/>
      <c r="AA15" s="277"/>
      <c r="AB15" s="280"/>
      <c r="AC15" s="283"/>
      <c r="AD15" s="277"/>
      <c r="AE15" s="277"/>
      <c r="AF15" s="277"/>
      <c r="AG15" s="280"/>
      <c r="AH15" s="283"/>
      <c r="AI15" s="277"/>
      <c r="AJ15" s="277"/>
      <c r="AK15" s="277"/>
      <c r="AL15" s="280"/>
      <c r="AM15" s="283"/>
      <c r="AN15" s="277"/>
      <c r="AO15" s="277"/>
      <c r="AP15" s="277"/>
      <c r="AQ15" s="280"/>
      <c r="AR15" s="283"/>
      <c r="AS15" s="277"/>
      <c r="AT15" s="277"/>
      <c r="AU15" s="277"/>
      <c r="AV15" s="280"/>
      <c r="AW15" s="283"/>
      <c r="AX15" s="277"/>
      <c r="AY15" s="277"/>
      <c r="AZ15" s="277"/>
      <c r="BA15" s="280"/>
      <c r="BB15" s="283"/>
      <c r="BC15" s="277"/>
      <c r="BD15" s="277"/>
      <c r="BE15" s="277"/>
      <c r="BF15" s="280"/>
      <c r="BG15" s="283"/>
      <c r="BH15" s="277"/>
      <c r="BI15" s="277"/>
      <c r="BJ15" s="277"/>
      <c r="BK15" s="280"/>
      <c r="BL15" s="283"/>
      <c r="BM15" s="277"/>
      <c r="BN15" s="277"/>
      <c r="BO15" s="277"/>
      <c r="BP15" s="280"/>
      <c r="BQ15" s="283"/>
      <c r="BR15" s="277"/>
      <c r="BS15" s="277"/>
      <c r="BT15" s="280"/>
      <c r="BU15" s="91">
        <f t="shared" si="6"/>
        <v>35</v>
      </c>
      <c r="BV15" s="91">
        <f t="shared" si="7"/>
        <v>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73" t="s">
        <v>3</v>
      </c>
      <c r="B16" s="74"/>
      <c r="C16" s="18" t="s">
        <v>4</v>
      </c>
      <c r="D16" s="44">
        <v>1</v>
      </c>
      <c r="E16" s="45">
        <v>2</v>
      </c>
      <c r="F16" s="45">
        <v>3</v>
      </c>
      <c r="G16" s="45">
        <v>4</v>
      </c>
      <c r="H16" s="45">
        <v>5</v>
      </c>
      <c r="I16" s="45">
        <v>6</v>
      </c>
      <c r="J16" s="45">
        <v>7</v>
      </c>
      <c r="K16" s="45">
        <v>8</v>
      </c>
      <c r="L16" s="45">
        <v>9</v>
      </c>
      <c r="M16" s="45">
        <v>10</v>
      </c>
      <c r="N16" s="45">
        <v>11</v>
      </c>
      <c r="O16" s="45">
        <v>12</v>
      </c>
      <c r="P16" s="45">
        <v>13</v>
      </c>
      <c r="Q16" s="45">
        <v>14</v>
      </c>
      <c r="R16" s="45">
        <v>15</v>
      </c>
      <c r="S16" s="45">
        <v>16</v>
      </c>
      <c r="T16" s="45">
        <v>17</v>
      </c>
      <c r="U16" s="45">
        <v>18</v>
      </c>
      <c r="V16" s="45">
        <v>19</v>
      </c>
      <c r="W16" s="45">
        <v>20</v>
      </c>
      <c r="X16" s="45">
        <v>21</v>
      </c>
      <c r="Y16" s="45">
        <v>22</v>
      </c>
      <c r="Z16" s="45">
        <v>23</v>
      </c>
      <c r="AA16" s="45">
        <v>24</v>
      </c>
      <c r="AB16" s="45">
        <v>25</v>
      </c>
      <c r="AC16" s="45">
        <v>26</v>
      </c>
      <c r="AD16" s="45">
        <v>27</v>
      </c>
      <c r="AE16" s="45">
        <v>28</v>
      </c>
      <c r="AF16" s="45">
        <v>29</v>
      </c>
      <c r="AG16" s="45">
        <v>30</v>
      </c>
      <c r="AH16" s="45">
        <v>31</v>
      </c>
      <c r="AI16" s="45">
        <v>32</v>
      </c>
      <c r="AJ16" s="45">
        <v>33</v>
      </c>
      <c r="AK16" s="45">
        <v>34</v>
      </c>
      <c r="AL16" s="45">
        <v>35</v>
      </c>
      <c r="AM16" s="45">
        <v>36</v>
      </c>
      <c r="AN16" s="45">
        <v>37</v>
      </c>
      <c r="AO16" s="45">
        <v>38</v>
      </c>
      <c r="AP16" s="45">
        <v>39</v>
      </c>
      <c r="AQ16" s="45">
        <v>40</v>
      </c>
      <c r="AR16" s="45">
        <v>41</v>
      </c>
      <c r="AS16" s="45">
        <v>42</v>
      </c>
      <c r="AT16" s="45">
        <v>43</v>
      </c>
      <c r="AU16" s="45">
        <v>44</v>
      </c>
      <c r="AV16" s="45">
        <v>45</v>
      </c>
      <c r="AW16" s="45">
        <v>46</v>
      </c>
      <c r="AX16" s="45">
        <v>47</v>
      </c>
      <c r="AY16" s="45">
        <v>48</v>
      </c>
      <c r="AZ16" s="45">
        <v>49</v>
      </c>
      <c r="BA16" s="45">
        <v>50</v>
      </c>
      <c r="BB16" s="45">
        <v>51</v>
      </c>
      <c r="BC16" s="45">
        <v>52</v>
      </c>
      <c r="BD16" s="45">
        <v>53</v>
      </c>
      <c r="BE16" s="45">
        <v>54</v>
      </c>
      <c r="BF16" s="45">
        <v>55</v>
      </c>
      <c r="BG16" s="45">
        <v>56</v>
      </c>
      <c r="BH16" s="45">
        <v>57</v>
      </c>
      <c r="BI16" s="45">
        <v>58</v>
      </c>
      <c r="BJ16" s="45">
        <v>59</v>
      </c>
      <c r="BK16" s="45">
        <v>60</v>
      </c>
      <c r="BL16" s="45">
        <v>61</v>
      </c>
      <c r="BM16" s="45">
        <v>62</v>
      </c>
      <c r="BN16" s="45">
        <v>63</v>
      </c>
      <c r="BO16" s="45">
        <v>64</v>
      </c>
      <c r="BP16" s="45">
        <v>65</v>
      </c>
      <c r="BQ16" s="45">
        <v>66</v>
      </c>
      <c r="BR16" s="45">
        <v>67</v>
      </c>
      <c r="BS16" s="45">
        <v>68</v>
      </c>
      <c r="BT16" s="46">
        <v>69</v>
      </c>
      <c r="BU16" s="40" t="s">
        <v>5</v>
      </c>
      <c r="BV16" s="41" t="s">
        <v>6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customHeight="1" x14ac:dyDescent="0.2">
      <c r="A17" s="13"/>
      <c r="B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customHeight="1" x14ac:dyDescent="0.2">
      <c r="A18" s="13"/>
      <c r="B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customHeight="1" x14ac:dyDescent="0.2">
      <c r="A19" s="13"/>
      <c r="B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customHeight="1" x14ac:dyDescent="0.2">
      <c r="A20" s="13"/>
      <c r="B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customHeight="1" x14ac:dyDescent="0.2">
      <c r="A21" s="13"/>
      <c r="B2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customHeight="1" x14ac:dyDescent="0.2">
      <c r="A22" s="13"/>
      <c r="B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customHeight="1" x14ac:dyDescent="0.2">
      <c r="A23" s="13"/>
      <c r="B2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customHeight="1" x14ac:dyDescent="0.2">
      <c r="A24" s="13"/>
      <c r="B24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customHeight="1" x14ac:dyDescent="0.2">
      <c r="A25" s="13"/>
      <c r="B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customHeight="1" x14ac:dyDescent="0.2">
      <c r="A26" s="13"/>
      <c r="B2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customHeight="1" x14ac:dyDescent="0.2">
      <c r="A27" s="13"/>
      <c r="B2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customHeight="1" x14ac:dyDescent="0.2">
      <c r="A28" s="13"/>
      <c r="B2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customHeight="1" x14ac:dyDescent="0.2">
      <c r="A29" s="13"/>
      <c r="B2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customHeight="1" x14ac:dyDescent="0.2">
      <c r="A30" s="13"/>
      <c r="B3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customHeight="1" x14ac:dyDescent="0.2">
      <c r="A31" s="13"/>
      <c r="B3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customHeight="1" x14ac:dyDescent="0.2">
      <c r="A32" s="13"/>
      <c r="B3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customHeight="1" x14ac:dyDescent="0.2">
      <c r="A33" s="13"/>
      <c r="B3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customHeight="1" x14ac:dyDescent="0.2">
      <c r="A34" s="13"/>
      <c r="B3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customHeight="1" x14ac:dyDescent="0.2">
      <c r="A35" s="13"/>
      <c r="B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customHeight="1" x14ac:dyDescent="0.2">
      <c r="A36" s="13"/>
      <c r="B3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customHeight="1" x14ac:dyDescent="0.2">
      <c r="A37" s="13"/>
      <c r="B3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customHeight="1" x14ac:dyDescent="0.2">
      <c r="A38" s="13"/>
      <c r="B3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customHeight="1" x14ac:dyDescent="0.2">
      <c r="A39" s="13"/>
      <c r="B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customHeight="1" x14ac:dyDescent="0.2">
      <c r="A40" s="13"/>
      <c r="B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customHeight="1" x14ac:dyDescent="0.2">
      <c r="A41" s="13"/>
      <c r="B41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customHeight="1" x14ac:dyDescent="0.2">
      <c r="A42" s="13"/>
      <c r="B4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customHeight="1" x14ac:dyDescent="0.2">
      <c r="A43" s="13"/>
      <c r="B4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customHeight="1" x14ac:dyDescent="0.2">
      <c r="A44" s="13"/>
      <c r="B4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customHeight="1" x14ac:dyDescent="0.2">
      <c r="A45" s="13"/>
      <c r="B4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customHeight="1" x14ac:dyDescent="0.2">
      <c r="A46" s="13"/>
      <c r="B4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customHeight="1" x14ac:dyDescent="0.2">
      <c r="A47" s="13"/>
      <c r="B4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customHeight="1" x14ac:dyDescent="0.2">
      <c r="A48" s="13"/>
      <c r="B4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customHeight="1" x14ac:dyDescent="0.2">
      <c r="A49" s="13"/>
      <c r="B49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customHeight="1" x14ac:dyDescent="0.2">
      <c r="A50" s="13"/>
      <c r="B5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customHeight="1" x14ac:dyDescent="0.2">
      <c r="A51" s="13"/>
      <c r="B51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customHeight="1" x14ac:dyDescent="0.2">
      <c r="A52" s="13"/>
      <c r="B52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customHeight="1" x14ac:dyDescent="0.2">
      <c r="A53" s="13"/>
      <c r="B5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customHeight="1" x14ac:dyDescent="0.2">
      <c r="A54" s="13"/>
      <c r="B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customHeight="1" x14ac:dyDescent="0.2">
      <c r="A55" s="13"/>
      <c r="B5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customHeight="1" x14ac:dyDescent="0.2">
      <c r="A56" s="13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customHeight="1" x14ac:dyDescent="0.2">
      <c r="A57" s="13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customHeight="1" x14ac:dyDescent="0.2">
      <c r="A58" s="13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customHeight="1" x14ac:dyDescent="0.2">
      <c r="A59" s="13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customHeight="1" x14ac:dyDescent="0.2">
      <c r="A60" s="13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customHeight="1" x14ac:dyDescent="0.2">
      <c r="A61" s="13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customHeight="1" x14ac:dyDescent="0.2">
      <c r="A62" s="13"/>
      <c r="B62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customHeight="1" x14ac:dyDescent="0.2">
      <c r="A63" s="13"/>
      <c r="B6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customHeight="1" x14ac:dyDescent="0.2">
      <c r="A64" s="13"/>
      <c r="B6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customHeight="1" x14ac:dyDescent="0.2">
      <c r="A65" s="13"/>
      <c r="B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customHeight="1" x14ac:dyDescent="0.2">
      <c r="A66" s="13"/>
      <c r="B6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customHeight="1" x14ac:dyDescent="0.2">
      <c r="A67" s="13"/>
      <c r="B6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customHeight="1" x14ac:dyDescent="0.2">
      <c r="A68" s="13"/>
      <c r="B6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customHeight="1" x14ac:dyDescent="0.2">
      <c r="A69" s="13"/>
      <c r="B69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customHeight="1" x14ac:dyDescent="0.2">
      <c r="A70" s="13"/>
      <c r="B7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customHeight="1" x14ac:dyDescent="0.2">
      <c r="A71" s="13"/>
      <c r="B71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customHeight="1" x14ac:dyDescent="0.2">
      <c r="A72" s="13"/>
      <c r="B72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customHeight="1" x14ac:dyDescent="0.2">
      <c r="A73" s="13"/>
      <c r="B7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customHeight="1" x14ac:dyDescent="0.2">
      <c r="A74" s="13"/>
      <c r="B7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customHeight="1" x14ac:dyDescent="0.2">
      <c r="A75" s="13"/>
      <c r="B7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customHeight="1" x14ac:dyDescent="0.2">
      <c r="A76" s="13"/>
      <c r="B7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B7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B7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B79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B8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B81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B82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B8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B8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B8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B8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B8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B8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B89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B9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B91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B92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B9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B9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B9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B9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7</v>
      </c>
      <c r="B97" s="42" t="s">
        <v>10</v>
      </c>
      <c r="C97" s="92" t="s">
        <v>10</v>
      </c>
      <c r="D97" s="93"/>
      <c r="E97" s="93"/>
      <c r="F97" s="93"/>
      <c r="G97" s="93"/>
      <c r="H97" s="93"/>
      <c r="I97" s="93"/>
      <c r="J97" s="93"/>
      <c r="K97" s="93"/>
      <c r="L97" s="93"/>
      <c r="M97" s="94" t="s">
        <v>18</v>
      </c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6">
        <v>3</v>
      </c>
      <c r="AA97" s="96"/>
      <c r="AB97" s="96"/>
      <c r="AC97" s="96"/>
      <c r="AD97" s="96"/>
      <c r="AE97" s="96"/>
      <c r="AF97" s="97"/>
      <c r="AG97" s="98" t="s">
        <v>19</v>
      </c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100"/>
      <c r="AW97" s="55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47" t="s">
        <v>20</v>
      </c>
      <c r="BS97" s="47"/>
      <c r="BT97" s="47"/>
      <c r="BU97" s="47"/>
      <c r="BV97" s="47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8"/>
      <c r="CL97" s="265" t="str">
        <f>Thickness!CL97</f>
        <v xml:space="preserve">INTERNATIONAL PAPER </v>
      </c>
      <c r="CM97" s="266"/>
      <c r="CN97" s="266"/>
      <c r="CO97" s="266"/>
      <c r="CP97" s="266"/>
      <c r="CQ97" s="266"/>
      <c r="CR97" s="266"/>
      <c r="CS97" s="266"/>
      <c r="CT97" s="266"/>
      <c r="CU97" s="266"/>
      <c r="CV97" s="266"/>
      <c r="CW97" s="266"/>
      <c r="CX97" s="266"/>
      <c r="CY97" s="266"/>
      <c r="CZ97" s="266"/>
      <c r="DA97" s="266"/>
      <c r="DB97" s="266"/>
      <c r="DC97" s="266"/>
      <c r="DD97" s="266"/>
      <c r="DE97" s="266"/>
      <c r="DF97" s="266"/>
      <c r="DG97" s="266"/>
      <c r="DH97" s="266"/>
      <c r="DI97" s="266"/>
      <c r="DJ97" s="266"/>
      <c r="DK97" s="266"/>
      <c r="DL97" s="266"/>
      <c r="DM97" s="266"/>
      <c r="DN97" s="266"/>
      <c r="DO97" s="266"/>
      <c r="DP97" s="266"/>
      <c r="DQ97" s="266"/>
      <c r="DR97" s="266"/>
      <c r="DS97" s="266"/>
      <c r="DT97" s="266"/>
      <c r="DU97" s="266"/>
      <c r="DV97" s="266"/>
      <c r="DW97" s="266"/>
      <c r="DX97" s="266"/>
      <c r="DY97" s="266"/>
      <c r="DZ97" s="267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01" t="s">
        <v>22</v>
      </c>
      <c r="B98" s="42" t="s">
        <v>10</v>
      </c>
      <c r="C98" s="92" t="s">
        <v>10</v>
      </c>
      <c r="D98" s="102"/>
      <c r="E98" s="102"/>
      <c r="F98" s="102"/>
      <c r="G98" s="102"/>
      <c r="H98" s="102"/>
      <c r="I98" s="102"/>
      <c r="J98" s="102"/>
      <c r="K98" s="102"/>
      <c r="L98" s="102"/>
      <c r="M98" s="103" t="s">
        <v>23</v>
      </c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5" t="s">
        <v>24</v>
      </c>
      <c r="AA98" s="105"/>
      <c r="AB98" s="105"/>
      <c r="AC98" s="105"/>
      <c r="AD98" s="105"/>
      <c r="AE98" s="105"/>
      <c r="AF98" s="105"/>
      <c r="AG98" s="106">
        <f>TRUNC(MAX(D4:BT6,D7:BT9,D10:BT12,D13:BT15),3)</f>
        <v>0.33900000000000002</v>
      </c>
      <c r="AH98" s="107"/>
      <c r="AI98" s="107"/>
      <c r="AJ98" s="107"/>
      <c r="AK98" s="107"/>
      <c r="AL98" s="108" t="s">
        <v>25</v>
      </c>
      <c r="AM98" s="109"/>
      <c r="AN98" s="109"/>
      <c r="AO98" s="109"/>
      <c r="AP98" s="109"/>
      <c r="AQ98" s="109"/>
      <c r="AR98" s="109"/>
      <c r="AS98" s="109"/>
      <c r="AT98" s="109"/>
      <c r="AU98" s="109"/>
      <c r="AV98" s="110"/>
      <c r="AW98" s="57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50"/>
      <c r="CL98" s="268" t="str">
        <f>Thickness!CL98</f>
        <v>RIVERDALE MILL</v>
      </c>
      <c r="CM98" s="269"/>
      <c r="CN98" s="269"/>
      <c r="CO98" s="269"/>
      <c r="CP98" s="269"/>
      <c r="CQ98" s="269"/>
      <c r="CR98" s="269"/>
      <c r="CS98" s="269"/>
      <c r="CT98" s="269"/>
      <c r="CU98" s="269"/>
      <c r="CV98" s="269"/>
      <c r="CW98" s="269"/>
      <c r="CX98" s="269"/>
      <c r="CY98" s="269"/>
      <c r="CZ98" s="269"/>
      <c r="DA98" s="269"/>
      <c r="DB98" s="269"/>
      <c r="DC98" s="269"/>
      <c r="DD98" s="269"/>
      <c r="DE98" s="269"/>
      <c r="DF98" s="269"/>
      <c r="DG98" s="269"/>
      <c r="DH98" s="269"/>
      <c r="DI98" s="269"/>
      <c r="DJ98" s="269"/>
      <c r="DK98" s="269"/>
      <c r="DL98" s="269"/>
      <c r="DM98" s="269"/>
      <c r="DN98" s="269"/>
      <c r="DO98" s="269"/>
      <c r="DP98" s="269"/>
      <c r="DQ98" s="269"/>
      <c r="DR98" s="269"/>
      <c r="DS98" s="269"/>
      <c r="DT98" s="269"/>
      <c r="DU98" s="269"/>
      <c r="DV98" s="269"/>
      <c r="DW98" s="269"/>
      <c r="DX98" s="269"/>
      <c r="DY98" s="269"/>
      <c r="DZ98" s="270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01"/>
      <c r="B99" s="42" t="s">
        <v>10</v>
      </c>
      <c r="C99" s="92" t="s">
        <v>10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03" t="s">
        <v>27</v>
      </c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12">
        <v>0.20300000000000001</v>
      </c>
      <c r="AA99" s="112"/>
      <c r="AB99" s="112"/>
      <c r="AC99" s="112"/>
      <c r="AD99" s="112"/>
      <c r="AE99" s="112"/>
      <c r="AF99" s="112"/>
      <c r="AG99" s="113">
        <f>TRUNC(AVERAGE(D4:BT6,D7:BT9,D10:BT12,D13:BT15),3)</f>
        <v>0.22800000000000001</v>
      </c>
      <c r="AH99" s="114"/>
      <c r="AI99" s="114"/>
      <c r="AJ99" s="114"/>
      <c r="AK99" s="114"/>
      <c r="AL99" s="115" t="s">
        <v>28</v>
      </c>
      <c r="AM99" s="116"/>
      <c r="AN99" s="116"/>
      <c r="AO99" s="116"/>
      <c r="AP99" s="116"/>
      <c r="AQ99" s="116"/>
      <c r="AR99" s="116"/>
      <c r="AS99" s="116"/>
      <c r="AT99" s="116"/>
      <c r="AU99" s="116"/>
      <c r="AV99" s="117"/>
      <c r="AW99" s="57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50"/>
      <c r="CL99" s="262" t="s">
        <v>72</v>
      </c>
      <c r="CM99" s="263"/>
      <c r="CN99" s="263"/>
      <c r="CO99" s="263"/>
      <c r="CP99" s="263"/>
      <c r="CQ99" s="263"/>
      <c r="CR99" s="263"/>
      <c r="CS99" s="263"/>
      <c r="CT99" s="263"/>
      <c r="CU99" s="263"/>
      <c r="CV99" s="263"/>
      <c r="CW99" s="263"/>
      <c r="CX99" s="263"/>
      <c r="CY99" s="263"/>
      <c r="CZ99" s="263"/>
      <c r="DA99" s="263"/>
      <c r="DB99" s="263"/>
      <c r="DC99" s="263"/>
      <c r="DD99" s="263"/>
      <c r="DE99" s="263"/>
      <c r="DF99" s="263"/>
      <c r="DG99" s="263"/>
      <c r="DH99" s="263"/>
      <c r="DI99" s="263"/>
      <c r="DJ99" s="263"/>
      <c r="DK99" s="263"/>
      <c r="DL99" s="263"/>
      <c r="DM99" s="263"/>
      <c r="DN99" s="263"/>
      <c r="DO99" s="263"/>
      <c r="DP99" s="263"/>
      <c r="DQ99" s="263"/>
      <c r="DR99" s="263"/>
      <c r="DS99" s="263"/>
      <c r="DT99" s="263"/>
      <c r="DU99" s="263"/>
      <c r="DV99" s="263"/>
      <c r="DW99" s="263"/>
      <c r="DX99" s="263"/>
      <c r="DY99" s="263"/>
      <c r="DZ99" s="264"/>
    </row>
    <row r="100" spans="1:182" ht="36" customHeight="1" x14ac:dyDescent="0.2">
      <c r="A100" s="101"/>
      <c r="B100" s="42" t="s">
        <v>10</v>
      </c>
      <c r="C100" s="92" t="s">
        <v>10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03" t="s">
        <v>30</v>
      </c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19">
        <v>8.3000000000000004E-2</v>
      </c>
      <c r="AA100" s="119"/>
      <c r="AB100" s="119"/>
      <c r="AC100" s="119"/>
      <c r="AD100" s="119"/>
      <c r="AE100" s="119"/>
      <c r="AF100" s="119"/>
      <c r="AG100" s="120">
        <f>TRUNC(MIN(D4:BT6,D7:BT9,D10:BT12,D13:BT15),3)</f>
        <v>0.20300000000000001</v>
      </c>
      <c r="AH100" s="114"/>
      <c r="AI100" s="114"/>
      <c r="AJ100" s="114"/>
      <c r="AK100" s="114"/>
      <c r="AL100" s="115" t="s">
        <v>31</v>
      </c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7"/>
      <c r="AW100" s="59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2"/>
      <c r="CL100" s="262" t="str">
        <f>Thickness!CL100</f>
        <v>NO. 1 RECOVERY BOILER</v>
      </c>
      <c r="CM100" s="263"/>
      <c r="CN100" s="263"/>
      <c r="CO100" s="263"/>
      <c r="CP100" s="263"/>
      <c r="CQ100" s="263"/>
      <c r="CR100" s="263"/>
      <c r="CS100" s="263"/>
      <c r="CT100" s="263"/>
      <c r="CU100" s="263"/>
      <c r="CV100" s="263"/>
      <c r="CW100" s="263"/>
      <c r="CX100" s="263"/>
      <c r="CY100" s="263"/>
      <c r="CZ100" s="263"/>
      <c r="DA100" s="263"/>
      <c r="DB100" s="263"/>
      <c r="DC100" s="263"/>
      <c r="DD100" s="263"/>
      <c r="DE100" s="263"/>
      <c r="DF100" s="263"/>
      <c r="DG100" s="263"/>
      <c r="DH100" s="263"/>
      <c r="DI100" s="263"/>
      <c r="DJ100" s="263"/>
      <c r="DK100" s="263"/>
      <c r="DL100" s="263"/>
      <c r="DM100" s="263"/>
      <c r="DN100" s="263"/>
      <c r="DO100" s="263"/>
      <c r="DP100" s="263"/>
      <c r="DQ100" s="263"/>
      <c r="DR100" s="263"/>
      <c r="DS100" s="263"/>
      <c r="DT100" s="263"/>
      <c r="DU100" s="263"/>
      <c r="DV100" s="263"/>
      <c r="DW100" s="263"/>
      <c r="DX100" s="263"/>
      <c r="DY100" s="263"/>
      <c r="DZ100" s="264"/>
    </row>
    <row r="101" spans="1:182" ht="36" customHeight="1" x14ac:dyDescent="0.2">
      <c r="A101" s="101"/>
      <c r="B101" s="42" t="s">
        <v>10</v>
      </c>
      <c r="C101" s="92" t="s">
        <v>10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21" t="s">
        <v>33</v>
      </c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3">
        <v>0.1</v>
      </c>
      <c r="AA101" s="123"/>
      <c r="AB101" s="123"/>
      <c r="AC101" s="123"/>
      <c r="AD101" s="123"/>
      <c r="AE101" s="123"/>
      <c r="AF101" s="123"/>
      <c r="AG101" s="124">
        <f>STDEV(D4:BT6,D7:BT9,D10:BT12,D13:BT15)</f>
        <v>2.1743626691869522E-2</v>
      </c>
      <c r="AH101" s="125"/>
      <c r="AI101" s="125"/>
      <c r="AJ101" s="125"/>
      <c r="AK101" s="125"/>
      <c r="AL101" s="126" t="s">
        <v>34</v>
      </c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8"/>
      <c r="AW101" s="53" t="str">
        <f>Thickness!AW101</f>
        <v>Job #  H449364  P.O. #  0018342455 W.O. #  N/A   Date:  5/05/2025</v>
      </c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63"/>
      <c r="CC101" s="163"/>
      <c r="CD101" s="163"/>
      <c r="CE101" s="163"/>
      <c r="CF101" s="163"/>
      <c r="CG101" s="163"/>
      <c r="CH101" s="163"/>
      <c r="CI101" s="163"/>
      <c r="CJ101" s="163"/>
      <c r="CK101" s="164"/>
      <c r="CL101" s="257" t="str">
        <f>Thickness!CL101</f>
        <v>99 ABOVE STUD LINE</v>
      </c>
      <c r="CM101" s="258"/>
      <c r="CN101" s="258"/>
      <c r="CO101" s="258"/>
      <c r="CP101" s="258"/>
      <c r="CQ101" s="258"/>
      <c r="CR101" s="258"/>
      <c r="CS101" s="258"/>
      <c r="CT101" s="258"/>
      <c r="CU101" s="258"/>
      <c r="CV101" s="258"/>
      <c r="CW101" s="258"/>
      <c r="CX101" s="258"/>
      <c r="CY101" s="258"/>
      <c r="CZ101" s="258"/>
      <c r="DA101" s="258"/>
      <c r="DB101" s="258"/>
      <c r="DC101" s="258"/>
      <c r="DD101" s="258"/>
      <c r="DE101" s="258"/>
      <c r="DF101" s="258"/>
      <c r="DG101" s="258"/>
      <c r="DH101" s="258"/>
      <c r="DI101" s="258"/>
      <c r="DJ101" s="258"/>
      <c r="DK101" s="258"/>
      <c r="DL101" s="258"/>
      <c r="DM101" s="258"/>
      <c r="DN101" s="258"/>
      <c r="DO101" s="258"/>
      <c r="DP101" s="258"/>
      <c r="DQ101" s="258"/>
      <c r="DR101" s="258"/>
      <c r="DS101" s="258"/>
      <c r="DT101" s="258"/>
      <c r="DU101" s="258"/>
      <c r="DV101" s="258"/>
      <c r="DW101" s="258"/>
      <c r="DX101" s="258"/>
      <c r="DY101" s="258"/>
      <c r="DZ101" s="259"/>
    </row>
    <row r="102" spans="1:182" ht="36" customHeight="1" x14ac:dyDescent="0.35">
      <c r="B102" s="16" t="s">
        <v>73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47" t="s">
        <v>20</v>
      </c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8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50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50"/>
    </row>
    <row r="108" spans="1:182" x14ac:dyDescent="0.2"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2"/>
    </row>
    <row r="110" spans="1:182" x14ac:dyDescent="0.2">
      <c r="BR110" s="47" t="s">
        <v>38</v>
      </c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48"/>
    </row>
    <row r="111" spans="1:182" x14ac:dyDescent="0.2"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50"/>
    </row>
    <row r="112" spans="1:182" x14ac:dyDescent="0.2"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50"/>
    </row>
    <row r="113" spans="70:89" x14ac:dyDescent="0.2"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2"/>
    </row>
    <row r="115" spans="70:89" x14ac:dyDescent="0.2">
      <c r="BR115" s="47" t="s">
        <v>39</v>
      </c>
      <c r="BS115" s="47"/>
      <c r="BT115" s="47"/>
      <c r="BU115" s="47"/>
      <c r="BV115" s="47"/>
      <c r="BW115" s="47"/>
      <c r="BX115" s="47"/>
      <c r="BY115" s="47"/>
      <c r="BZ115" s="47"/>
      <c r="CA115" s="47"/>
      <c r="CB115" s="47"/>
      <c r="CC115" s="47"/>
      <c r="CD115" s="47"/>
      <c r="CE115" s="47"/>
      <c r="CF115" s="47"/>
      <c r="CG115" s="47"/>
      <c r="CH115" s="47"/>
      <c r="CI115" s="47"/>
      <c r="CJ115" s="47"/>
      <c r="CK115" s="48"/>
    </row>
    <row r="116" spans="70:89" x14ac:dyDescent="0.2"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50"/>
    </row>
    <row r="117" spans="70:89" x14ac:dyDescent="0.2"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50"/>
    </row>
    <row r="118" spans="70:89" x14ac:dyDescent="0.2"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2"/>
    </row>
  </sheetData>
  <mergeCells count="335">
    <mergeCell ref="BS13:BS15"/>
    <mergeCell ref="BT13:BT15"/>
    <mergeCell ref="BN13:BN15"/>
    <mergeCell ref="BO13:BO15"/>
    <mergeCell ref="BP13:BP15"/>
    <mergeCell ref="BQ13:BQ15"/>
    <mergeCell ref="BR13:BR15"/>
    <mergeCell ref="BI13:BI15"/>
    <mergeCell ref="BJ13:BJ15"/>
    <mergeCell ref="BK13:BK15"/>
    <mergeCell ref="BL13:BL15"/>
    <mergeCell ref="BM13:BM15"/>
    <mergeCell ref="BD13:BD15"/>
    <mergeCell ref="BE13:BE15"/>
    <mergeCell ref="BF13:BF15"/>
    <mergeCell ref="BG13:BG15"/>
    <mergeCell ref="BH13:BH15"/>
    <mergeCell ref="AY13:AY15"/>
    <mergeCell ref="AZ13:AZ15"/>
    <mergeCell ref="BA13:BA15"/>
    <mergeCell ref="BB13:BB15"/>
    <mergeCell ref="BC13:BC15"/>
    <mergeCell ref="AT13:AT15"/>
    <mergeCell ref="AU13:AU15"/>
    <mergeCell ref="AV13:AV15"/>
    <mergeCell ref="AW13:AW15"/>
    <mergeCell ref="AX13:AX15"/>
    <mergeCell ref="AO13:AO15"/>
    <mergeCell ref="AP13:AP15"/>
    <mergeCell ref="AQ13:AQ15"/>
    <mergeCell ref="AR13:AR15"/>
    <mergeCell ref="AS13:AS15"/>
    <mergeCell ref="AJ13:AJ15"/>
    <mergeCell ref="AK13:AK15"/>
    <mergeCell ref="AL13:AL15"/>
    <mergeCell ref="AM13:AM15"/>
    <mergeCell ref="AN13:AN15"/>
    <mergeCell ref="AE13:AE15"/>
    <mergeCell ref="AF13:AF15"/>
    <mergeCell ref="AG13:AG15"/>
    <mergeCell ref="AH13:AH15"/>
    <mergeCell ref="AI13:AI15"/>
    <mergeCell ref="Z13:Z15"/>
    <mergeCell ref="AA13:AA15"/>
    <mergeCell ref="AB13:AB15"/>
    <mergeCell ref="AC13:AC15"/>
    <mergeCell ref="AD13:AD15"/>
    <mergeCell ref="U13:U15"/>
    <mergeCell ref="V13:V15"/>
    <mergeCell ref="W13:W15"/>
    <mergeCell ref="X13:X15"/>
    <mergeCell ref="Y13:Y15"/>
    <mergeCell ref="P13:P15"/>
    <mergeCell ref="Q13:Q15"/>
    <mergeCell ref="R13:R15"/>
    <mergeCell ref="S13:S15"/>
    <mergeCell ref="T13:T15"/>
    <mergeCell ref="BQ10:BQ12"/>
    <mergeCell ref="BR10:BR12"/>
    <mergeCell ref="BS10:BS12"/>
    <mergeCell ref="BT10:BT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BL10:BL12"/>
    <mergeCell ref="BM10:BM12"/>
    <mergeCell ref="BN10:BN12"/>
    <mergeCell ref="BO10:BO12"/>
    <mergeCell ref="BP10:BP12"/>
    <mergeCell ref="BG10:BG12"/>
    <mergeCell ref="BH10:BH12"/>
    <mergeCell ref="BI10:BI12"/>
    <mergeCell ref="BJ10:BJ12"/>
    <mergeCell ref="BK10:BK12"/>
    <mergeCell ref="BB10:BB12"/>
    <mergeCell ref="BC10:BC12"/>
    <mergeCell ref="BD10:BD12"/>
    <mergeCell ref="BE10:BE12"/>
    <mergeCell ref="BF10:BF12"/>
    <mergeCell ref="AW10:AW12"/>
    <mergeCell ref="AX10:AX12"/>
    <mergeCell ref="AY10:AY12"/>
    <mergeCell ref="AZ10:AZ12"/>
    <mergeCell ref="BA10:BA12"/>
    <mergeCell ref="AR10:AR12"/>
    <mergeCell ref="AS10:AS12"/>
    <mergeCell ref="AT10:AT12"/>
    <mergeCell ref="AU10:AU12"/>
    <mergeCell ref="AV10:AV12"/>
    <mergeCell ref="AM10:AM12"/>
    <mergeCell ref="AN10:AN12"/>
    <mergeCell ref="AO10:AO12"/>
    <mergeCell ref="AP10:AP12"/>
    <mergeCell ref="AQ10:AQ12"/>
    <mergeCell ref="AH10:AH12"/>
    <mergeCell ref="AI10:AI12"/>
    <mergeCell ref="AJ10:AJ12"/>
    <mergeCell ref="AK10:AK12"/>
    <mergeCell ref="AL10:AL12"/>
    <mergeCell ref="AC10:AC12"/>
    <mergeCell ref="AD10:AD12"/>
    <mergeCell ref="AE10:AE12"/>
    <mergeCell ref="AF10:AF12"/>
    <mergeCell ref="AG10:AG12"/>
    <mergeCell ref="X10:X12"/>
    <mergeCell ref="Y10:Y12"/>
    <mergeCell ref="Z10:Z12"/>
    <mergeCell ref="AA10:AA12"/>
    <mergeCell ref="AB10:AB12"/>
    <mergeCell ref="S10:S12"/>
    <mergeCell ref="T10:T12"/>
    <mergeCell ref="U10:U12"/>
    <mergeCell ref="V10:V12"/>
    <mergeCell ref="W10:W12"/>
    <mergeCell ref="BP7:BP9"/>
    <mergeCell ref="BQ7:BQ9"/>
    <mergeCell ref="BR7:BR9"/>
    <mergeCell ref="BS7:BS9"/>
    <mergeCell ref="BT7:BT9"/>
    <mergeCell ref="BK7:BK9"/>
    <mergeCell ref="BL7:BL9"/>
    <mergeCell ref="BM7:BM9"/>
    <mergeCell ref="BN7:BN9"/>
    <mergeCell ref="BO7:BO9"/>
    <mergeCell ref="BF7:BF9"/>
    <mergeCell ref="BG7:BG9"/>
    <mergeCell ref="BH7:BH9"/>
    <mergeCell ref="BI7:BI9"/>
    <mergeCell ref="BJ7:BJ9"/>
    <mergeCell ref="BA7:BA9"/>
    <mergeCell ref="BB7:BB9"/>
    <mergeCell ref="BC7:BC9"/>
    <mergeCell ref="BD7:BD9"/>
    <mergeCell ref="BE7:BE9"/>
    <mergeCell ref="AV7:AV9"/>
    <mergeCell ref="AW7:AW9"/>
    <mergeCell ref="AX7:AX9"/>
    <mergeCell ref="AY7:AY9"/>
    <mergeCell ref="AZ7:AZ9"/>
    <mergeCell ref="AQ7:AQ9"/>
    <mergeCell ref="AR7:AR9"/>
    <mergeCell ref="AS7:AS9"/>
    <mergeCell ref="AT7:AT9"/>
    <mergeCell ref="AU7:AU9"/>
    <mergeCell ref="AL7:AL9"/>
    <mergeCell ref="AM7:AM9"/>
    <mergeCell ref="AN7:AN9"/>
    <mergeCell ref="AO7:AO9"/>
    <mergeCell ref="AP7:AP9"/>
    <mergeCell ref="AG7:AG9"/>
    <mergeCell ref="AH7:AH9"/>
    <mergeCell ref="AI7:AI9"/>
    <mergeCell ref="AJ7:AJ9"/>
    <mergeCell ref="AK7:AK9"/>
    <mergeCell ref="AB7:AB9"/>
    <mergeCell ref="AC7:AC9"/>
    <mergeCell ref="AD7:AD9"/>
    <mergeCell ref="AE7:AE9"/>
    <mergeCell ref="AF7:AF9"/>
    <mergeCell ref="W7:W9"/>
    <mergeCell ref="X7:X9"/>
    <mergeCell ref="Y7:Y9"/>
    <mergeCell ref="Z7:Z9"/>
    <mergeCell ref="AA7:AA9"/>
    <mergeCell ref="R7:R9"/>
    <mergeCell ref="S7:S9"/>
    <mergeCell ref="T7:T9"/>
    <mergeCell ref="U7:U9"/>
    <mergeCell ref="V7:V9"/>
    <mergeCell ref="BS4:BS6"/>
    <mergeCell ref="BT4:BT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BN4:BN6"/>
    <mergeCell ref="BO4:BO6"/>
    <mergeCell ref="BP4:BP6"/>
    <mergeCell ref="BQ4:BQ6"/>
    <mergeCell ref="BR4:BR6"/>
    <mergeCell ref="BI4:BI6"/>
    <mergeCell ref="BJ4:BJ6"/>
    <mergeCell ref="BK4:BK6"/>
    <mergeCell ref="BL4:BL6"/>
    <mergeCell ref="BM4:BM6"/>
    <mergeCell ref="BD4:BD6"/>
    <mergeCell ref="BE4:BE6"/>
    <mergeCell ref="BF4:BF6"/>
    <mergeCell ref="BG4:BG6"/>
    <mergeCell ref="BH4:BH6"/>
    <mergeCell ref="AY4:AY6"/>
    <mergeCell ref="AZ4:AZ6"/>
    <mergeCell ref="BA4:BA6"/>
    <mergeCell ref="BB4:BB6"/>
    <mergeCell ref="BC4:BC6"/>
    <mergeCell ref="AT4:AT6"/>
    <mergeCell ref="AU4:AU6"/>
    <mergeCell ref="AV4:AV6"/>
    <mergeCell ref="AW4:AW6"/>
    <mergeCell ref="AX4:AX6"/>
    <mergeCell ref="AO4:AO6"/>
    <mergeCell ref="AP4:AP6"/>
    <mergeCell ref="AQ4:AQ6"/>
    <mergeCell ref="AR4:AR6"/>
    <mergeCell ref="AS4:AS6"/>
    <mergeCell ref="AJ4:AJ6"/>
    <mergeCell ref="AK4:AK6"/>
    <mergeCell ref="AL4:AL6"/>
    <mergeCell ref="AM4:AM6"/>
    <mergeCell ref="AN4:AN6"/>
    <mergeCell ref="AE4:AE6"/>
    <mergeCell ref="AF4:AF6"/>
    <mergeCell ref="AG4:AG6"/>
    <mergeCell ref="AH4:AH6"/>
    <mergeCell ref="AI4:AI6"/>
    <mergeCell ref="Z4:Z6"/>
    <mergeCell ref="AA4:AA6"/>
    <mergeCell ref="AB4:AB6"/>
    <mergeCell ref="AC4:AC6"/>
    <mergeCell ref="AD4:AD6"/>
    <mergeCell ref="A16:B16"/>
    <mergeCell ref="D4:D6"/>
    <mergeCell ref="E4:E6"/>
    <mergeCell ref="F4:F6"/>
    <mergeCell ref="G4:G6"/>
    <mergeCell ref="D10:D12"/>
    <mergeCell ref="E10:E12"/>
    <mergeCell ref="F10:F12"/>
    <mergeCell ref="G10:G12"/>
    <mergeCell ref="AG100:AK100"/>
    <mergeCell ref="AL100:AV100"/>
    <mergeCell ref="C101:L101"/>
    <mergeCell ref="M101:Y101"/>
    <mergeCell ref="Z101:AF101"/>
    <mergeCell ref="AG101:AK101"/>
    <mergeCell ref="AL101:AV101"/>
    <mergeCell ref="Z97:AF97"/>
    <mergeCell ref="AG97:AV97"/>
    <mergeCell ref="A98:A101"/>
    <mergeCell ref="C98:L98"/>
    <mergeCell ref="M98:Y98"/>
    <mergeCell ref="Z98:AF98"/>
    <mergeCell ref="AG98:AK98"/>
    <mergeCell ref="AL98:AV98"/>
    <mergeCell ref="C99:L99"/>
    <mergeCell ref="M99:Y99"/>
    <mergeCell ref="Z99:AF99"/>
    <mergeCell ref="AG99:AK99"/>
    <mergeCell ref="AL99:AV99"/>
    <mergeCell ref="C100:L100"/>
    <mergeCell ref="M100:Y100"/>
    <mergeCell ref="Z100:AF100"/>
    <mergeCell ref="A14:A15"/>
    <mergeCell ref="BU10:BU12"/>
    <mergeCell ref="BV10:BV12"/>
    <mergeCell ref="BU13:BU15"/>
    <mergeCell ref="BV13:BV15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A8:A9"/>
    <mergeCell ref="BU4:BU6"/>
    <mergeCell ref="BV4:BV6"/>
    <mergeCell ref="C10:C12"/>
    <mergeCell ref="A11:A12"/>
    <mergeCell ref="BU7:BU9"/>
    <mergeCell ref="BV7:BV9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A5:A6"/>
    <mergeCell ref="A3:B3"/>
    <mergeCell ref="A1:B2"/>
    <mergeCell ref="C1:DP1"/>
    <mergeCell ref="DQ1:DZ1"/>
    <mergeCell ref="C2:DP2"/>
    <mergeCell ref="DQ2:DZ2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CL101:DZ101"/>
    <mergeCell ref="BR105:CK108"/>
    <mergeCell ref="BR110:CK113"/>
    <mergeCell ref="BR115:CK118"/>
    <mergeCell ref="C4:C6"/>
    <mergeCell ref="AW101:CK101"/>
    <mergeCell ref="CL99:DZ99"/>
    <mergeCell ref="CL100:DZ100"/>
    <mergeCell ref="BR97:CK100"/>
    <mergeCell ref="CL97:DZ97"/>
    <mergeCell ref="CL98:DZ98"/>
    <mergeCell ref="AW97:BQ100"/>
    <mergeCell ref="C7:C9"/>
    <mergeCell ref="C13:C15"/>
    <mergeCell ref="C97:L97"/>
    <mergeCell ref="M97:Y97"/>
  </mergeCells>
  <conditionalFormatting sqref="D4:BT15 AG98:AG100">
    <cfRule type="cellIs" dxfId="1" priority="1" operator="between">
      <formula>0.001</formula>
      <formula>0.999</formula>
    </cfRule>
    <cfRule type="containsText" dxfId="0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2" pageOrder="overThenDown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2020-01-27T15:22:03Z</cp:lastPrinted>
  <dcterms:created xsi:type="dcterms:W3CDTF">2007-12-19T20:22:39Z</dcterms:created>
  <dcterms:modified xsi:type="dcterms:W3CDTF">2025-05-11T15:11:46Z</dcterms:modified>
</cp:coreProperties>
</file>