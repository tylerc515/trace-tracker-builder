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SELMA\RB1\Thickness\"/>
    </mc:Choice>
  </mc:AlternateContent>
  <xr:revisionPtr revIDLastSave="0" documentId="13_ncr:1_{DD911356-1CB4-465E-AEF4-5533EC635ADF}" xr6:coauthVersionLast="47" xr6:coauthVersionMax="47" xr10:uidLastSave="{00000000-0000-0000-0000-000000000000}"/>
  <bookViews>
    <workbookView xWindow="-120" yWindow="-120" windowWidth="29040" windowHeight="15720" xr2:uid="{D2D7454D-1D8B-436C-B39D-9672E195C69A}"/>
  </bookViews>
  <sheets>
    <sheet name="Thickness" sheetId="1" r:id="rId1"/>
    <sheet name="Corrosion" sheetId="2" r:id="rId2"/>
    <sheet name="Projection" sheetId="3" r:id="rId3"/>
    <sheet name="Retirement" sheetId="4" r:id="rId4"/>
    <sheet name="Low" sheetId="5" state="hidden" r:id="rId5"/>
  </sheets>
  <definedNames>
    <definedName name="_xlnm.Print_Area" localSheetId="1">Corrosion!$A$1:$DZ$101</definedName>
    <definedName name="_xlnm.Print_Area" localSheetId="4">Low!$A$1:$DZ$101</definedName>
    <definedName name="_xlnm.Print_Area" localSheetId="2">Projection!$A$1:$DZ$101</definedName>
    <definedName name="_xlnm.Print_Area" localSheetId="3">Retirement!$A$1:$DZ$101</definedName>
    <definedName name="_xlnm.Print_Area" localSheetId="0">Thickness!$A$1:$DZ$101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01" i="5" l="1"/>
  <c r="AW101" i="5"/>
  <c r="AG101" i="5"/>
  <c r="CL100" i="5"/>
  <c r="AG100" i="5"/>
  <c r="CL98" i="5"/>
  <c r="CL97" i="5"/>
  <c r="BO15" i="5"/>
  <c r="BN15" i="5"/>
  <c r="BO14" i="5"/>
  <c r="BN14" i="5"/>
  <c r="BO13" i="5"/>
  <c r="BN13" i="5"/>
  <c r="BO12" i="5"/>
  <c r="BN12" i="5"/>
  <c r="BO11" i="5"/>
  <c r="BN11" i="5"/>
  <c r="BN10" i="5"/>
  <c r="BJ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I10" i="5"/>
  <c r="AH10" i="5"/>
  <c r="AG10" i="5"/>
  <c r="AF10" i="5"/>
  <c r="AE10" i="5"/>
  <c r="AC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BN9" i="5" s="1"/>
  <c r="I10" i="5"/>
  <c r="H10" i="5"/>
  <c r="BO10" i="5" s="1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BO5" i="5" s="1"/>
  <c r="F7" i="5"/>
  <c r="E7" i="5"/>
  <c r="BN6" i="5" s="1"/>
  <c r="D7" i="5"/>
  <c r="BN5" i="5" s="1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BO4" i="5" s="1"/>
  <c r="F4" i="5"/>
  <c r="E4" i="5"/>
  <c r="BN4" i="5" s="1"/>
  <c r="D4" i="5"/>
  <c r="AG99" i="5" s="1"/>
  <c r="C1" i="5"/>
  <c r="A1" i="5"/>
  <c r="CL101" i="4"/>
  <c r="AW101" i="4"/>
  <c r="CL100" i="4"/>
  <c r="CL98" i="4"/>
  <c r="CL97" i="4"/>
  <c r="C1" i="4"/>
  <c r="A1" i="4"/>
  <c r="CL101" i="3"/>
  <c r="AW101" i="3"/>
  <c r="AG101" i="3"/>
  <c r="CL100" i="3"/>
  <c r="AG100" i="3"/>
  <c r="AG99" i="3"/>
  <c r="CL98" i="3"/>
  <c r="AG98" i="3"/>
  <c r="CL97" i="3"/>
  <c r="BO15" i="3"/>
  <c r="BN15" i="3"/>
  <c r="BO14" i="3"/>
  <c r="BN14" i="3"/>
  <c r="BO13" i="3"/>
  <c r="BN13" i="3"/>
  <c r="BO12" i="3"/>
  <c r="BN12" i="3"/>
  <c r="BO11" i="3"/>
  <c r="BN11" i="3"/>
  <c r="BO10" i="3"/>
  <c r="BN10" i="3"/>
  <c r="BO9" i="3"/>
  <c r="BN9" i="3"/>
  <c r="BO8" i="3"/>
  <c r="BN8" i="3"/>
  <c r="BO7" i="3"/>
  <c r="BN7" i="3"/>
  <c r="BO6" i="3"/>
  <c r="BN6" i="3"/>
  <c r="BO5" i="3"/>
  <c r="BN5" i="3"/>
  <c r="BO4" i="3"/>
  <c r="BN4" i="3"/>
  <c r="C1" i="3"/>
  <c r="A1" i="3"/>
  <c r="CL101" i="2"/>
  <c r="AW101" i="2"/>
  <c r="CL100" i="2"/>
  <c r="CL98" i="2"/>
  <c r="CL97" i="2"/>
  <c r="BO15" i="2"/>
  <c r="BN15" i="2"/>
  <c r="BO14" i="2"/>
  <c r="BN14" i="2"/>
  <c r="BO13" i="2"/>
  <c r="BN13" i="2"/>
  <c r="BO12" i="2"/>
  <c r="BN12" i="2"/>
  <c r="BO11" i="2"/>
  <c r="BN11" i="2"/>
  <c r="BO10" i="2"/>
  <c r="BN10" i="2"/>
  <c r="BO9" i="2"/>
  <c r="BN9" i="2"/>
  <c r="BO8" i="2"/>
  <c r="BN8" i="2"/>
  <c r="BO7" i="2"/>
  <c r="BN7" i="2"/>
  <c r="BO6" i="2"/>
  <c r="BN6" i="2"/>
  <c r="BO5" i="2"/>
  <c r="BN5" i="2"/>
  <c r="BO4" i="2"/>
  <c r="BN4" i="2"/>
  <c r="C1" i="2"/>
  <c r="A1" i="2"/>
  <c r="AG101" i="1"/>
  <c r="AG100" i="1"/>
  <c r="AG99" i="1"/>
  <c r="AG98" i="1"/>
  <c r="BO15" i="1"/>
  <c r="BN15" i="1"/>
  <c r="BO14" i="1"/>
  <c r="BN14" i="1"/>
  <c r="BO13" i="1"/>
  <c r="BN13" i="1"/>
  <c r="BO12" i="1"/>
  <c r="BN12" i="1"/>
  <c r="BO11" i="1"/>
  <c r="BN11" i="1"/>
  <c r="BO10" i="1"/>
  <c r="BN10" i="1"/>
  <c r="BO9" i="1"/>
  <c r="BN9" i="1"/>
  <c r="BO8" i="1"/>
  <c r="BN8" i="1"/>
  <c r="BO7" i="1"/>
  <c r="BN7" i="1"/>
  <c r="BO6" i="1"/>
  <c r="BN6" i="1"/>
  <c r="BO5" i="1"/>
  <c r="BN5" i="1"/>
  <c r="BO4" i="1"/>
  <c r="BN4" i="1"/>
  <c r="BO6" i="5" l="1"/>
  <c r="BN7" i="5"/>
  <c r="BO7" i="5"/>
  <c r="BN8" i="5"/>
  <c r="BO8" i="5"/>
  <c r="BO9" i="5"/>
  <c r="AG98" i="5"/>
</calcChain>
</file>

<file path=xl/sharedStrings.xml><?xml version="1.0" encoding="utf-8"?>
<sst xmlns="http://schemas.openxmlformats.org/spreadsheetml/2006/main" count="1631" uniqueCount="131">
  <si>
    <t xml:space="preserve">NC - NOT CLEAN; </t>
  </si>
  <si>
    <t>OBSTRUCTION</t>
  </si>
  <si>
    <t>TUBES NUMBERED LEFT TO RIGHT FACING WALL. THICKNESS MEASUREMENTS ARE IN INCHES.</t>
  </si>
  <si>
    <t>ORIENTATION</t>
  </si>
  <si>
    <t>ELEVATION</t>
  </si>
  <si>
    <t>LOC</t>
  </si>
  <si>
    <t>AVG</t>
  </si>
  <si>
    <t>MIN</t>
  </si>
  <si>
    <t>A</t>
  </si>
  <si>
    <t>L</t>
  </si>
  <si>
    <t>0 REFERENCE</t>
  </si>
  <si>
    <t>C</t>
  </si>
  <si>
    <t>R</t>
  </si>
  <si>
    <t>NC</t>
  </si>
  <si>
    <t>-6 FEET</t>
  </si>
  <si>
    <t>-12 FEET</t>
  </si>
  <si>
    <t>-18 FEET</t>
  </si>
  <si>
    <t>0.001-0.083</t>
  </si>
  <si>
    <t>0.204-0.233</t>
  </si>
  <si>
    <t>OUTSIDE DIAMETER:</t>
  </si>
  <si>
    <t>INSPECTION RESULTS</t>
  </si>
  <si>
    <t>APPLIED TECHNICAL SERVICES 
1049 Triad Court
Marietta, Georgia 30062
Office # (770) 423-1400
Fax # (770) 514-3299
www.atslab.com</t>
  </si>
  <si>
    <t xml:space="preserve">INTERNATIONAL PAPER </t>
  </si>
  <si>
    <t>LEGEND</t>
  </si>
  <si>
    <t>0.084-0.113</t>
  </si>
  <si>
    <t>0.234-0.263</t>
  </si>
  <si>
    <t>TUBE MATERIAL:</t>
  </si>
  <si>
    <t>SA-210A1</t>
  </si>
  <si>
    <t>MAX. THICKNESS</t>
  </si>
  <si>
    <t>RIVERDALE MILL</t>
  </si>
  <si>
    <t>0.114-0.143</t>
  </si>
  <si>
    <t>0.264-0.293</t>
  </si>
  <si>
    <t>NOMINAL WALL:</t>
  </si>
  <si>
    <t>AVG. THICKNESS</t>
  </si>
  <si>
    <t>TUBE WALL THICKNESS SURVEY</t>
  </si>
  <si>
    <t>0.144-0.173</t>
  </si>
  <si>
    <t>0.294-0.323</t>
  </si>
  <si>
    <t>ASME MIN:</t>
  </si>
  <si>
    <t>MIN. THICKNESS</t>
  </si>
  <si>
    <t>NO. 1 RECOVERY BOILER</t>
  </si>
  <si>
    <t>0.174-0.203</t>
  </si>
  <si>
    <t>0.324-0.999</t>
  </si>
  <si>
    <t>MILL FLAG:</t>
  </si>
  <si>
    <t>STD DEV.</t>
  </si>
  <si>
    <t>Job #  H449364  P.O. #  0018342455 W.O. #  N/A   Date:  5/05/2025</t>
  </si>
  <si>
    <t>01 FLOOR</t>
  </si>
  <si>
    <t>THICKNESS</t>
  </si>
  <si>
    <t>APPLIED TECHNICAL SERVICES 
1325-B Cavalier Boulevard               Chesapeake, Virginia 23323                (757) 558-0016 Fax (757) 558-0063
www.atslab.com</t>
  </si>
  <si>
    <t>APPLIED TECHNICAL SERVICES 
2312 Commerce Ctr. Dr., Suite A                           Rockville, Virginia 23146                          (804) 550-7610 Fax (804) 550-7611                           www.atslab.com</t>
  </si>
  <si>
    <t>TUBES NUMBERED LEFT TO RIGHT FACING WALL.  CORROSION RATE MEASUREMENTS ARE IN MILS.</t>
  </si>
  <si>
    <t>MAX</t>
  </si>
  <si>
    <t>ND</t>
  </si>
  <si>
    <t/>
  </si>
  <si>
    <t>CORROSION RATE (mpy):</t>
  </si>
  <si>
    <t>NOTE:  CORROSION RATES ARE BASED ON COMPARISON OF</t>
  </si>
  <si>
    <t>TEST RESULTS</t>
  </si>
  <si>
    <t>&lt; 0 mpy (LOSS) or no data</t>
  </si>
  <si>
    <t>OVERALL CORROSION RATE (mils per year):</t>
  </si>
  <si>
    <t>0-10 mpy (LOSS)</t>
  </si>
  <si>
    <t>2020, 2022, 2023, 2024, 2025</t>
  </si>
  <si>
    <t>CALCULATED CORROSION RATE</t>
  </si>
  <si>
    <t>10-20 mpy (LOSS)</t>
  </si>
  <si>
    <t>INSPECTION DATA</t>
  </si>
  <si>
    <t>&gt; 20 mpy (LOSS)</t>
  </si>
  <si>
    <t xml:space="preserve"> NO COMPARISON DATA</t>
  </si>
  <si>
    <t>CORROSION</t>
  </si>
  <si>
    <t>TUBES NUMBERED LEFT TO RIGHT FACING WALL. PROJECTED THICKNESS MEASUREMENTS ARE IN INCHES.</t>
  </si>
  <si>
    <t>FUTURE PROJECTION</t>
  </si>
  <si>
    <t>PROJECTED TUBE WALL THICKNESS - 5 YEARS</t>
  </si>
  <si>
    <t>PROJECTION</t>
  </si>
  <si>
    <t xml:space="preserve">TUBES NUMBERED LEFT TO RIGHT FACING WALL. </t>
  </si>
  <si>
    <t>Year</t>
  </si>
  <si>
    <t>May 2055</t>
  </si>
  <si>
    <t>Feb 2052</t>
  </si>
  <si>
    <t>Feb 2044</t>
  </si>
  <si>
    <t>Feb 2047</t>
  </si>
  <si>
    <t>Apr 2053</t>
  </si>
  <si>
    <t>Apr 2050</t>
  </si>
  <si>
    <t>May 2051</t>
  </si>
  <si>
    <t>Feb 2055</t>
  </si>
  <si>
    <t>Mar 2052</t>
  </si>
  <si>
    <t>Jul 2053</t>
  </si>
  <si>
    <t>Mar 2043</t>
  </si>
  <si>
    <t>Oct 2051</t>
  </si>
  <si>
    <t>Aug 2041</t>
  </si>
  <si>
    <t>Sep 2054</t>
  </si>
  <si>
    <t>Apr 2054</t>
  </si>
  <si>
    <t>Aug 2043</t>
  </si>
  <si>
    <t>Dec 2048</t>
  </si>
  <si>
    <t>Jul 2054</t>
  </si>
  <si>
    <t>Mar 2054</t>
  </si>
  <si>
    <t>Dec 2050</t>
  </si>
  <si>
    <t>Apr 2046</t>
  </si>
  <si>
    <t>Jan 2053</t>
  </si>
  <si>
    <t>Nov 2054</t>
  </si>
  <si>
    <t>Feb 2046</t>
  </si>
  <si>
    <t>Mar 2039</t>
  </si>
  <si>
    <t>Jul 2045</t>
  </si>
  <si>
    <t>Jul 2040</t>
  </si>
  <si>
    <t>Jan 2048</t>
  </si>
  <si>
    <t>Dec 2047</t>
  </si>
  <si>
    <t>Nov 2050</t>
  </si>
  <si>
    <t>Feb 2039</t>
  </si>
  <si>
    <t>Apr 2047</t>
  </si>
  <si>
    <t>Sep 2041</t>
  </si>
  <si>
    <t>Oct 2054</t>
  </si>
  <si>
    <t>Mar 2055</t>
  </si>
  <si>
    <t>Nov 2051</t>
  </si>
  <si>
    <t>Jan 2052</t>
  </si>
  <si>
    <t>Apr 2048</t>
  </si>
  <si>
    <t>May 2045</t>
  </si>
  <si>
    <t>Dec 2049</t>
  </si>
  <si>
    <t>Aug 2035</t>
  </si>
  <si>
    <t>Oct 2044</t>
  </si>
  <si>
    <t>Jan 2041</t>
  </si>
  <si>
    <t>Sep 2044</t>
  </si>
  <si>
    <t>Jan 2050</t>
  </si>
  <si>
    <r>
      <t>PROJECTED TO REACH T</t>
    </r>
    <r>
      <rPr>
        <sz val="14"/>
        <rFont val="Arial"/>
        <family val="2"/>
      </rPr>
      <t>MIN</t>
    </r>
    <r>
      <rPr>
        <sz val="20"/>
        <rFont val="Arial"/>
        <family val="2"/>
      </rPr>
      <t>:</t>
    </r>
  </si>
  <si>
    <t>NOTE:  CORROSION RATE IS BASED ON COMPARISON OF</t>
  </si>
  <si>
    <t>EARLIEST DATE OF PROJECTED RETIREMENT:</t>
  </si>
  <si>
    <t>+ 5 YEARS (or no data)</t>
  </si>
  <si>
    <t>WITHIN 5 YEARS</t>
  </si>
  <si>
    <t>PROJECTED TUBE RETIREMENT DATE</t>
  </si>
  <si>
    <t>WITHIN 3 YEARS</t>
  </si>
  <si>
    <t>August 2035</t>
  </si>
  <si>
    <t>WITHIN 1 YEAR</t>
  </si>
  <si>
    <t>RETIREMENT</t>
  </si>
  <si>
    <t>TUBES NUMBERED LEFT TO RIGHT FACING WALL.  LOW THICKNESS MEASUREMENTS ARE IN INCHES.</t>
  </si>
  <si>
    <t>LOWEST</t>
  </si>
  <si>
    <t>TUBE WALL THICKNESS SURVEY (LOW VALUE)</t>
  </si>
  <si>
    <t>LOW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</si>
</sst>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.000"/>
    <numFmt numFmtId="166" formatCode="0.0"/>
    <numFmt numFmtId="167" formatCode="[$-409]mmmm\ yyyy;@"/>
    <numFmt numFmtId="168" formatCode="#.###"/>
    <numFmt numFmtId="169" formatCode="#.0"/>
    <numFmt numFmtId="170" formatCode="#.00"/>
  </numFmts>
  <fonts count="2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6"/>
      <name val="Arial"/>
      <family val="2"/>
    </font>
    <font>
      <b/>
      <sz val="18"/>
      <color indexed="12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indexed="12"/>
      <name val="Arial"/>
      <family val="2"/>
    </font>
    <font>
      <b/>
      <sz val="18"/>
      <color indexed="10"/>
      <name val="Arial"/>
      <family val="2"/>
    </font>
    <font>
      <b/>
      <sz val="55"/>
      <name val="Arial"/>
      <family val="2"/>
    </font>
    <font>
      <b/>
      <sz val="20"/>
      <color theme="0"/>
      <name val="Arial"/>
      <family val="2"/>
    </font>
    <font>
      <i/>
      <sz val="36"/>
      <color rgb="FF7030A0"/>
      <name val="Arial"/>
      <family val="2"/>
    </font>
    <font>
      <i/>
      <sz val="16"/>
      <color rgb="FF7030A0"/>
      <name val="Arial"/>
      <family val="2"/>
    </font>
    <font>
      <sz val="20"/>
      <color rgb="FF7030A0"/>
      <name val="Arial"/>
      <family val="2"/>
    </font>
    <font>
      <b/>
      <sz val="36"/>
      <color rgb="FF7030A0"/>
      <name val="Arial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C000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2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textRotation="180"/>
    </xf>
    <xf numFmtId="1" fontId="7" fillId="0" borderId="1" xfId="0" applyNumberFormat="1" applyFont="1" applyBorder="1" applyAlignment="1">
      <alignment horizontal="center" vertical="center" textRotation="180"/>
    </xf>
    <xf numFmtId="1" fontId="7" fillId="0" borderId="9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 textRotation="180"/>
    </xf>
    <xf numFmtId="1" fontId="7" fillId="0" borderId="28" xfId="0" applyNumberFormat="1" applyFont="1" applyBorder="1" applyAlignment="1">
      <alignment horizontal="center" vertical="center" textRotation="180"/>
    </xf>
    <xf numFmtId="1" fontId="7" fillId="0" borderId="29" xfId="0" applyNumberFormat="1" applyFont="1" applyBorder="1" applyAlignment="1">
      <alignment horizontal="center" vertical="center" textRotation="180"/>
    </xf>
    <xf numFmtId="1" fontId="7" fillId="0" borderId="30" xfId="0" applyNumberFormat="1" applyFont="1" applyBorder="1" applyAlignment="1">
      <alignment horizontal="center" vertical="center" textRotation="180"/>
    </xf>
    <xf numFmtId="1" fontId="2" fillId="0" borderId="31" xfId="0" applyNumberFormat="1" applyFont="1" applyBorder="1" applyAlignment="1">
      <alignment horizontal="center" vertical="center" textRotation="180"/>
    </xf>
    <xf numFmtId="1" fontId="2" fillId="0" borderId="30" xfId="0" applyNumberFormat="1" applyFont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8" fontId="6" fillId="30" borderId="15" xfId="0" applyNumberFormat="1" applyFont="1" applyFill="1" applyBorder="1" applyAlignment="1">
      <alignment horizontal="center" vertical="center" textRotation="180"/>
    </xf>
    <xf numFmtId="168" fontId="6" fillId="30" borderId="16" xfId="0" applyNumberFormat="1" applyFont="1" applyFill="1" applyBorder="1" applyAlignment="1">
      <alignment horizontal="center" vertical="center" textRotation="180"/>
    </xf>
    <xf numFmtId="168" fontId="6" fillId="30" borderId="19" xfId="0" applyNumberFormat="1" applyFont="1" applyFill="1" applyBorder="1" applyAlignment="1">
      <alignment horizontal="center" vertical="center" textRotation="180"/>
    </xf>
    <xf numFmtId="168" fontId="6" fillId="30" borderId="18" xfId="0" applyNumberFormat="1" applyFont="1" applyFill="1" applyBorder="1" applyAlignment="1">
      <alignment horizontal="center" vertical="center" textRotation="180"/>
    </xf>
    <xf numFmtId="168" fontId="6" fillId="30" borderId="20" xfId="0" applyNumberFormat="1" applyFont="1" applyFill="1" applyBorder="1" applyAlignment="1">
      <alignment horizontal="center" vertical="center" textRotation="180"/>
    </xf>
    <xf numFmtId="168" fontId="6" fillId="30" borderId="22" xfId="0" applyNumberFormat="1" applyFont="1" applyFill="1" applyBorder="1" applyAlignment="1">
      <alignment horizontal="center" vertical="center" textRotation="180"/>
    </xf>
    <xf numFmtId="169" fontId="6" fillId="30" borderId="18" xfId="0" applyNumberFormat="1" applyFont="1" applyFill="1" applyBorder="1" applyAlignment="1">
      <alignment horizontal="center" vertical="center" textRotation="180"/>
    </xf>
    <xf numFmtId="168" fontId="6" fillId="30" borderId="21" xfId="0" applyNumberFormat="1" applyFont="1" applyFill="1" applyBorder="1" applyAlignment="1">
      <alignment horizontal="center" vertical="center" textRotation="180"/>
    </xf>
    <xf numFmtId="169" fontId="6" fillId="30" borderId="16" xfId="0" applyNumberFormat="1" applyFont="1" applyFill="1" applyBorder="1" applyAlignment="1">
      <alignment horizontal="center" vertical="center" textRotation="180"/>
    </xf>
    <xf numFmtId="169" fontId="6" fillId="30" borderId="19" xfId="0" applyNumberFormat="1" applyFont="1" applyFill="1" applyBorder="1" applyAlignment="1">
      <alignment horizontal="center" vertical="center" textRotation="180"/>
    </xf>
    <xf numFmtId="168" fontId="6" fillId="30" borderId="23" xfId="0" applyNumberFormat="1" applyFont="1" applyFill="1" applyBorder="1" applyAlignment="1">
      <alignment horizontal="center" vertical="center" textRotation="180"/>
    </xf>
    <xf numFmtId="168" fontId="6" fillId="31" borderId="16" xfId="0" applyNumberFormat="1" applyFont="1" applyFill="1" applyBorder="1" applyAlignment="1">
      <alignment horizontal="center" vertical="center" textRotation="180"/>
    </xf>
    <xf numFmtId="168" fontId="6" fillId="30" borderId="24" xfId="0" applyNumberFormat="1" applyFont="1" applyFill="1" applyBorder="1" applyAlignment="1">
      <alignment horizontal="center" vertical="center" textRotation="180"/>
    </xf>
    <xf numFmtId="169" fontId="6" fillId="30" borderId="21" xfId="0" applyNumberFormat="1" applyFont="1" applyFill="1" applyBorder="1" applyAlignment="1">
      <alignment horizontal="center" vertical="center" textRotation="180"/>
    </xf>
    <xf numFmtId="169" fontId="6" fillId="30" borderId="22" xfId="0" applyNumberFormat="1" applyFont="1" applyFill="1" applyBorder="1" applyAlignment="1">
      <alignment horizontal="center" vertical="center" textRotation="180"/>
    </xf>
    <xf numFmtId="169" fontId="6" fillId="30" borderId="24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8" fontId="6" fillId="30" borderId="17" xfId="0" applyNumberFormat="1" applyFont="1" applyFill="1" applyBorder="1" applyAlignment="1">
      <alignment horizontal="center" vertical="center" textRotation="180"/>
    </xf>
    <xf numFmtId="169" fontId="6" fillId="30" borderId="23" xfId="0" applyNumberFormat="1" applyFont="1" applyFill="1" applyBorder="1" applyAlignment="1">
      <alignment horizontal="center" vertical="center" textRotation="180"/>
    </xf>
    <xf numFmtId="169" fontId="6" fillId="30" borderId="20" xfId="0" applyNumberFormat="1" applyFont="1" applyFill="1" applyBorder="1" applyAlignment="1">
      <alignment horizontal="center" vertical="center" textRotation="180"/>
    </xf>
    <xf numFmtId="170" fontId="6" fillId="30" borderId="18" xfId="0" applyNumberFormat="1" applyFont="1" applyFill="1" applyBorder="1" applyAlignment="1">
      <alignment horizontal="center" vertical="center" textRotation="180"/>
    </xf>
    <xf numFmtId="168" fontId="6" fillId="31" borderId="22" xfId="0" applyNumberFormat="1" applyFont="1" applyFill="1" applyBorder="1" applyAlignment="1">
      <alignment horizontal="center" vertical="center" textRotation="180"/>
    </xf>
    <xf numFmtId="170" fontId="6" fillId="30" borderId="21" xfId="0" applyNumberFormat="1" applyFont="1" applyFill="1" applyBorder="1" applyAlignment="1">
      <alignment horizontal="center" vertical="center" textRotation="180"/>
    </xf>
    <xf numFmtId="168" fontId="6" fillId="31" borderId="23" xfId="0" applyNumberFormat="1" applyFont="1" applyFill="1" applyBorder="1" applyAlignment="1">
      <alignment horizontal="center" vertical="center" textRotation="180"/>
    </xf>
    <xf numFmtId="168" fontId="6" fillId="31" borderId="24" xfId="0" applyNumberFormat="1" applyFont="1" applyFill="1" applyBorder="1" applyAlignment="1">
      <alignment horizontal="center" vertical="center" textRotation="180"/>
    </xf>
    <xf numFmtId="168" fontId="6" fillId="31" borderId="20" xfId="0" applyNumberFormat="1" applyFont="1" applyFill="1" applyBorder="1" applyAlignment="1">
      <alignment horizontal="center" vertical="center" textRotation="180"/>
    </xf>
    <xf numFmtId="165" fontId="14" fillId="9" borderId="2" xfId="0" applyNumberFormat="1" applyFont="1" applyFill="1" applyBorder="1" applyAlignment="1">
      <alignment horizontal="center" vertical="center"/>
    </xf>
    <xf numFmtId="165" fontId="14" fillId="20" borderId="2" xfId="0" applyNumberFormat="1" applyFont="1" applyFill="1" applyBorder="1" applyAlignment="1">
      <alignment horizontal="center" vertical="center"/>
    </xf>
    <xf numFmtId="165" fontId="14" fillId="21" borderId="2" xfId="0" applyNumberFormat="1" applyFont="1" applyFill="1" applyBorder="1" applyAlignment="1">
      <alignment horizontal="center" vertical="center"/>
    </xf>
    <xf numFmtId="165" fontId="14" fillId="22" borderId="2" xfId="0" applyNumberFormat="1" applyFont="1" applyFill="1" applyBorder="1" applyAlignment="1">
      <alignment horizontal="center" vertical="center"/>
    </xf>
    <xf numFmtId="165" fontId="14" fillId="23" borderId="2" xfId="0" applyNumberFormat="1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textRotation="180"/>
    </xf>
    <xf numFmtId="1" fontId="7" fillId="0" borderId="33" xfId="0" applyNumberFormat="1" applyFont="1" applyBorder="1" applyAlignment="1">
      <alignment horizontal="center" vertical="center" textRotation="180"/>
    </xf>
    <xf numFmtId="1" fontId="7" fillId="0" borderId="32" xfId="0" applyNumberFormat="1" applyFont="1" applyBorder="1" applyAlignment="1">
      <alignment horizontal="center" vertical="center" textRotation="180"/>
    </xf>
    <xf numFmtId="1" fontId="7" fillId="0" borderId="34" xfId="0" applyNumberFormat="1" applyFont="1" applyBorder="1" applyAlignment="1">
      <alignment horizontal="center" vertical="center" textRotation="180"/>
    </xf>
    <xf numFmtId="165" fontId="6" fillId="32" borderId="23" xfId="0" applyNumberFormat="1" applyFont="1" applyFill="1" applyBorder="1" applyAlignment="1">
      <alignment horizontal="center" vertical="center" textRotation="180"/>
    </xf>
    <xf numFmtId="165" fontId="6" fillId="32" borderId="18" xfId="0" applyNumberFormat="1" applyFont="1" applyFill="1" applyBorder="1" applyAlignment="1">
      <alignment horizontal="center" vertical="center" textRotation="180"/>
    </xf>
    <xf numFmtId="165" fontId="6" fillId="32" borderId="19" xfId="0" applyNumberFormat="1" applyFont="1" applyFill="1" applyBorder="1" applyAlignment="1">
      <alignment horizontal="center" vertical="center" textRotation="180"/>
    </xf>
    <xf numFmtId="165" fontId="6" fillId="32" borderId="3" xfId="0" applyNumberFormat="1" applyFont="1" applyFill="1" applyBorder="1" applyAlignment="1">
      <alignment horizontal="center" vertical="center" textRotation="180"/>
    </xf>
    <xf numFmtId="165" fontId="6" fillId="32" borderId="20" xfId="0" applyNumberFormat="1" applyFont="1" applyFill="1" applyBorder="1" applyAlignment="1">
      <alignment horizontal="center" vertical="center" textRotation="180"/>
    </xf>
    <xf numFmtId="165" fontId="6" fillId="32" borderId="22" xfId="0" applyNumberFormat="1" applyFont="1" applyFill="1" applyBorder="1" applyAlignment="1">
      <alignment horizontal="center" vertical="center" textRotation="180"/>
    </xf>
    <xf numFmtId="165" fontId="6" fillId="32" borderId="16" xfId="0" applyNumberFormat="1" applyFont="1" applyFill="1" applyBorder="1" applyAlignment="1">
      <alignment horizontal="center" vertical="center" textRotation="180"/>
    </xf>
    <xf numFmtId="165" fontId="6" fillId="32" borderId="0" xfId="0" applyNumberFormat="1" applyFont="1" applyFill="1" applyAlignment="1">
      <alignment horizontal="center" vertical="center" textRotation="180"/>
    </xf>
    <xf numFmtId="165" fontId="6" fillId="32" borderId="21" xfId="0" applyNumberFormat="1" applyFont="1" applyFill="1" applyBorder="1" applyAlignment="1">
      <alignment horizontal="center" vertical="center" textRotation="180"/>
    </xf>
    <xf numFmtId="165" fontId="6" fillId="30" borderId="22" xfId="0" applyNumberFormat="1" applyFont="1" applyFill="1" applyBorder="1" applyAlignment="1">
      <alignment horizontal="center" vertical="center" textRotation="180"/>
    </xf>
    <xf numFmtId="168" fontId="6" fillId="30" borderId="0" xfId="0" applyNumberFormat="1" applyFont="1" applyFill="1" applyAlignment="1">
      <alignment horizontal="center" vertical="center" textRotation="180"/>
    </xf>
    <xf numFmtId="169" fontId="6" fillId="30" borderId="0" xfId="0" applyNumberFormat="1" applyFont="1" applyFill="1" applyAlignment="1">
      <alignment horizontal="center" vertical="center" textRotation="180"/>
    </xf>
    <xf numFmtId="170" fontId="6" fillId="30" borderId="0" xfId="0" applyNumberFormat="1" applyFont="1" applyFill="1" applyAlignment="1">
      <alignment horizontal="center" vertical="center" textRotation="180"/>
    </xf>
    <xf numFmtId="170" fontId="6" fillId="30" borderId="20" xfId="0" applyNumberFormat="1" applyFont="1" applyFill="1" applyBorder="1" applyAlignment="1">
      <alignment horizontal="center" vertical="center" textRotation="180"/>
    </xf>
    <xf numFmtId="168" fontId="6" fillId="33" borderId="20" xfId="0" applyNumberFormat="1" applyFont="1" applyFill="1" applyBorder="1" applyAlignment="1">
      <alignment horizontal="center" vertical="center" textRotation="180"/>
    </xf>
    <xf numFmtId="165" fontId="6" fillId="30" borderId="18" xfId="0" applyNumberFormat="1" applyFont="1" applyFill="1" applyBorder="1" applyAlignment="1">
      <alignment horizontal="center" vertical="center" textRotation="180"/>
    </xf>
    <xf numFmtId="165" fontId="6" fillId="30" borderId="21" xfId="0" applyNumberFormat="1" applyFont="1" applyFill="1" applyBorder="1" applyAlignment="1">
      <alignment horizontal="center" vertical="center" textRotation="180"/>
    </xf>
    <xf numFmtId="169" fontId="6" fillId="30" borderId="3" xfId="0" applyNumberFormat="1" applyFont="1" applyFill="1" applyBorder="1" applyAlignment="1">
      <alignment horizontal="center" vertical="center" textRotation="180"/>
    </xf>
    <xf numFmtId="165" fontId="6" fillId="30" borderId="20" xfId="0" applyNumberFormat="1" applyFont="1" applyFill="1" applyBorder="1" applyAlignment="1">
      <alignment horizontal="center" vertical="center" textRotation="180"/>
    </xf>
    <xf numFmtId="170" fontId="6" fillId="30" borderId="23" xfId="0" applyNumberFormat="1" applyFont="1" applyFill="1" applyBorder="1" applyAlignment="1">
      <alignment horizontal="center" vertical="center" textRotation="180"/>
    </xf>
    <xf numFmtId="170" fontId="6" fillId="30" borderId="24" xfId="0" applyNumberFormat="1" applyFont="1" applyFill="1" applyBorder="1" applyAlignment="1">
      <alignment horizontal="center" vertical="center" textRotation="180"/>
    </xf>
    <xf numFmtId="168" fontId="6" fillId="33" borderId="16" xfId="0" applyNumberFormat="1" applyFont="1" applyFill="1" applyBorder="1" applyAlignment="1">
      <alignment horizontal="center" vertical="center" textRotation="180"/>
    </xf>
    <xf numFmtId="168" fontId="6" fillId="33" borderId="19" xfId="0" applyNumberFormat="1" applyFont="1" applyFill="1" applyBorder="1" applyAlignment="1">
      <alignment horizontal="center" vertical="center" textRotation="180"/>
    </xf>
    <xf numFmtId="169" fontId="6" fillId="33" borderId="16" xfId="0" applyNumberFormat="1" applyFont="1" applyFill="1" applyBorder="1" applyAlignment="1">
      <alignment horizontal="center" vertical="center" textRotation="180"/>
    </xf>
    <xf numFmtId="168" fontId="6" fillId="33" borderId="0" xfId="0" applyNumberFormat="1" applyFont="1" applyFill="1" applyAlignment="1">
      <alignment horizontal="center" vertical="center" textRotation="180"/>
    </xf>
    <xf numFmtId="168" fontId="6" fillId="31" borderId="0" xfId="0" applyNumberFormat="1" applyFont="1" applyFill="1" applyAlignment="1">
      <alignment horizontal="center" vertical="center" textRotation="180"/>
    </xf>
    <xf numFmtId="169" fontId="6" fillId="33" borderId="23" xfId="0" applyNumberFormat="1" applyFont="1" applyFill="1" applyBorder="1" applyAlignment="1">
      <alignment horizontal="center" vertical="center" textRotation="180"/>
    </xf>
    <xf numFmtId="165" fontId="6" fillId="30" borderId="23" xfId="0" applyNumberFormat="1" applyFont="1" applyFill="1" applyBorder="1" applyAlignment="1">
      <alignment horizontal="center" vertical="center" textRotation="180"/>
    </xf>
    <xf numFmtId="168" fontId="6" fillId="33" borderId="17" xfId="0" applyNumberFormat="1" applyFont="1" applyFill="1" applyBorder="1" applyAlignment="1">
      <alignment horizontal="center" vertical="center" textRotation="180"/>
    </xf>
    <xf numFmtId="168" fontId="6" fillId="33" borderId="18" xfId="0" applyNumberFormat="1" applyFont="1" applyFill="1" applyBorder="1" applyAlignment="1">
      <alignment horizontal="center" vertical="center" textRotation="180"/>
    </xf>
    <xf numFmtId="168" fontId="6" fillId="33" borderId="24" xfId="0" applyNumberFormat="1" applyFont="1" applyFill="1" applyBorder="1" applyAlignment="1">
      <alignment horizontal="center" vertical="center" textRotation="180"/>
    </xf>
    <xf numFmtId="168" fontId="6" fillId="31" borderId="21" xfId="0" applyNumberFormat="1" applyFont="1" applyFill="1" applyBorder="1" applyAlignment="1">
      <alignment horizontal="center" vertical="center" textRotation="180"/>
    </xf>
    <xf numFmtId="168" fontId="6" fillId="34" borderId="15" xfId="0" applyNumberFormat="1" applyFont="1" applyFill="1" applyBorder="1" applyAlignment="1">
      <alignment horizontal="center" vertical="center" textRotation="180"/>
    </xf>
    <xf numFmtId="168" fontId="6" fillId="34" borderId="16" xfId="0" applyNumberFormat="1" applyFont="1" applyFill="1" applyBorder="1" applyAlignment="1">
      <alignment horizontal="center" vertical="center" textRotation="180"/>
    </xf>
    <xf numFmtId="168" fontId="6" fillId="33" borderId="22" xfId="0" applyNumberFormat="1" applyFont="1" applyFill="1" applyBorder="1" applyAlignment="1">
      <alignment horizontal="center" vertical="center" textRotation="180"/>
    </xf>
    <xf numFmtId="169" fontId="6" fillId="34" borderId="16" xfId="0" applyNumberFormat="1" applyFont="1" applyFill="1" applyBorder="1" applyAlignment="1">
      <alignment horizontal="center" vertical="center" textRotation="180"/>
    </xf>
    <xf numFmtId="168" fontId="6" fillId="34" borderId="3" xfId="0" applyNumberFormat="1" applyFont="1" applyFill="1" applyBorder="1" applyAlignment="1">
      <alignment horizontal="center" vertical="center" textRotation="180"/>
    </xf>
    <xf numFmtId="168" fontId="6" fillId="34" borderId="0" xfId="0" applyNumberFormat="1" applyFont="1" applyFill="1" applyAlignment="1">
      <alignment horizontal="center" vertical="center" textRotation="180"/>
    </xf>
    <xf numFmtId="170" fontId="6" fillId="33" borderId="0" xfId="0" applyNumberFormat="1" applyFont="1" applyFill="1" applyAlignment="1">
      <alignment horizontal="center" vertical="center" textRotation="180"/>
    </xf>
    <xf numFmtId="165" fontId="6" fillId="30" borderId="0" xfId="0" applyNumberFormat="1" applyFont="1" applyFill="1" applyAlignment="1">
      <alignment horizontal="center" vertical="center" textRotation="180"/>
    </xf>
    <xf numFmtId="169" fontId="6" fillId="33" borderId="20" xfId="0" applyNumberFormat="1" applyFont="1" applyFill="1" applyBorder="1" applyAlignment="1">
      <alignment horizontal="center" vertical="center" textRotation="180"/>
    </xf>
    <xf numFmtId="168" fontId="6" fillId="33" borderId="23" xfId="0" applyNumberFormat="1" applyFont="1" applyFill="1" applyBorder="1" applyAlignment="1">
      <alignment horizontal="center" vertical="center" textRotation="180"/>
    </xf>
    <xf numFmtId="168" fontId="6" fillId="34" borderId="20" xfId="0" applyNumberFormat="1" applyFont="1" applyFill="1" applyBorder="1" applyAlignment="1">
      <alignment horizontal="center" vertical="center" textRotation="180"/>
    </xf>
    <xf numFmtId="168" fontId="6" fillId="34" borderId="23" xfId="0" applyNumberFormat="1" applyFont="1" applyFill="1" applyBorder="1" applyAlignment="1">
      <alignment horizontal="center" vertical="center" textRotation="180"/>
    </xf>
    <xf numFmtId="169" fontId="6" fillId="33" borderId="0" xfId="0" applyNumberFormat="1" applyFont="1" applyFill="1" applyAlignment="1">
      <alignment horizontal="center" vertical="center" textRotation="180"/>
    </xf>
    <xf numFmtId="169" fontId="6" fillId="33" borderId="24" xfId="0" applyNumberFormat="1" applyFont="1" applyFill="1" applyBorder="1" applyAlignment="1">
      <alignment horizontal="center" vertical="center" textRotation="180"/>
    </xf>
    <xf numFmtId="168" fontId="6" fillId="33" borderId="21" xfId="0" applyNumberFormat="1" applyFont="1" applyFill="1" applyBorder="1" applyAlignment="1">
      <alignment horizontal="center" vertical="center" textRotation="180"/>
    </xf>
    <xf numFmtId="170" fontId="6" fillId="33" borderId="18" xfId="0" applyNumberFormat="1" applyFont="1" applyFill="1" applyBorder="1" applyAlignment="1">
      <alignment horizontal="center" vertical="center" textRotation="180"/>
    </xf>
    <xf numFmtId="169" fontId="6" fillId="33" borderId="18" xfId="0" applyNumberFormat="1" applyFont="1" applyFill="1" applyBorder="1" applyAlignment="1">
      <alignment horizontal="center" vertical="center" textRotation="180"/>
    </xf>
    <xf numFmtId="0" fontId="3" fillId="4" borderId="6" xfId="0" applyFont="1" applyFill="1" applyBorder="1" applyAlignment="1">
      <alignment horizontal="center" vertical="center" shrinkToFit="1"/>
    </xf>
    <xf numFmtId="0" fontId="3" fillId="4" borderId="4" xfId="0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horizontal="center" vertical="center" shrinkToFit="1"/>
    </xf>
    <xf numFmtId="165" fontId="17" fillId="0" borderId="12" xfId="0" applyNumberFormat="1" applyFont="1" applyBorder="1" applyAlignment="1">
      <alignment horizontal="center" vertical="center" textRotation="180"/>
    </xf>
    <xf numFmtId="165" fontId="6" fillId="19" borderId="25" xfId="0" applyNumberFormat="1" applyFont="1" applyFill="1" applyBorder="1" applyAlignment="1">
      <alignment horizontal="center" vertical="center" textRotation="180"/>
    </xf>
    <xf numFmtId="165" fontId="6" fillId="19" borderId="26" xfId="0" applyNumberFormat="1" applyFont="1" applyFill="1" applyBorder="1" applyAlignment="1">
      <alignment horizontal="center" vertical="center" textRotation="180"/>
    </xf>
    <xf numFmtId="165" fontId="6" fillId="19" borderId="27" xfId="0" applyNumberFormat="1" applyFont="1" applyFill="1" applyBorder="1" applyAlignment="1">
      <alignment horizontal="center" vertical="center" textRotation="180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5" fontId="14" fillId="24" borderId="2" xfId="0" applyNumberFormat="1" applyFont="1" applyFill="1" applyBorder="1" applyAlignment="1">
      <alignment horizontal="center" vertical="center"/>
    </xf>
    <xf numFmtId="165" fontId="14" fillId="16" borderId="2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65" fontId="3" fillId="4" borderId="3" xfId="0" applyNumberFormat="1" applyFont="1" applyFill="1" applyBorder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49" fontId="9" fillId="2" borderId="13" xfId="0" applyNumberFormat="1" applyFont="1" applyFill="1" applyBorder="1" applyAlignment="1">
      <alignment horizontal="center" vertical="center" shrinkToFit="1"/>
    </xf>
    <xf numFmtId="49" fontId="9" fillId="2" borderId="14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textRotation="90"/>
    </xf>
    <xf numFmtId="165" fontId="14" fillId="25" borderId="2" xfId="0" applyNumberFormat="1" applyFont="1" applyFill="1" applyBorder="1" applyAlignment="1">
      <alignment horizontal="center" vertical="center"/>
    </xf>
    <xf numFmtId="165" fontId="14" fillId="17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4" fillId="29" borderId="5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14" fillId="26" borderId="2" xfId="0" applyNumberFormat="1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5" fontId="24" fillId="28" borderId="3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14" fillId="27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24" fillId="29" borderId="3" xfId="0" applyNumberFormat="1" applyFont="1" applyFill="1" applyBorder="1" applyAlignment="1">
      <alignment horizontal="center" vertical="center"/>
    </xf>
    <xf numFmtId="165" fontId="14" fillId="28" borderId="2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5" fontId="25" fillId="29" borderId="6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 shrinkToFit="1"/>
    </xf>
    <xf numFmtId="0" fontId="3" fillId="6" borderId="4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166" fontId="20" fillId="0" borderId="3" xfId="0" applyNumberFormat="1" applyFont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6" fontId="20" fillId="0" borderId="7" xfId="0" applyNumberFormat="1" applyFont="1" applyBorder="1" applyAlignment="1">
      <alignment horizontal="center" vertical="center"/>
    </xf>
    <xf numFmtId="166" fontId="20" fillId="0" borderId="6" xfId="0" applyNumberFormat="1" applyFont="1" applyBorder="1" applyAlignment="1">
      <alignment horizontal="center" vertical="center"/>
    </xf>
    <xf numFmtId="166" fontId="20" fillId="0" borderId="4" xfId="0" applyNumberFormat="1" applyFont="1" applyBorder="1" applyAlignment="1">
      <alignment horizontal="center" vertical="center"/>
    </xf>
    <xf numFmtId="166" fontId="20" fillId="0" borderId="11" xfId="0" applyNumberFormat="1" applyFont="1" applyBorder="1" applyAlignment="1">
      <alignment horizontal="center" vertical="center"/>
    </xf>
    <xf numFmtId="165" fontId="15" fillId="7" borderId="10" xfId="0" applyNumberFormat="1" applyFont="1" applyFill="1" applyBorder="1" applyAlignment="1">
      <alignment horizontal="center" vertical="center"/>
    </xf>
    <xf numFmtId="165" fontId="15" fillId="7" borderId="13" xfId="0" applyNumberFormat="1" applyFont="1" applyFill="1" applyBorder="1" applyAlignment="1">
      <alignment horizontal="center" vertical="center"/>
    </xf>
    <xf numFmtId="165" fontId="15" fillId="7" borderId="14" xfId="0" applyNumberFormat="1" applyFont="1" applyFill="1" applyBorder="1" applyAlignment="1">
      <alignment horizontal="center" vertical="center"/>
    </xf>
    <xf numFmtId="165" fontId="14" fillId="0" borderId="10" xfId="0" applyNumberFormat="1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165" fontId="14" fillId="10" borderId="10" xfId="0" applyNumberFormat="1" applyFont="1" applyFill="1" applyBorder="1" applyAlignment="1">
      <alignment horizontal="center" vertical="center"/>
    </xf>
    <xf numFmtId="165" fontId="14" fillId="10" borderId="13" xfId="0" applyNumberFormat="1" applyFont="1" applyFill="1" applyBorder="1" applyAlignment="1">
      <alignment horizontal="center" vertical="center"/>
    </xf>
    <xf numFmtId="165" fontId="14" fillId="10" borderId="14" xfId="0" applyNumberFormat="1" applyFont="1" applyFill="1" applyBorder="1" applyAlignment="1">
      <alignment horizontal="center" vertical="center"/>
    </xf>
    <xf numFmtId="165" fontId="14" fillId="8" borderId="10" xfId="0" applyNumberFormat="1" applyFont="1" applyFill="1" applyBorder="1" applyAlignment="1">
      <alignment horizontal="center" vertical="center"/>
    </xf>
    <xf numFmtId="165" fontId="14" fillId="8" borderId="13" xfId="0" applyNumberFormat="1" applyFont="1" applyFill="1" applyBorder="1" applyAlignment="1">
      <alignment horizontal="center" vertical="center"/>
    </xf>
    <xf numFmtId="165" fontId="14" fillId="8" borderId="14" xfId="0" applyNumberFormat="1" applyFont="1" applyFill="1" applyBorder="1" applyAlignment="1">
      <alignment horizontal="center" vertical="center"/>
    </xf>
    <xf numFmtId="165" fontId="19" fillId="9" borderId="10" xfId="0" applyNumberFormat="1" applyFont="1" applyFill="1" applyBorder="1" applyAlignment="1">
      <alignment horizontal="center" vertical="center"/>
    </xf>
    <xf numFmtId="165" fontId="19" fillId="9" borderId="13" xfId="0" applyNumberFormat="1" applyFont="1" applyFill="1" applyBorder="1" applyAlignment="1">
      <alignment horizontal="center" vertical="center"/>
    </xf>
    <xf numFmtId="165" fontId="19" fillId="9" borderId="14" xfId="0" applyNumberFormat="1" applyFont="1" applyFill="1" applyBorder="1" applyAlignment="1">
      <alignment horizontal="center" vertical="center"/>
    </xf>
    <xf numFmtId="165" fontId="3" fillId="6" borderId="3" xfId="0" applyNumberFormat="1" applyFont="1" applyFill="1" applyBorder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165" fontId="3" fillId="6" borderId="7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7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7" xfId="0" applyFont="1" applyBorder="1" applyAlignment="1">
      <alignment horizontal="center" vertical="top"/>
    </xf>
    <xf numFmtId="165" fontId="11" fillId="0" borderId="5" xfId="0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9" xfId="0" applyNumberFormat="1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165" fontId="11" fillId="0" borderId="7" xfId="0" applyNumberFormat="1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4" xfId="0" applyFont="1" applyFill="1" applyBorder="1" applyAlignment="1">
      <alignment horizontal="center" vertical="center" shrinkToFit="1"/>
    </xf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 shrinkToFit="1"/>
    </xf>
    <xf numFmtId="0" fontId="3" fillId="11" borderId="4" xfId="0" applyFont="1" applyFill="1" applyBorder="1" applyAlignment="1">
      <alignment horizontal="center" vertical="center" shrinkToFit="1"/>
    </xf>
    <xf numFmtId="0" fontId="3" fillId="11" borderId="11" xfId="0" applyFont="1" applyFill="1" applyBorder="1" applyAlignment="1">
      <alignment horizontal="center" vertical="center" shrinkToFit="1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horizontal="center" vertical="center" wrapText="1"/>
    </xf>
    <xf numFmtId="165" fontId="3" fillId="11" borderId="3" xfId="0" applyNumberFormat="1" applyFont="1" applyFill="1" applyBorder="1" applyAlignment="1">
      <alignment horizontal="center" vertical="center"/>
    </xf>
    <xf numFmtId="165" fontId="3" fillId="11" borderId="0" xfId="0" applyNumberFormat="1" applyFont="1" applyFill="1" applyAlignment="1">
      <alignment horizontal="center" vertical="center"/>
    </xf>
    <xf numFmtId="165" fontId="3" fillId="11" borderId="7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 shrinkToFit="1"/>
    </xf>
    <xf numFmtId="0" fontId="3" fillId="11" borderId="0" xfId="0" applyFont="1" applyFill="1" applyAlignment="1">
      <alignment horizontal="center" vertical="center" shrinkToFit="1"/>
    </xf>
    <xf numFmtId="0" fontId="3" fillId="11" borderId="7" xfId="0" applyFont="1" applyFill="1" applyBorder="1" applyAlignment="1">
      <alignment horizontal="center" vertical="center" shrinkToFit="1"/>
    </xf>
    <xf numFmtId="165" fontId="6" fillId="29" borderId="16" xfId="0" applyNumberFormat="1" applyFont="1" applyFill="1" applyBorder="1" applyAlignment="1">
      <alignment horizontal="center" vertical="center" textRotation="180"/>
    </xf>
    <xf numFmtId="165" fontId="6" fillId="29" borderId="0" xfId="0" applyNumberFormat="1" applyFont="1" applyFill="1" applyAlignment="1">
      <alignment horizontal="center" vertical="center" textRotation="180"/>
    </xf>
    <xf numFmtId="165" fontId="6" fillId="29" borderId="18" xfId="0" applyNumberFormat="1" applyFont="1" applyFill="1" applyBorder="1" applyAlignment="1">
      <alignment horizontal="center" vertical="center" textRotation="180"/>
    </xf>
    <xf numFmtId="165" fontId="6" fillId="29" borderId="19" xfId="0" applyNumberFormat="1" applyFont="1" applyFill="1" applyBorder="1" applyAlignment="1">
      <alignment horizontal="center" vertical="center" textRotation="180"/>
    </xf>
    <xf numFmtId="165" fontId="6" fillId="29" borderId="20" xfId="0" applyNumberFormat="1" applyFont="1" applyFill="1" applyBorder="1" applyAlignment="1">
      <alignment horizontal="center" vertical="center" textRotation="180"/>
    </xf>
    <xf numFmtId="165" fontId="6" fillId="29" borderId="21" xfId="0" applyNumberFormat="1" applyFont="1" applyFill="1" applyBorder="1" applyAlignment="1">
      <alignment horizontal="center" vertical="center" textRotation="180"/>
    </xf>
    <xf numFmtId="165" fontId="6" fillId="29" borderId="22" xfId="0" applyNumberFormat="1" applyFont="1" applyFill="1" applyBorder="1" applyAlignment="1">
      <alignment horizontal="center" vertical="center" textRotation="180"/>
    </xf>
    <xf numFmtId="165" fontId="6" fillId="29" borderId="23" xfId="0" applyNumberFormat="1" applyFont="1" applyFill="1" applyBorder="1" applyAlignment="1">
      <alignment horizontal="center" vertical="center" textRotation="180"/>
    </xf>
    <xf numFmtId="165" fontId="6" fillId="29" borderId="24" xfId="0" applyNumberFormat="1" applyFont="1" applyFill="1" applyBorder="1" applyAlignment="1">
      <alignment horizontal="center" vertical="center" textRotation="180"/>
    </xf>
    <xf numFmtId="0" fontId="18" fillId="15" borderId="5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165" fontId="14" fillId="0" borderId="10" xfId="0" quotePrefix="1" applyNumberFormat="1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textRotation="180"/>
    </xf>
    <xf numFmtId="0" fontId="14" fillId="2" borderId="12" xfId="0" applyFont="1" applyFill="1" applyBorder="1" applyAlignment="1">
      <alignment horizontal="center" vertical="center" textRotation="180"/>
    </xf>
    <xf numFmtId="165" fontId="6" fillId="29" borderId="15" xfId="0" applyNumberFormat="1" applyFont="1" applyFill="1" applyBorder="1" applyAlignment="1">
      <alignment horizontal="center" vertical="center" textRotation="180"/>
    </xf>
    <xf numFmtId="165" fontId="6" fillId="29" borderId="3" xfId="0" applyNumberFormat="1" applyFont="1" applyFill="1" applyBorder="1" applyAlignment="1">
      <alignment horizontal="center" vertical="center" textRotation="180"/>
    </xf>
    <xf numFmtId="165" fontId="6" fillId="29" borderId="17" xfId="0" applyNumberFormat="1" applyFont="1" applyFill="1" applyBorder="1" applyAlignment="1">
      <alignment horizontal="center" vertical="center" textRotation="180"/>
    </xf>
    <xf numFmtId="165" fontId="14" fillId="13" borderId="10" xfId="0" quotePrefix="1" applyNumberFormat="1" applyFont="1" applyFill="1" applyBorder="1" applyAlignment="1">
      <alignment horizontal="center" vertical="center"/>
    </xf>
    <xf numFmtId="165" fontId="14" fillId="13" borderId="13" xfId="0" applyNumberFormat="1" applyFont="1" applyFill="1" applyBorder="1" applyAlignment="1">
      <alignment horizontal="center" vertical="center"/>
    </xf>
    <xf numFmtId="165" fontId="14" fillId="13" borderId="14" xfId="0" applyNumberFormat="1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165" fontId="19" fillId="14" borderId="10" xfId="0" applyNumberFormat="1" applyFont="1" applyFill="1" applyBorder="1" applyAlignment="1">
      <alignment horizontal="center" vertical="center"/>
    </xf>
    <xf numFmtId="165" fontId="19" fillId="14" borderId="13" xfId="0" applyNumberFormat="1" applyFont="1" applyFill="1" applyBorder="1" applyAlignment="1">
      <alignment horizontal="center" vertical="center"/>
    </xf>
    <xf numFmtId="165" fontId="19" fillId="14" borderId="14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 shrinkToFit="1"/>
    </xf>
    <xf numFmtId="0" fontId="3" fillId="15" borderId="4" xfId="0" applyFont="1" applyFill="1" applyBorder="1" applyAlignment="1">
      <alignment horizontal="center" vertical="center" shrinkToFit="1"/>
    </xf>
    <xf numFmtId="0" fontId="3" fillId="15" borderId="11" xfId="0" applyFont="1" applyFill="1" applyBorder="1" applyAlignment="1">
      <alignment horizontal="center" vertical="center" shrinkToFit="1"/>
    </xf>
    <xf numFmtId="0" fontId="13" fillId="15" borderId="5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165" fontId="3" fillId="15" borderId="3" xfId="0" applyNumberFormat="1" applyFont="1" applyFill="1" applyBorder="1" applyAlignment="1">
      <alignment horizontal="center" vertical="center"/>
    </xf>
    <xf numFmtId="165" fontId="3" fillId="15" borderId="0" xfId="0" applyNumberFormat="1" applyFont="1" applyFill="1" applyAlignment="1">
      <alignment horizontal="center" vertical="center"/>
    </xf>
    <xf numFmtId="165" fontId="3" fillId="15" borderId="7" xfId="0" applyNumberFormat="1" applyFont="1" applyFill="1" applyBorder="1" applyAlignment="1">
      <alignment horizontal="center" vertical="center"/>
    </xf>
    <xf numFmtId="165" fontId="14" fillId="12" borderId="10" xfId="0" quotePrefix="1" applyNumberFormat="1" applyFont="1" applyFill="1" applyBorder="1" applyAlignment="1">
      <alignment horizontal="center" vertical="center"/>
    </xf>
    <xf numFmtId="165" fontId="14" fillId="12" borderId="13" xfId="0" applyNumberFormat="1" applyFont="1" applyFill="1" applyBorder="1" applyAlignment="1">
      <alignment horizontal="center" vertical="center"/>
    </xf>
    <xf numFmtId="165" fontId="14" fillId="12" borderId="14" xfId="0" applyNumberFormat="1" applyFont="1" applyFill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 shrinkToFit="1"/>
    </xf>
    <xf numFmtId="167" fontId="23" fillId="0" borderId="0" xfId="0" applyNumberFormat="1" applyFont="1" applyAlignment="1">
      <alignment horizontal="center" vertical="center" shrinkToFit="1"/>
    </xf>
    <xf numFmtId="167" fontId="23" fillId="0" borderId="7" xfId="0" applyNumberFormat="1" applyFont="1" applyBorder="1" applyAlignment="1">
      <alignment horizontal="center" vertical="center" shrinkToFit="1"/>
    </xf>
    <xf numFmtId="167" fontId="23" fillId="0" borderId="6" xfId="0" applyNumberFormat="1" applyFont="1" applyBorder="1" applyAlignment="1">
      <alignment horizontal="center" vertical="center" shrinkToFit="1"/>
    </xf>
    <xf numFmtId="167" fontId="23" fillId="0" borderId="4" xfId="0" applyNumberFormat="1" applyFont="1" applyBorder="1" applyAlignment="1">
      <alignment horizontal="center" vertical="center" shrinkToFit="1"/>
    </xf>
    <xf numFmtId="167" fontId="23" fillId="0" borderId="11" xfId="0" applyNumberFormat="1" applyFont="1" applyBorder="1" applyAlignment="1">
      <alignment horizontal="center" vertical="center" shrinkToFit="1"/>
    </xf>
    <xf numFmtId="165" fontId="5" fillId="0" borderId="5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9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165" fontId="6" fillId="0" borderId="16" xfId="0" applyNumberFormat="1" applyFont="1" applyBorder="1" applyAlignment="1">
      <alignment horizontal="center" vertical="center" textRotation="180"/>
    </xf>
    <xf numFmtId="165" fontId="6" fillId="0" borderId="0" xfId="0" applyNumberFormat="1" applyFont="1" applyAlignment="1">
      <alignment horizontal="center" vertical="center" textRotation="180"/>
    </xf>
    <xf numFmtId="165" fontId="6" fillId="0" borderId="18" xfId="0" applyNumberFormat="1" applyFont="1" applyBorder="1" applyAlignment="1">
      <alignment horizontal="center" vertical="center" textRotation="180"/>
    </xf>
    <xf numFmtId="165" fontId="6" fillId="0" borderId="19" xfId="0" applyNumberFormat="1" applyFont="1" applyBorder="1" applyAlignment="1">
      <alignment horizontal="center" vertical="center" textRotation="180"/>
    </xf>
    <xf numFmtId="165" fontId="6" fillId="0" borderId="20" xfId="0" applyNumberFormat="1" applyFont="1" applyBorder="1" applyAlignment="1">
      <alignment horizontal="center" vertical="center" textRotation="180"/>
    </xf>
    <xf numFmtId="165" fontId="6" fillId="0" borderId="21" xfId="0" applyNumberFormat="1" applyFont="1" applyBorder="1" applyAlignment="1">
      <alignment horizontal="center" vertical="center" textRotation="180"/>
    </xf>
    <xf numFmtId="165" fontId="6" fillId="0" borderId="22" xfId="0" applyNumberFormat="1" applyFont="1" applyBorder="1" applyAlignment="1">
      <alignment horizontal="center" vertical="center" textRotation="180"/>
    </xf>
    <xf numFmtId="165" fontId="6" fillId="0" borderId="23" xfId="0" applyNumberFormat="1" applyFont="1" applyBorder="1" applyAlignment="1">
      <alignment horizontal="center" vertical="center" textRotation="180"/>
    </xf>
    <xf numFmtId="165" fontId="6" fillId="0" borderId="24" xfId="0" applyNumberFormat="1" applyFont="1" applyBorder="1" applyAlignment="1">
      <alignment horizontal="center" vertical="center" textRotation="180"/>
    </xf>
    <xf numFmtId="0" fontId="18" fillId="18" borderId="5" xfId="0" applyFont="1" applyFill="1" applyBorder="1" applyAlignment="1">
      <alignment horizontal="center" vertical="center"/>
    </xf>
    <xf numFmtId="0" fontId="18" fillId="18" borderId="9" xfId="0" applyFont="1" applyFill="1" applyBorder="1" applyAlignment="1">
      <alignment horizontal="center" vertical="center"/>
    </xf>
    <xf numFmtId="0" fontId="18" fillId="18" borderId="6" xfId="0" applyFont="1" applyFill="1" applyBorder="1" applyAlignment="1">
      <alignment horizontal="center" vertical="center"/>
    </xf>
    <xf numFmtId="0" fontId="18" fillId="18" borderId="11" xfId="0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 shrinkToFit="1"/>
    </xf>
    <xf numFmtId="0" fontId="3" fillId="18" borderId="4" xfId="0" applyFont="1" applyFill="1" applyBorder="1" applyAlignment="1">
      <alignment horizontal="center" vertical="center" shrinkToFit="1"/>
    </xf>
    <xf numFmtId="0" fontId="3" fillId="18" borderId="11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textRotation="180"/>
    </xf>
    <xf numFmtId="0" fontId="7" fillId="2" borderId="12" xfId="0" applyFont="1" applyFill="1" applyBorder="1" applyAlignment="1">
      <alignment horizontal="center" vertical="center" textRotation="180"/>
    </xf>
    <xf numFmtId="0" fontId="3" fillId="18" borderId="3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13" fillId="18" borderId="5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13" fillId="18" borderId="9" xfId="0" applyFont="1" applyFill="1" applyBorder="1" applyAlignment="1">
      <alignment horizontal="center" vertical="center" wrapText="1"/>
    </xf>
    <xf numFmtId="165" fontId="3" fillId="18" borderId="3" xfId="0" applyNumberFormat="1" applyFont="1" applyFill="1" applyBorder="1" applyAlignment="1">
      <alignment horizontal="center" vertical="center"/>
    </xf>
    <xf numFmtId="165" fontId="3" fillId="18" borderId="0" xfId="0" applyNumberFormat="1" applyFont="1" applyFill="1" applyAlignment="1">
      <alignment horizontal="center" vertical="center"/>
    </xf>
    <xf numFmtId="165" fontId="3" fillId="18" borderId="7" xfId="0" applyNumberFormat="1" applyFont="1" applyFill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 textRotation="180"/>
    </xf>
    <xf numFmtId="165" fontId="6" fillId="0" borderId="3" xfId="0" applyNumberFormat="1" applyFont="1" applyBorder="1" applyAlignment="1">
      <alignment horizontal="center" vertical="center" textRotation="180"/>
    </xf>
    <xf numFmtId="165" fontId="6" fillId="0" borderId="17" xfId="0" applyNumberFormat="1" applyFont="1" applyBorder="1" applyAlignment="1">
      <alignment horizontal="center" vertical="center" textRotation="180"/>
    </xf>
  </cellXfs>
  <cellStyles count="1">
    <cellStyle name="Normal" xfId="0" builtinId="0"/>
  </cellStyles>
  <dxfs count="33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CCFFFF"/>
      <color rgb="FFCCFF99"/>
      <color rgb="FF99FF99"/>
      <color rgb="FF00FF99"/>
      <color rgb="FF66FFFF"/>
      <color rgb="FF00FFFF"/>
      <color rgb="FF0000FF"/>
      <color rgb="FF00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1040" name="logo" descr="atslogo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9609" y="39962571"/>
          <a:ext cx="3693968" cy="144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19051</xdr:colOff>
      <xdr:row>2</xdr:row>
      <xdr:rowOff>247650</xdr:rowOff>
    </xdr:from>
    <xdr:to>
      <xdr:col>128</xdr:col>
      <xdr:colOff>38101</xdr:colOff>
      <xdr:row>77</xdr:row>
      <xdr:rowOff>199465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132D9-FF5C-3AEA-86D4-AA181BAB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8451" y="1162050"/>
          <a:ext cx="10134600" cy="732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BDB00642-00DB-43FA-8163-B552391C5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647AF71C-3DCB-4FF3-A5A9-E90D7F636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F04A0A43-38A7-4C3B-8D90-5348FD40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47625</xdr:colOff>
      <xdr:row>96</xdr:row>
      <xdr:rowOff>95250</xdr:rowOff>
    </xdr:from>
    <xdr:to>
      <xdr:col>68</xdr:col>
      <xdr:colOff>114300</xdr:colOff>
      <xdr:row>99</xdr:row>
      <xdr:rowOff>209550</xdr:rowOff>
    </xdr:to>
    <xdr:pic>
      <xdr:nvPicPr>
        <xdr:cNvPr id="2" name="logo" descr="atslogo2">
          <a:extLst>
            <a:ext uri="{FF2B5EF4-FFF2-40B4-BE49-F238E27FC236}">
              <a16:creationId xmlns:a16="http://schemas.microsoft.com/office/drawing/2014/main" id="{DD09D595-84DD-4840-8A9D-580ABB5F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2196" y="40295080"/>
          <a:ext cx="356235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pageSetUpPr fitToPage="1"/>
  </sheetPr>
  <dimension ref="A1:IK118"/>
  <sheetViews>
    <sheetView tabSelected="1" zoomScale="50" zoomScaleNormal="50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152">
        <v>2025</v>
      </c>
      <c r="B1" s="153"/>
      <c r="C1" s="156" t="s">
        <v>0</v>
      </c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  <c r="BZ1" s="157"/>
      <c r="CA1" s="157"/>
      <c r="CB1" s="157"/>
      <c r="CC1" s="157"/>
      <c r="CD1" s="157"/>
      <c r="CE1" s="157"/>
      <c r="CF1" s="157"/>
      <c r="CG1" s="157"/>
      <c r="CH1" s="157"/>
      <c r="CI1" s="157"/>
      <c r="CJ1" s="157"/>
      <c r="CK1" s="157"/>
      <c r="CL1" s="157"/>
      <c r="CM1" s="157"/>
      <c r="CN1" s="157"/>
      <c r="CO1" s="157"/>
      <c r="CP1" s="157"/>
      <c r="CQ1" s="157"/>
      <c r="CR1" s="157"/>
      <c r="CS1" s="157"/>
      <c r="CT1" s="157"/>
      <c r="CU1" s="157"/>
      <c r="CV1" s="157"/>
      <c r="CW1" s="157"/>
      <c r="CX1" s="157"/>
      <c r="CY1" s="157"/>
      <c r="CZ1" s="157"/>
      <c r="DA1" s="157"/>
      <c r="DB1" s="157"/>
      <c r="DC1" s="157"/>
      <c r="DD1" s="157"/>
      <c r="DE1" s="157"/>
      <c r="DF1" s="157"/>
      <c r="DG1" s="157"/>
      <c r="DH1" s="157"/>
      <c r="DI1" s="157"/>
      <c r="DJ1" s="157"/>
      <c r="DK1" s="157"/>
      <c r="DL1" s="157"/>
      <c r="DM1" s="157"/>
      <c r="DN1" s="157"/>
      <c r="DO1" s="157"/>
      <c r="DP1" s="158"/>
      <c r="DQ1" s="162" t="s">
        <v>1</v>
      </c>
      <c r="DR1" s="163"/>
      <c r="DS1" s="163"/>
      <c r="DT1" s="163"/>
      <c r="DU1" s="163"/>
      <c r="DV1" s="163"/>
      <c r="DW1" s="163"/>
      <c r="DX1" s="163"/>
      <c r="DY1" s="163"/>
      <c r="DZ1" s="164"/>
    </row>
    <row r="2" spans="1:182" s="5" customFormat="1" ht="36" customHeight="1" x14ac:dyDescent="0.2">
      <c r="A2" s="154"/>
      <c r="B2" s="155"/>
      <c r="C2" s="159" t="s">
        <v>2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0"/>
      <c r="BO2" s="160"/>
      <c r="BP2" s="160"/>
      <c r="BQ2" s="160"/>
      <c r="BR2" s="160"/>
      <c r="BS2" s="160"/>
      <c r="BT2" s="160"/>
      <c r="BU2" s="160"/>
      <c r="BV2" s="160"/>
      <c r="BW2" s="160"/>
      <c r="BX2" s="160"/>
      <c r="BY2" s="160"/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60"/>
      <c r="CL2" s="160"/>
      <c r="CM2" s="160"/>
      <c r="CN2" s="160"/>
      <c r="CO2" s="160"/>
      <c r="CP2" s="160"/>
      <c r="CQ2" s="160"/>
      <c r="CR2" s="160"/>
      <c r="CS2" s="160"/>
      <c r="CT2" s="160"/>
      <c r="CU2" s="160"/>
      <c r="CV2" s="160"/>
      <c r="CW2" s="160"/>
      <c r="CX2" s="160"/>
      <c r="CY2" s="160"/>
      <c r="CZ2" s="160"/>
      <c r="DA2" s="160"/>
      <c r="DB2" s="160"/>
      <c r="DC2" s="160"/>
      <c r="DD2" s="160"/>
      <c r="DE2" s="160"/>
      <c r="DF2" s="160"/>
      <c r="DG2" s="160"/>
      <c r="DH2" s="160"/>
      <c r="DI2" s="160"/>
      <c r="DJ2" s="160"/>
      <c r="DK2" s="160"/>
      <c r="DL2" s="160"/>
      <c r="DM2" s="160"/>
      <c r="DN2" s="160"/>
      <c r="DO2" s="160"/>
      <c r="DP2" s="161"/>
      <c r="DQ2" s="162" t="s">
        <v>3</v>
      </c>
      <c r="DR2" s="163"/>
      <c r="DS2" s="163"/>
      <c r="DT2" s="163"/>
      <c r="DU2" s="163"/>
      <c r="DV2" s="163"/>
      <c r="DW2" s="163"/>
      <c r="DX2" s="163"/>
      <c r="DY2" s="163"/>
      <c r="DZ2" s="164"/>
      <c r="EA2" s="4"/>
    </row>
    <row r="3" spans="1:182" s="5" customFormat="1" ht="36" customHeight="1" x14ac:dyDescent="0.2">
      <c r="A3" s="144" t="s">
        <v>4</v>
      </c>
      <c r="B3" s="145"/>
      <c r="C3" s="18" t="s">
        <v>5</v>
      </c>
      <c r="D3" s="26">
        <v>1</v>
      </c>
      <c r="E3" s="27">
        <v>2</v>
      </c>
      <c r="F3" s="27">
        <v>3</v>
      </c>
      <c r="G3" s="27">
        <v>4</v>
      </c>
      <c r="H3" s="27">
        <v>5</v>
      </c>
      <c r="I3" s="27">
        <v>6</v>
      </c>
      <c r="J3" s="27">
        <v>7</v>
      </c>
      <c r="K3" s="27">
        <v>8</v>
      </c>
      <c r="L3" s="27">
        <v>9</v>
      </c>
      <c r="M3" s="27">
        <v>10</v>
      </c>
      <c r="N3" s="27">
        <v>11</v>
      </c>
      <c r="O3" s="27">
        <v>12</v>
      </c>
      <c r="P3" s="27">
        <v>13</v>
      </c>
      <c r="Q3" s="27">
        <v>14</v>
      </c>
      <c r="R3" s="27">
        <v>15</v>
      </c>
      <c r="S3" s="27">
        <v>16</v>
      </c>
      <c r="T3" s="27">
        <v>17</v>
      </c>
      <c r="U3" s="27">
        <v>18</v>
      </c>
      <c r="V3" s="27">
        <v>19</v>
      </c>
      <c r="W3" s="27">
        <v>20</v>
      </c>
      <c r="X3" s="27">
        <v>21</v>
      </c>
      <c r="Y3" s="27">
        <v>22</v>
      </c>
      <c r="Z3" s="27">
        <v>23</v>
      </c>
      <c r="AA3" s="27">
        <v>24</v>
      </c>
      <c r="AB3" s="27">
        <v>25</v>
      </c>
      <c r="AC3" s="27">
        <v>26</v>
      </c>
      <c r="AD3" s="27">
        <v>27</v>
      </c>
      <c r="AE3" s="27">
        <v>28</v>
      </c>
      <c r="AF3" s="27">
        <v>29</v>
      </c>
      <c r="AG3" s="27">
        <v>30</v>
      </c>
      <c r="AH3" s="27">
        <v>31</v>
      </c>
      <c r="AI3" s="27">
        <v>32</v>
      </c>
      <c r="AJ3" s="27">
        <v>33</v>
      </c>
      <c r="AK3" s="27">
        <v>34</v>
      </c>
      <c r="AL3" s="27">
        <v>35</v>
      </c>
      <c r="AM3" s="27">
        <v>36</v>
      </c>
      <c r="AN3" s="27">
        <v>37</v>
      </c>
      <c r="AO3" s="27">
        <v>38</v>
      </c>
      <c r="AP3" s="27">
        <v>39</v>
      </c>
      <c r="AQ3" s="27">
        <v>40</v>
      </c>
      <c r="AR3" s="27">
        <v>41</v>
      </c>
      <c r="AS3" s="27">
        <v>42</v>
      </c>
      <c r="AT3" s="27">
        <v>43</v>
      </c>
      <c r="AU3" s="27">
        <v>44</v>
      </c>
      <c r="AV3" s="27">
        <v>45</v>
      </c>
      <c r="AW3" s="27">
        <v>46</v>
      </c>
      <c r="AX3" s="27">
        <v>47</v>
      </c>
      <c r="AY3" s="27">
        <v>48</v>
      </c>
      <c r="AZ3" s="27">
        <v>49</v>
      </c>
      <c r="BA3" s="27">
        <v>50</v>
      </c>
      <c r="BB3" s="27">
        <v>51</v>
      </c>
      <c r="BC3" s="27">
        <v>52</v>
      </c>
      <c r="BD3" s="27">
        <v>53</v>
      </c>
      <c r="BE3" s="27">
        <v>54</v>
      </c>
      <c r="BF3" s="27">
        <v>55</v>
      </c>
      <c r="BG3" s="27">
        <v>56</v>
      </c>
      <c r="BH3" s="27">
        <v>57</v>
      </c>
      <c r="BI3" s="27">
        <v>58</v>
      </c>
      <c r="BJ3" s="27">
        <v>59</v>
      </c>
      <c r="BK3" s="27">
        <v>60</v>
      </c>
      <c r="BL3" s="27">
        <v>61</v>
      </c>
      <c r="BM3" s="28">
        <v>62</v>
      </c>
      <c r="BN3" s="29" t="s">
        <v>6</v>
      </c>
      <c r="BO3" s="30" t="s">
        <v>7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11" t="s">
        <v>9</v>
      </c>
      <c r="D4" s="32">
        <v>0.34899999999999998</v>
      </c>
      <c r="E4" s="33">
        <v>0.36399999999999999</v>
      </c>
      <c r="F4" s="33">
        <v>0.34300000000000003</v>
      </c>
      <c r="G4" s="33">
        <v>0.33400000000000002</v>
      </c>
      <c r="H4" s="34">
        <v>0.35599999999999998</v>
      </c>
      <c r="I4" s="40">
        <v>0.35099999999999998</v>
      </c>
      <c r="J4" s="33">
        <v>0.34399999999999997</v>
      </c>
      <c r="K4" s="33">
        <v>0.34</v>
      </c>
      <c r="L4" s="33">
        <v>0.35199999999999998</v>
      </c>
      <c r="M4" s="34">
        <v>0.34499999999999997</v>
      </c>
      <c r="N4" s="40">
        <v>0.33300000000000002</v>
      </c>
      <c r="O4" s="33">
        <v>0.34200000000000003</v>
      </c>
      <c r="P4" s="33">
        <v>0.33100000000000002</v>
      </c>
      <c r="Q4" s="33">
        <v>0.372</v>
      </c>
      <c r="R4" s="34">
        <v>0.32200000000000001</v>
      </c>
      <c r="S4" s="40">
        <v>0.33300000000000002</v>
      </c>
      <c r="T4" s="33">
        <v>0.29699999999999999</v>
      </c>
      <c r="U4" s="33">
        <v>0.36399999999999999</v>
      </c>
      <c r="V4" s="33">
        <v>0.317</v>
      </c>
      <c r="W4" s="34">
        <v>0.32200000000000001</v>
      </c>
      <c r="X4" s="40">
        <v>0.34100000000000003</v>
      </c>
      <c r="Y4" s="33">
        <v>0.31</v>
      </c>
      <c r="Z4" s="33">
        <v>0.32700000000000001</v>
      </c>
      <c r="AA4" s="33">
        <v>0.32100000000000001</v>
      </c>
      <c r="AB4" s="34">
        <v>0.33200000000000002</v>
      </c>
      <c r="AC4" s="40">
        <v>0.33900000000000002</v>
      </c>
      <c r="AD4" s="33">
        <v>0.33100000000000002</v>
      </c>
      <c r="AE4" s="33">
        <v>0.32800000000000001</v>
      </c>
      <c r="AF4" s="33">
        <v>0.32300000000000001</v>
      </c>
      <c r="AG4" s="34">
        <v>0.32</v>
      </c>
      <c r="AH4" s="40">
        <v>0.33100000000000002</v>
      </c>
      <c r="AI4" s="33">
        <v>0.33700000000000002</v>
      </c>
      <c r="AJ4" s="33">
        <v>0.32700000000000001</v>
      </c>
      <c r="AK4" s="33">
        <v>0.34699999999999998</v>
      </c>
      <c r="AL4" s="34">
        <v>0.35799999999999998</v>
      </c>
      <c r="AM4" s="40">
        <v>0.32500000000000001</v>
      </c>
      <c r="AN4" s="33">
        <v>0.33400000000000002</v>
      </c>
      <c r="AO4" s="33">
        <v>0.32500000000000001</v>
      </c>
      <c r="AP4" s="33">
        <v>0.33</v>
      </c>
      <c r="AQ4" s="34">
        <v>0.36199999999999999</v>
      </c>
      <c r="AR4" s="40">
        <v>0.33300000000000002</v>
      </c>
      <c r="AS4" s="33">
        <v>0.33100000000000002</v>
      </c>
      <c r="AT4" s="33">
        <v>0.31900000000000001</v>
      </c>
      <c r="AU4" s="33">
        <v>0.32700000000000001</v>
      </c>
      <c r="AV4" s="34">
        <v>0.34699999999999998</v>
      </c>
      <c r="AW4" s="40">
        <v>0.33400000000000002</v>
      </c>
      <c r="AX4" s="33">
        <v>0.34100000000000003</v>
      </c>
      <c r="AY4" s="33">
        <v>0.32400000000000001</v>
      </c>
      <c r="AZ4" s="33">
        <v>0.32900000000000001</v>
      </c>
      <c r="BA4" s="34">
        <v>0.33200000000000002</v>
      </c>
      <c r="BB4" s="40">
        <v>0.33100000000000002</v>
      </c>
      <c r="BC4" s="33">
        <v>0.33300000000000002</v>
      </c>
      <c r="BD4" s="33">
        <v>0.32800000000000001</v>
      </c>
      <c r="BE4" s="33">
        <v>0.33300000000000002</v>
      </c>
      <c r="BF4" s="34">
        <v>0.39400000000000002</v>
      </c>
      <c r="BG4" s="40">
        <v>0.33300000000000002</v>
      </c>
      <c r="BH4" s="33">
        <v>0.33900000000000002</v>
      </c>
      <c r="BI4" s="33">
        <v>0.34399999999999997</v>
      </c>
      <c r="BJ4" s="33">
        <v>0.35099999999999998</v>
      </c>
      <c r="BK4" s="34">
        <v>0.35599999999999998</v>
      </c>
      <c r="BL4" s="40">
        <v>0.34100000000000003</v>
      </c>
      <c r="BM4" s="34">
        <v>0.35</v>
      </c>
      <c r="BN4" s="141">
        <f t="shared" ref="BN4:BN6" si="0">IFERROR(AVERAGE(D4:BM6),0)</f>
        <v>0.33731182795698939</v>
      </c>
      <c r="BO4" s="141">
        <f t="shared" ref="BO4:BO6" si="1">MIN(D4:BM6)</f>
        <v>0.29699999999999999</v>
      </c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40">
        <v>8.3000000000000004E-2</v>
      </c>
      <c r="B5" s="7" t="s">
        <v>10</v>
      </c>
      <c r="C5" s="11" t="s">
        <v>11</v>
      </c>
      <c r="D5" s="38">
        <v>0.35199999999999998</v>
      </c>
      <c r="E5" s="22">
        <v>0.34399999999999997</v>
      </c>
      <c r="F5" s="22">
        <v>0.34300000000000003</v>
      </c>
      <c r="G5" s="22">
        <v>0.34</v>
      </c>
      <c r="H5" s="39">
        <v>0.35199999999999998</v>
      </c>
      <c r="I5" s="42">
        <v>0.35699999999999998</v>
      </c>
      <c r="J5" s="22">
        <v>0.35899999999999999</v>
      </c>
      <c r="K5" s="22">
        <v>0.33100000000000002</v>
      </c>
      <c r="L5" s="22">
        <v>0.33400000000000002</v>
      </c>
      <c r="M5" s="39">
        <v>0.32700000000000001</v>
      </c>
      <c r="N5" s="42">
        <v>0.312</v>
      </c>
      <c r="O5" s="22">
        <v>0.35099999999999998</v>
      </c>
      <c r="P5" s="22">
        <v>0.32200000000000001</v>
      </c>
      <c r="Q5" s="22">
        <v>0.33200000000000002</v>
      </c>
      <c r="R5" s="39">
        <v>0.317</v>
      </c>
      <c r="S5" s="42">
        <v>0.32100000000000001</v>
      </c>
      <c r="T5" s="22">
        <v>0.32200000000000001</v>
      </c>
      <c r="U5" s="22">
        <v>0.31</v>
      </c>
      <c r="V5" s="22">
        <v>0.30499999999999999</v>
      </c>
      <c r="W5" s="39">
        <v>0.32700000000000001</v>
      </c>
      <c r="X5" s="42">
        <v>0.32300000000000001</v>
      </c>
      <c r="Y5" s="22">
        <v>0.33200000000000002</v>
      </c>
      <c r="Z5" s="22">
        <v>0.314</v>
      </c>
      <c r="AA5" s="22">
        <v>0.33600000000000002</v>
      </c>
      <c r="AB5" s="39">
        <v>0.33400000000000002</v>
      </c>
      <c r="AC5" s="42">
        <v>0.33</v>
      </c>
      <c r="AD5" s="22">
        <v>0.33100000000000002</v>
      </c>
      <c r="AE5" s="22">
        <v>0.35299999999999998</v>
      </c>
      <c r="AF5" s="22">
        <v>0.32300000000000001</v>
      </c>
      <c r="AG5" s="39">
        <v>0.31</v>
      </c>
      <c r="AH5" s="42">
        <v>0.33100000000000002</v>
      </c>
      <c r="AI5" s="22">
        <v>0.32100000000000001</v>
      </c>
      <c r="AJ5" s="22">
        <v>0.31900000000000001</v>
      </c>
      <c r="AK5" s="22">
        <v>0.33300000000000002</v>
      </c>
      <c r="AL5" s="39">
        <v>0.314</v>
      </c>
      <c r="AM5" s="42">
        <v>0.32200000000000001</v>
      </c>
      <c r="AN5" s="22">
        <v>0.33200000000000002</v>
      </c>
      <c r="AO5" s="22">
        <v>0.31900000000000001</v>
      </c>
      <c r="AP5" s="22">
        <v>0.36199999999999999</v>
      </c>
      <c r="AQ5" s="39">
        <v>0.32700000000000001</v>
      </c>
      <c r="AR5" s="42">
        <v>0.32400000000000001</v>
      </c>
      <c r="AS5" s="22">
        <v>0.32500000000000001</v>
      </c>
      <c r="AT5" s="22">
        <v>0.316</v>
      </c>
      <c r="AU5" s="22">
        <v>0.315</v>
      </c>
      <c r="AV5" s="39">
        <v>0.36299999999999999</v>
      </c>
      <c r="AW5" s="42">
        <v>0.33400000000000002</v>
      </c>
      <c r="AX5" s="22">
        <v>0.33300000000000002</v>
      </c>
      <c r="AY5" s="22">
        <v>0.33500000000000002</v>
      </c>
      <c r="AZ5" s="22">
        <v>0.32700000000000001</v>
      </c>
      <c r="BA5" s="39">
        <v>0.317</v>
      </c>
      <c r="BB5" s="42">
        <v>0.33500000000000002</v>
      </c>
      <c r="BC5" s="22">
        <v>0.32900000000000001</v>
      </c>
      <c r="BD5" s="22">
        <v>0.32600000000000001</v>
      </c>
      <c r="BE5" s="22">
        <v>0.35499999999999998</v>
      </c>
      <c r="BF5" s="39">
        <v>0.34499999999999997</v>
      </c>
      <c r="BG5" s="42">
        <v>0.35099999999999998</v>
      </c>
      <c r="BH5" s="22">
        <v>0.35099999999999998</v>
      </c>
      <c r="BI5" s="22">
        <v>0.39500000000000002</v>
      </c>
      <c r="BJ5" s="22">
        <v>0.35299999999999998</v>
      </c>
      <c r="BK5" s="39">
        <v>0.34300000000000003</v>
      </c>
      <c r="BL5" s="42">
        <v>0.35699999999999998</v>
      </c>
      <c r="BM5" s="39">
        <v>0.34399999999999997</v>
      </c>
      <c r="BN5" s="142">
        <f t="shared" si="0"/>
        <v>0.32921081081081066</v>
      </c>
      <c r="BO5" s="142">
        <f t="shared" si="1"/>
        <v>0.28799999999999998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40"/>
      <c r="B6" s="8"/>
      <c r="C6" s="12" t="s">
        <v>12</v>
      </c>
      <c r="D6" s="35">
        <v>0.39300000000000002</v>
      </c>
      <c r="E6" s="36">
        <v>0.38500000000000001</v>
      </c>
      <c r="F6" s="36">
        <v>0.34399999999999997</v>
      </c>
      <c r="G6" s="36">
        <v>0.33300000000000002</v>
      </c>
      <c r="H6" s="37">
        <v>0.36799999999999999</v>
      </c>
      <c r="I6" s="41">
        <v>0.35599999999999998</v>
      </c>
      <c r="J6" s="36">
        <v>0.35899999999999999</v>
      </c>
      <c r="K6" s="36">
        <v>0.33400000000000002</v>
      </c>
      <c r="L6" s="36">
        <v>0.32</v>
      </c>
      <c r="M6" s="37">
        <v>0.34</v>
      </c>
      <c r="N6" s="41">
        <v>0.35599999999999998</v>
      </c>
      <c r="O6" s="36">
        <v>0.35199999999999998</v>
      </c>
      <c r="P6" s="36">
        <v>0.32300000000000001</v>
      </c>
      <c r="Q6" s="36">
        <v>0.34300000000000003</v>
      </c>
      <c r="R6" s="37">
        <v>0.32</v>
      </c>
      <c r="S6" s="41">
        <v>0.314</v>
      </c>
      <c r="T6" s="36">
        <v>0.35699999999999998</v>
      </c>
      <c r="U6" s="36">
        <v>0.34699999999999998</v>
      </c>
      <c r="V6" s="36">
        <v>0.32900000000000001</v>
      </c>
      <c r="W6" s="37">
        <v>0.35499999999999998</v>
      </c>
      <c r="X6" s="41">
        <v>0.313</v>
      </c>
      <c r="Y6" s="36">
        <v>0.34</v>
      </c>
      <c r="Z6" s="36">
        <v>0.34200000000000003</v>
      </c>
      <c r="AA6" s="36">
        <v>0.33700000000000002</v>
      </c>
      <c r="AB6" s="37">
        <v>0.33600000000000002</v>
      </c>
      <c r="AC6" s="41">
        <v>0.33</v>
      </c>
      <c r="AD6" s="36">
        <v>0.33800000000000002</v>
      </c>
      <c r="AE6" s="36">
        <v>0.33100000000000002</v>
      </c>
      <c r="AF6" s="36">
        <v>0.33300000000000002</v>
      </c>
      <c r="AG6" s="37">
        <v>0.308</v>
      </c>
      <c r="AH6" s="41">
        <v>0.33300000000000002</v>
      </c>
      <c r="AI6" s="36">
        <v>0.35799999999999998</v>
      </c>
      <c r="AJ6" s="36">
        <v>0.33800000000000002</v>
      </c>
      <c r="AK6" s="36">
        <v>0.32200000000000001</v>
      </c>
      <c r="AL6" s="37">
        <v>0.34499999999999997</v>
      </c>
      <c r="AM6" s="41">
        <v>0.317</v>
      </c>
      <c r="AN6" s="36">
        <v>0.34899999999999998</v>
      </c>
      <c r="AO6" s="36">
        <v>0.33100000000000002</v>
      </c>
      <c r="AP6" s="36">
        <v>0.33600000000000002</v>
      </c>
      <c r="AQ6" s="37">
        <v>0.33</v>
      </c>
      <c r="AR6" s="41">
        <v>0.33200000000000002</v>
      </c>
      <c r="AS6" s="36">
        <v>0.32700000000000001</v>
      </c>
      <c r="AT6" s="36">
        <v>0.32700000000000001</v>
      </c>
      <c r="AU6" s="36">
        <v>0.313</v>
      </c>
      <c r="AV6" s="37">
        <v>0.35199999999999998</v>
      </c>
      <c r="AW6" s="41">
        <v>0.33100000000000002</v>
      </c>
      <c r="AX6" s="36">
        <v>0.32100000000000001</v>
      </c>
      <c r="AY6" s="36">
        <v>0.33400000000000002</v>
      </c>
      <c r="AZ6" s="36">
        <v>0.32700000000000001</v>
      </c>
      <c r="BA6" s="37">
        <v>0.32900000000000001</v>
      </c>
      <c r="BB6" s="41">
        <v>0.33200000000000002</v>
      </c>
      <c r="BC6" s="36">
        <v>0.317</v>
      </c>
      <c r="BD6" s="36">
        <v>0.34300000000000003</v>
      </c>
      <c r="BE6" s="36">
        <v>0.32500000000000001</v>
      </c>
      <c r="BF6" s="37">
        <v>0.39100000000000001</v>
      </c>
      <c r="BG6" s="41">
        <v>0.35899999999999999</v>
      </c>
      <c r="BH6" s="36">
        <v>0.34499999999999997</v>
      </c>
      <c r="BI6" s="36">
        <v>0.39800000000000002</v>
      </c>
      <c r="BJ6" s="36">
        <v>0.373</v>
      </c>
      <c r="BK6" s="37">
        <v>0.36699999999999999</v>
      </c>
      <c r="BL6" s="41">
        <v>0.35099999999999998</v>
      </c>
      <c r="BM6" s="37">
        <v>0.34499999999999997</v>
      </c>
      <c r="BN6" s="143">
        <f t="shared" si="0"/>
        <v>0.32131351351351328</v>
      </c>
      <c r="BO6" s="143">
        <f t="shared" si="1"/>
        <v>0.28799999999999998</v>
      </c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11" t="s">
        <v>9</v>
      </c>
      <c r="D7" s="32">
        <v>0.33800000000000002</v>
      </c>
      <c r="E7" s="33" t="s">
        <v>13</v>
      </c>
      <c r="F7" s="33">
        <v>0.33</v>
      </c>
      <c r="G7" s="33">
        <v>0.35899999999999999</v>
      </c>
      <c r="H7" s="34">
        <v>0.32700000000000001</v>
      </c>
      <c r="I7" s="40">
        <v>0.32700000000000001</v>
      </c>
      <c r="J7" s="33">
        <v>0.32</v>
      </c>
      <c r="K7" s="33">
        <v>0.317</v>
      </c>
      <c r="L7" s="33">
        <v>0.31900000000000001</v>
      </c>
      <c r="M7" s="34">
        <v>0.30099999999999999</v>
      </c>
      <c r="N7" s="40">
        <v>0.309</v>
      </c>
      <c r="O7" s="33">
        <v>0.30099999999999999</v>
      </c>
      <c r="P7" s="33">
        <v>0.29399999999999998</v>
      </c>
      <c r="Q7" s="33">
        <v>0.29699999999999999</v>
      </c>
      <c r="R7" s="34">
        <v>0.31900000000000001</v>
      </c>
      <c r="S7" s="40">
        <v>0.29699999999999999</v>
      </c>
      <c r="T7" s="33">
        <v>0.309</v>
      </c>
      <c r="U7" s="33">
        <v>0.31</v>
      </c>
      <c r="V7" s="33">
        <v>0.309</v>
      </c>
      <c r="W7" s="34">
        <v>0.30299999999999999</v>
      </c>
      <c r="X7" s="40">
        <v>0.312</v>
      </c>
      <c r="Y7" s="33">
        <v>0.32800000000000001</v>
      </c>
      <c r="Z7" s="33">
        <v>0.318</v>
      </c>
      <c r="AA7" s="33">
        <v>0.317</v>
      </c>
      <c r="AB7" s="34">
        <v>0.313</v>
      </c>
      <c r="AC7" s="40">
        <v>0.33300000000000002</v>
      </c>
      <c r="AD7" s="33">
        <v>0.33800000000000002</v>
      </c>
      <c r="AE7" s="33">
        <v>0.32600000000000001</v>
      </c>
      <c r="AF7" s="33">
        <v>0.314</v>
      </c>
      <c r="AG7" s="34">
        <v>0.312</v>
      </c>
      <c r="AH7" s="40">
        <v>0.31</v>
      </c>
      <c r="AI7" s="33">
        <v>0.32400000000000001</v>
      </c>
      <c r="AJ7" s="33">
        <v>0.311</v>
      </c>
      <c r="AK7" s="33">
        <v>0.30399999999999999</v>
      </c>
      <c r="AL7" s="34">
        <v>0.32300000000000001</v>
      </c>
      <c r="AM7" s="40">
        <v>0.318</v>
      </c>
      <c r="AN7" s="33">
        <v>0.3</v>
      </c>
      <c r="AO7" s="33">
        <v>0.312</v>
      </c>
      <c r="AP7" s="33">
        <v>0.31</v>
      </c>
      <c r="AQ7" s="34">
        <v>0.312</v>
      </c>
      <c r="AR7" s="40">
        <v>0.308</v>
      </c>
      <c r="AS7" s="33">
        <v>0.34200000000000003</v>
      </c>
      <c r="AT7" s="33">
        <v>0.308</v>
      </c>
      <c r="AU7" s="33">
        <v>0.30199999999999999</v>
      </c>
      <c r="AV7" s="34">
        <v>0.29799999999999999</v>
      </c>
      <c r="AW7" s="40">
        <v>0.312</v>
      </c>
      <c r="AX7" s="33">
        <v>0.29599999999999999</v>
      </c>
      <c r="AY7" s="33">
        <v>0.29799999999999999</v>
      </c>
      <c r="AZ7" s="33">
        <v>0.29399999999999998</v>
      </c>
      <c r="BA7" s="34">
        <v>0.28799999999999998</v>
      </c>
      <c r="BB7" s="40">
        <v>0.29199999999999998</v>
      </c>
      <c r="BC7" s="33">
        <v>0.308</v>
      </c>
      <c r="BD7" s="33">
        <v>0.308</v>
      </c>
      <c r="BE7" s="33">
        <v>0.30299999999999999</v>
      </c>
      <c r="BF7" s="34">
        <v>0.308</v>
      </c>
      <c r="BG7" s="40">
        <v>0.308</v>
      </c>
      <c r="BH7" s="33">
        <v>0.312</v>
      </c>
      <c r="BI7" s="33">
        <v>0.31900000000000001</v>
      </c>
      <c r="BJ7" s="33">
        <v>0.32600000000000001</v>
      </c>
      <c r="BK7" s="34">
        <v>0.32600000000000001</v>
      </c>
      <c r="BL7" s="40">
        <v>0.29699999999999999</v>
      </c>
      <c r="BM7" s="34">
        <v>0.29899999999999999</v>
      </c>
      <c r="BN7" s="141">
        <f t="shared" ref="BN7:BN9" si="2">IFERROR(AVERAGE(D7:BM9),0)</f>
        <v>0.31223243243243237</v>
      </c>
      <c r="BO7" s="141">
        <f t="shared" ref="BO7:BO9" si="3">MIN(D7:BM9)</f>
        <v>0.28399999999999997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40">
        <v>8.3000000000000004E-2</v>
      </c>
      <c r="B8" s="7" t="s">
        <v>14</v>
      </c>
      <c r="C8" s="11" t="s">
        <v>11</v>
      </c>
      <c r="D8" s="38">
        <v>0.33200000000000002</v>
      </c>
      <c r="E8" s="22">
        <v>0.32500000000000001</v>
      </c>
      <c r="F8" s="22">
        <v>0.32300000000000001</v>
      </c>
      <c r="G8" s="22">
        <v>0.36099999999999999</v>
      </c>
      <c r="H8" s="39">
        <v>0.311</v>
      </c>
      <c r="I8" s="42">
        <v>0.318</v>
      </c>
      <c r="J8" s="22">
        <v>0.32</v>
      </c>
      <c r="K8" s="22">
        <v>0.314</v>
      </c>
      <c r="L8" s="22">
        <v>0.312</v>
      </c>
      <c r="M8" s="39">
        <v>0.29699999999999999</v>
      </c>
      <c r="N8" s="42">
        <v>0.29399999999999998</v>
      </c>
      <c r="O8" s="22">
        <v>0.29899999999999999</v>
      </c>
      <c r="P8" s="22">
        <v>0.29299999999999998</v>
      </c>
      <c r="Q8" s="22">
        <v>0.308</v>
      </c>
      <c r="R8" s="39">
        <v>0.315</v>
      </c>
      <c r="S8" s="42">
        <v>0.31900000000000001</v>
      </c>
      <c r="T8" s="22">
        <v>0.314</v>
      </c>
      <c r="U8" s="22">
        <v>0.30299999999999999</v>
      </c>
      <c r="V8" s="22">
        <v>0.30599999999999999</v>
      </c>
      <c r="W8" s="39">
        <v>0.315</v>
      </c>
      <c r="X8" s="42">
        <v>0.31900000000000001</v>
      </c>
      <c r="Y8" s="22">
        <v>0.30199999999999999</v>
      </c>
      <c r="Z8" s="22">
        <v>0.29899999999999999</v>
      </c>
      <c r="AA8" s="22">
        <v>0.30199999999999999</v>
      </c>
      <c r="AB8" s="39">
        <v>0.307</v>
      </c>
      <c r="AC8" s="42">
        <v>0.30599999999999999</v>
      </c>
      <c r="AD8" s="22">
        <v>0.34100000000000003</v>
      </c>
      <c r="AE8" s="22">
        <v>0.32200000000000001</v>
      </c>
      <c r="AF8" s="22">
        <v>0.311</v>
      </c>
      <c r="AG8" s="39">
        <v>0.30399999999999999</v>
      </c>
      <c r="AH8" s="42">
        <v>0.32300000000000001</v>
      </c>
      <c r="AI8" s="22">
        <v>0.312</v>
      </c>
      <c r="AJ8" s="22">
        <v>0.311</v>
      </c>
      <c r="AK8" s="22">
        <v>0.31900000000000001</v>
      </c>
      <c r="AL8" s="39">
        <v>0.318</v>
      </c>
      <c r="AM8" s="42">
        <v>0.318</v>
      </c>
      <c r="AN8" s="22">
        <v>0.30499999999999999</v>
      </c>
      <c r="AO8" s="22">
        <v>0.30499999999999999</v>
      </c>
      <c r="AP8" s="22">
        <v>0.31900000000000001</v>
      </c>
      <c r="AQ8" s="39">
        <v>0.309</v>
      </c>
      <c r="AR8" s="42">
        <v>0.3</v>
      </c>
      <c r="AS8" s="22">
        <v>0.311</v>
      </c>
      <c r="AT8" s="22">
        <v>0.29299999999999998</v>
      </c>
      <c r="AU8" s="22">
        <v>0.30299999999999999</v>
      </c>
      <c r="AV8" s="39">
        <v>0.29299999999999998</v>
      </c>
      <c r="AW8" s="42">
        <v>0.30099999999999999</v>
      </c>
      <c r="AX8" s="22">
        <v>0.3</v>
      </c>
      <c r="AY8" s="22">
        <v>0.29699999999999999</v>
      </c>
      <c r="AZ8" s="22">
        <v>0.29899999999999999</v>
      </c>
      <c r="BA8" s="39">
        <v>0.29799999999999999</v>
      </c>
      <c r="BB8" s="42">
        <v>0.29699999999999999</v>
      </c>
      <c r="BC8" s="22">
        <v>0.307</v>
      </c>
      <c r="BD8" s="22">
        <v>0.30399999999999999</v>
      </c>
      <c r="BE8" s="22">
        <v>0.3</v>
      </c>
      <c r="BF8" s="39">
        <v>0.30499999999999999</v>
      </c>
      <c r="BG8" s="42">
        <v>0.312</v>
      </c>
      <c r="BH8" s="22">
        <v>0.309</v>
      </c>
      <c r="BI8" s="22">
        <v>0.32200000000000001</v>
      </c>
      <c r="BJ8" s="22">
        <v>0.32300000000000001</v>
      </c>
      <c r="BK8" s="39">
        <v>0.33500000000000002</v>
      </c>
      <c r="BL8" s="42">
        <v>0.29699999999999999</v>
      </c>
      <c r="BM8" s="39">
        <v>0.29899999999999999</v>
      </c>
      <c r="BN8" s="142">
        <f t="shared" si="2"/>
        <v>0.3148505747126436</v>
      </c>
      <c r="BO8" s="142">
        <f t="shared" si="3"/>
        <v>0.28399999999999997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40"/>
      <c r="B9" s="8"/>
      <c r="C9" s="12" t="s">
        <v>12</v>
      </c>
      <c r="D9" s="35">
        <v>0.33400000000000002</v>
      </c>
      <c r="E9" s="36">
        <v>0.33700000000000002</v>
      </c>
      <c r="F9" s="36">
        <v>0.32300000000000001</v>
      </c>
      <c r="G9" s="36">
        <v>0.308</v>
      </c>
      <c r="H9" s="37">
        <v>0.313</v>
      </c>
      <c r="I9" s="41">
        <v>0.315</v>
      </c>
      <c r="J9" s="36">
        <v>0.31900000000000001</v>
      </c>
      <c r="K9" s="36">
        <v>0.313</v>
      </c>
      <c r="L9" s="36">
        <v>0.312</v>
      </c>
      <c r="M9" s="37">
        <v>0.30099999999999999</v>
      </c>
      <c r="N9" s="41">
        <v>0.30199999999999999</v>
      </c>
      <c r="O9" s="36">
        <v>0.30599999999999999</v>
      </c>
      <c r="P9" s="36">
        <v>0.30599999999999999</v>
      </c>
      <c r="Q9" s="36">
        <v>0.29299999999999998</v>
      </c>
      <c r="R9" s="37">
        <v>0.28899999999999998</v>
      </c>
      <c r="S9" s="41">
        <v>0.32400000000000001</v>
      </c>
      <c r="T9" s="36">
        <v>0.316</v>
      </c>
      <c r="U9" s="36">
        <v>0.317</v>
      </c>
      <c r="V9" s="36">
        <v>0.30599999999999999</v>
      </c>
      <c r="W9" s="37">
        <v>0.31900000000000001</v>
      </c>
      <c r="X9" s="41">
        <v>0.33</v>
      </c>
      <c r="Y9" s="36">
        <v>0.318</v>
      </c>
      <c r="Z9" s="36">
        <v>0.29199999999999998</v>
      </c>
      <c r="AA9" s="36">
        <v>0.32400000000000001</v>
      </c>
      <c r="AB9" s="37">
        <v>0.317</v>
      </c>
      <c r="AC9" s="41">
        <v>0.32100000000000001</v>
      </c>
      <c r="AD9" s="36">
        <v>0.33100000000000002</v>
      </c>
      <c r="AE9" s="36">
        <v>0.31900000000000001</v>
      </c>
      <c r="AF9" s="36">
        <v>0.35599999999999998</v>
      </c>
      <c r="AG9" s="37">
        <v>0.315</v>
      </c>
      <c r="AH9" s="41">
        <v>0.314</v>
      </c>
      <c r="AI9" s="36">
        <v>0.32</v>
      </c>
      <c r="AJ9" s="36">
        <v>0.32300000000000001</v>
      </c>
      <c r="AK9" s="36">
        <v>0.315</v>
      </c>
      <c r="AL9" s="37">
        <v>0.32400000000000001</v>
      </c>
      <c r="AM9" s="41">
        <v>0.315</v>
      </c>
      <c r="AN9" s="36">
        <v>0.30099999999999999</v>
      </c>
      <c r="AO9" s="36">
        <v>0.30399999999999999</v>
      </c>
      <c r="AP9" s="36">
        <v>0.35</v>
      </c>
      <c r="AQ9" s="37">
        <v>0.315</v>
      </c>
      <c r="AR9" s="41">
        <v>0.314</v>
      </c>
      <c r="AS9" s="36">
        <v>0.30299999999999999</v>
      </c>
      <c r="AT9" s="36">
        <v>0.309</v>
      </c>
      <c r="AU9" s="36">
        <v>0.309</v>
      </c>
      <c r="AV9" s="37">
        <v>0.3</v>
      </c>
      <c r="AW9" s="41">
        <v>0.31</v>
      </c>
      <c r="AX9" s="36">
        <v>0.28399999999999997</v>
      </c>
      <c r="AY9" s="36">
        <v>0.31</v>
      </c>
      <c r="AZ9" s="36">
        <v>0.29399999999999998</v>
      </c>
      <c r="BA9" s="37">
        <v>0.33900000000000002</v>
      </c>
      <c r="BB9" s="41">
        <v>0.30399999999999999</v>
      </c>
      <c r="BC9" s="36">
        <v>0.30599999999999999</v>
      </c>
      <c r="BD9" s="36">
        <v>0.29899999999999999</v>
      </c>
      <c r="BE9" s="36">
        <v>0.308</v>
      </c>
      <c r="BF9" s="37">
        <v>0.316</v>
      </c>
      <c r="BG9" s="41">
        <v>0.308</v>
      </c>
      <c r="BH9" s="36">
        <v>0.309</v>
      </c>
      <c r="BI9" s="36">
        <v>0.317</v>
      </c>
      <c r="BJ9" s="36">
        <v>0.317</v>
      </c>
      <c r="BK9" s="37">
        <v>0.29899999999999999</v>
      </c>
      <c r="BL9" s="41">
        <v>0.307</v>
      </c>
      <c r="BM9" s="37">
        <v>0.33500000000000002</v>
      </c>
      <c r="BN9" s="143">
        <f t="shared" si="2"/>
        <v>0.31681875000000015</v>
      </c>
      <c r="BO9" s="143">
        <f t="shared" si="3"/>
        <v>0.27700000000000002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11" t="s">
        <v>9</v>
      </c>
      <c r="D10" s="32" t="s">
        <v>13</v>
      </c>
      <c r="E10" s="33" t="s">
        <v>13</v>
      </c>
      <c r="F10" s="33" t="s">
        <v>13</v>
      </c>
      <c r="G10" s="33" t="s">
        <v>13</v>
      </c>
      <c r="H10" s="34">
        <v>0.32400000000000001</v>
      </c>
      <c r="I10" s="40">
        <v>0.32300000000000001</v>
      </c>
      <c r="J10" s="33">
        <v>0.38900000000000001</v>
      </c>
      <c r="K10" s="33">
        <v>0.35499999999999998</v>
      </c>
      <c r="L10" s="33">
        <v>0.32300000000000001</v>
      </c>
      <c r="M10" s="34">
        <v>0.313</v>
      </c>
      <c r="N10" s="40">
        <v>0.314</v>
      </c>
      <c r="O10" s="33">
        <v>0.315</v>
      </c>
      <c r="P10" s="33">
        <v>0.309</v>
      </c>
      <c r="Q10" s="33">
        <v>0.316</v>
      </c>
      <c r="R10" s="34">
        <v>0.32300000000000001</v>
      </c>
      <c r="S10" s="40">
        <v>0.29199999999999998</v>
      </c>
      <c r="T10" s="33">
        <v>0.32200000000000001</v>
      </c>
      <c r="U10" s="33">
        <v>0.34399999999999997</v>
      </c>
      <c r="V10" s="33">
        <v>0.318</v>
      </c>
      <c r="W10" s="34">
        <v>0.315</v>
      </c>
      <c r="X10" s="40">
        <v>0.36</v>
      </c>
      <c r="Y10" s="33">
        <v>0.33</v>
      </c>
      <c r="Z10" s="33" t="s">
        <v>13</v>
      </c>
      <c r="AA10" s="33">
        <v>0.30599999999999999</v>
      </c>
      <c r="AB10" s="34" t="s">
        <v>13</v>
      </c>
      <c r="AC10" s="40">
        <v>0.33200000000000002</v>
      </c>
      <c r="AD10" s="33" t="s">
        <v>13</v>
      </c>
      <c r="AE10" s="33">
        <v>0.32100000000000001</v>
      </c>
      <c r="AF10" s="33">
        <v>0.33</v>
      </c>
      <c r="AG10" s="34">
        <v>0.318</v>
      </c>
      <c r="AH10" s="40">
        <v>0.32300000000000001</v>
      </c>
      <c r="AI10" s="33">
        <v>0.33</v>
      </c>
      <c r="AJ10" s="33" t="s">
        <v>13</v>
      </c>
      <c r="AK10" s="33">
        <v>0.308</v>
      </c>
      <c r="AL10" s="34">
        <v>0.35399999999999998</v>
      </c>
      <c r="AM10" s="40">
        <v>0.31</v>
      </c>
      <c r="AN10" s="33">
        <v>0.314</v>
      </c>
      <c r="AO10" s="33">
        <v>0.317</v>
      </c>
      <c r="AP10" s="33">
        <v>0.313</v>
      </c>
      <c r="AQ10" s="34">
        <v>0.33200000000000002</v>
      </c>
      <c r="AR10" s="40">
        <v>0.32100000000000001</v>
      </c>
      <c r="AS10" s="33">
        <v>0.312</v>
      </c>
      <c r="AT10" s="33">
        <v>0.32100000000000001</v>
      </c>
      <c r="AU10" s="33">
        <v>0.32800000000000001</v>
      </c>
      <c r="AV10" s="34">
        <v>0.32700000000000001</v>
      </c>
      <c r="AW10" s="40">
        <v>0.317</v>
      </c>
      <c r="AX10" s="33">
        <v>0.308</v>
      </c>
      <c r="AY10" s="33">
        <v>0.315</v>
      </c>
      <c r="AZ10" s="33">
        <v>0.315</v>
      </c>
      <c r="BA10" s="34">
        <v>0.32</v>
      </c>
      <c r="BB10" s="40">
        <v>0.30599999999999999</v>
      </c>
      <c r="BC10" s="33">
        <v>0.314</v>
      </c>
      <c r="BD10" s="33">
        <v>0.31900000000000001</v>
      </c>
      <c r="BE10" s="33">
        <v>0.314</v>
      </c>
      <c r="BF10" s="34">
        <v>0.312</v>
      </c>
      <c r="BG10" s="40">
        <v>0.32800000000000001</v>
      </c>
      <c r="BH10" s="33">
        <v>0.30099999999999999</v>
      </c>
      <c r="BI10" s="33" t="s">
        <v>13</v>
      </c>
      <c r="BJ10" s="33">
        <v>0.32300000000000001</v>
      </c>
      <c r="BK10" s="34" t="s">
        <v>13</v>
      </c>
      <c r="BL10" s="40" t="s">
        <v>13</v>
      </c>
      <c r="BM10" s="34" t="s">
        <v>13</v>
      </c>
      <c r="BN10" s="141">
        <f t="shared" ref="BN10:BN12" si="4">IFERROR(AVERAGE(D10:BM12),0)</f>
        <v>0.31993877551020405</v>
      </c>
      <c r="BO10" s="141">
        <f t="shared" ref="BO10:BO12" si="5">MIN(D10:BM12)</f>
        <v>0.27700000000000002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40">
        <v>8.3000000000000004E-2</v>
      </c>
      <c r="B11" s="7" t="s">
        <v>15</v>
      </c>
      <c r="C11" s="11" t="s">
        <v>11</v>
      </c>
      <c r="D11" s="38" t="s">
        <v>13</v>
      </c>
      <c r="E11" s="22" t="s">
        <v>13</v>
      </c>
      <c r="F11" s="22" t="s">
        <v>13</v>
      </c>
      <c r="G11" s="22" t="s">
        <v>13</v>
      </c>
      <c r="H11" s="39">
        <v>0.32300000000000001</v>
      </c>
      <c r="I11" s="42">
        <v>0.34799999999999998</v>
      </c>
      <c r="J11" s="22">
        <v>0.38100000000000001</v>
      </c>
      <c r="K11" s="22">
        <v>0.27700000000000002</v>
      </c>
      <c r="L11" s="22">
        <v>0.307</v>
      </c>
      <c r="M11" s="39">
        <v>0.316</v>
      </c>
      <c r="N11" s="42">
        <v>0.315</v>
      </c>
      <c r="O11" s="22">
        <v>0.318</v>
      </c>
      <c r="P11" s="22">
        <v>0.315</v>
      </c>
      <c r="Q11" s="22">
        <v>0.318</v>
      </c>
      <c r="R11" s="39">
        <v>0.29599999999999999</v>
      </c>
      <c r="S11" s="42">
        <v>0.32</v>
      </c>
      <c r="T11" s="22">
        <v>0.33400000000000002</v>
      </c>
      <c r="U11" s="22">
        <v>0.31900000000000001</v>
      </c>
      <c r="V11" s="22">
        <v>0.318</v>
      </c>
      <c r="W11" s="39">
        <v>0.31</v>
      </c>
      <c r="X11" s="42">
        <v>0.33</v>
      </c>
      <c r="Y11" s="22" t="s">
        <v>13</v>
      </c>
      <c r="Z11" s="22" t="s">
        <v>13</v>
      </c>
      <c r="AA11" s="22">
        <v>0.307</v>
      </c>
      <c r="AB11" s="39" t="s">
        <v>13</v>
      </c>
      <c r="AC11" s="42">
        <v>0.312</v>
      </c>
      <c r="AD11" s="22" t="s">
        <v>13</v>
      </c>
      <c r="AE11" s="22">
        <v>0.32800000000000001</v>
      </c>
      <c r="AF11" s="22">
        <v>0.33500000000000002</v>
      </c>
      <c r="AG11" s="39">
        <v>0.315</v>
      </c>
      <c r="AH11" s="42">
        <v>0.315</v>
      </c>
      <c r="AI11" s="22">
        <v>0.33</v>
      </c>
      <c r="AJ11" s="22" t="s">
        <v>13</v>
      </c>
      <c r="AK11" s="22">
        <v>0.30399999999999999</v>
      </c>
      <c r="AL11" s="39" t="s">
        <v>13</v>
      </c>
      <c r="AM11" s="42">
        <v>0.309</v>
      </c>
      <c r="AN11" s="22">
        <v>0.31900000000000001</v>
      </c>
      <c r="AO11" s="22">
        <v>0.29899999999999999</v>
      </c>
      <c r="AP11" s="22">
        <v>0.315</v>
      </c>
      <c r="AQ11" s="39">
        <v>0.33400000000000002</v>
      </c>
      <c r="AR11" s="42">
        <v>0.32300000000000001</v>
      </c>
      <c r="AS11" s="22">
        <v>0.32100000000000001</v>
      </c>
      <c r="AT11" s="22">
        <v>0.316</v>
      </c>
      <c r="AU11" s="22">
        <v>0.316</v>
      </c>
      <c r="AV11" s="39">
        <v>0.32</v>
      </c>
      <c r="AW11" s="42">
        <v>0.311</v>
      </c>
      <c r="AX11" s="22">
        <v>0.31900000000000001</v>
      </c>
      <c r="AY11" s="22">
        <v>0.307</v>
      </c>
      <c r="AZ11" s="22">
        <v>0.313</v>
      </c>
      <c r="BA11" s="39">
        <v>0.318</v>
      </c>
      <c r="BB11" s="42">
        <v>0.29499999999999998</v>
      </c>
      <c r="BC11" s="22">
        <v>0.29499999999999998</v>
      </c>
      <c r="BD11" s="22">
        <v>0.29899999999999999</v>
      </c>
      <c r="BE11" s="22">
        <v>0.30199999999999999</v>
      </c>
      <c r="BF11" s="39">
        <v>0.28899999999999998</v>
      </c>
      <c r="BG11" s="42">
        <v>0.30099999999999999</v>
      </c>
      <c r="BH11" s="22">
        <v>0.309</v>
      </c>
      <c r="BI11" s="22" t="s">
        <v>13</v>
      </c>
      <c r="BJ11" s="22">
        <v>0.32200000000000001</v>
      </c>
      <c r="BK11" s="39" t="s">
        <v>13</v>
      </c>
      <c r="BL11" s="42" t="s">
        <v>13</v>
      </c>
      <c r="BM11" s="39" t="s">
        <v>13</v>
      </c>
      <c r="BN11" s="142">
        <f t="shared" si="4"/>
        <v>0.31893814432989687</v>
      </c>
      <c r="BO11" s="142">
        <f t="shared" si="5"/>
        <v>0.27700000000000002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40"/>
      <c r="B12" s="8"/>
      <c r="C12" s="12" t="s">
        <v>12</v>
      </c>
      <c r="D12" s="35" t="s">
        <v>13</v>
      </c>
      <c r="E12" s="36" t="s">
        <v>13</v>
      </c>
      <c r="F12" s="36" t="s">
        <v>13</v>
      </c>
      <c r="G12" s="36" t="s">
        <v>13</v>
      </c>
      <c r="H12" s="37">
        <v>0.32400000000000001</v>
      </c>
      <c r="I12" s="41">
        <v>0.35299999999999998</v>
      </c>
      <c r="J12" s="36">
        <v>0.38300000000000001</v>
      </c>
      <c r="K12" s="36">
        <v>0.34499999999999997</v>
      </c>
      <c r="L12" s="36">
        <v>0.308</v>
      </c>
      <c r="M12" s="37">
        <v>0.311</v>
      </c>
      <c r="N12" s="41">
        <v>0.308</v>
      </c>
      <c r="O12" s="36">
        <v>0.31900000000000001</v>
      </c>
      <c r="P12" s="36">
        <v>0.312</v>
      </c>
      <c r="Q12" s="36">
        <v>0.316</v>
      </c>
      <c r="R12" s="37">
        <v>0.32600000000000001</v>
      </c>
      <c r="S12" s="41">
        <v>0.317</v>
      </c>
      <c r="T12" s="36">
        <v>0.34300000000000003</v>
      </c>
      <c r="U12" s="36">
        <v>0.314</v>
      </c>
      <c r="V12" s="36">
        <v>0.315</v>
      </c>
      <c r="W12" s="37">
        <v>0.314</v>
      </c>
      <c r="X12" s="41">
        <v>0.32200000000000001</v>
      </c>
      <c r="Y12" s="36">
        <v>0.33200000000000002</v>
      </c>
      <c r="Z12" s="36">
        <v>0.308</v>
      </c>
      <c r="AA12" s="36">
        <v>0.309</v>
      </c>
      <c r="AB12" s="37" t="s">
        <v>13</v>
      </c>
      <c r="AC12" s="41" t="s">
        <v>13</v>
      </c>
      <c r="AD12" s="36" t="s">
        <v>13</v>
      </c>
      <c r="AE12" s="36">
        <v>0.33700000000000002</v>
      </c>
      <c r="AF12" s="36">
        <v>0.33600000000000002</v>
      </c>
      <c r="AG12" s="37">
        <v>0.317</v>
      </c>
      <c r="AH12" s="41">
        <v>0.32900000000000001</v>
      </c>
      <c r="AI12" s="36">
        <v>0.33900000000000002</v>
      </c>
      <c r="AJ12" s="36" t="s">
        <v>13</v>
      </c>
      <c r="AK12" s="36">
        <v>0.35499999999999998</v>
      </c>
      <c r="AL12" s="37" t="s">
        <v>13</v>
      </c>
      <c r="AM12" s="41">
        <v>0.312</v>
      </c>
      <c r="AN12" s="36">
        <v>0.31900000000000001</v>
      </c>
      <c r="AO12" s="36">
        <v>0.38</v>
      </c>
      <c r="AP12" s="36">
        <v>0.31</v>
      </c>
      <c r="AQ12" s="37">
        <v>0.33300000000000002</v>
      </c>
      <c r="AR12" s="41">
        <v>0.33200000000000002</v>
      </c>
      <c r="AS12" s="36">
        <v>0.33300000000000002</v>
      </c>
      <c r="AT12" s="36">
        <v>0.31</v>
      </c>
      <c r="AU12" s="36">
        <v>0.33</v>
      </c>
      <c r="AV12" s="37">
        <v>0.313</v>
      </c>
      <c r="AW12" s="41">
        <v>0.318</v>
      </c>
      <c r="AX12" s="36">
        <v>0.318</v>
      </c>
      <c r="AY12" s="36">
        <v>0.31</v>
      </c>
      <c r="AZ12" s="36">
        <v>0.32</v>
      </c>
      <c r="BA12" s="37">
        <v>0.32</v>
      </c>
      <c r="BB12" s="41">
        <v>0.30299999999999999</v>
      </c>
      <c r="BC12" s="36">
        <v>0.314</v>
      </c>
      <c r="BD12" s="36">
        <v>0.29699999999999999</v>
      </c>
      <c r="BE12" s="36">
        <v>0.311</v>
      </c>
      <c r="BF12" s="37">
        <v>0.29399999999999998</v>
      </c>
      <c r="BG12" s="41">
        <v>0.30199999999999999</v>
      </c>
      <c r="BH12" s="36">
        <v>0.311</v>
      </c>
      <c r="BI12" s="36" t="s">
        <v>13</v>
      </c>
      <c r="BJ12" s="36">
        <v>0.312</v>
      </c>
      <c r="BK12" s="37" t="s">
        <v>13</v>
      </c>
      <c r="BL12" s="41" t="s">
        <v>13</v>
      </c>
      <c r="BM12" s="37" t="s">
        <v>13</v>
      </c>
      <c r="BN12" s="143">
        <f t="shared" si="4"/>
        <v>0.32232653061224503</v>
      </c>
      <c r="BO12" s="143">
        <f t="shared" si="5"/>
        <v>0.29399999999999998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11" t="s">
        <v>9</v>
      </c>
      <c r="D13" s="32" t="s">
        <v>13</v>
      </c>
      <c r="E13" s="33" t="s">
        <v>13</v>
      </c>
      <c r="F13" s="33" t="s">
        <v>13</v>
      </c>
      <c r="G13" s="33" t="s">
        <v>13</v>
      </c>
      <c r="H13" s="34" t="s">
        <v>13</v>
      </c>
      <c r="I13" s="40" t="s">
        <v>13</v>
      </c>
      <c r="J13" s="33" t="s">
        <v>13</v>
      </c>
      <c r="K13" s="33" t="s">
        <v>13</v>
      </c>
      <c r="L13" s="33" t="s">
        <v>13</v>
      </c>
      <c r="M13" s="34" t="s">
        <v>13</v>
      </c>
      <c r="N13" s="40" t="s">
        <v>13</v>
      </c>
      <c r="O13" s="33" t="s">
        <v>13</v>
      </c>
      <c r="P13" s="33" t="s">
        <v>13</v>
      </c>
      <c r="Q13" s="33" t="s">
        <v>13</v>
      </c>
      <c r="R13" s="34" t="s">
        <v>13</v>
      </c>
      <c r="S13" s="40" t="s">
        <v>13</v>
      </c>
      <c r="T13" s="33" t="s">
        <v>13</v>
      </c>
      <c r="U13" s="33" t="s">
        <v>13</v>
      </c>
      <c r="V13" s="33" t="s">
        <v>13</v>
      </c>
      <c r="W13" s="34" t="s">
        <v>13</v>
      </c>
      <c r="X13" s="40" t="s">
        <v>13</v>
      </c>
      <c r="Y13" s="33" t="s">
        <v>13</v>
      </c>
      <c r="Z13" s="33" t="s">
        <v>13</v>
      </c>
      <c r="AA13" s="33" t="s">
        <v>13</v>
      </c>
      <c r="AB13" s="34" t="s">
        <v>13</v>
      </c>
      <c r="AC13" s="40" t="s">
        <v>13</v>
      </c>
      <c r="AD13" s="33" t="s">
        <v>13</v>
      </c>
      <c r="AE13" s="33" t="s">
        <v>13</v>
      </c>
      <c r="AF13" s="33" t="s">
        <v>13</v>
      </c>
      <c r="AG13" s="34" t="s">
        <v>13</v>
      </c>
      <c r="AH13" s="40" t="s">
        <v>13</v>
      </c>
      <c r="AI13" s="33" t="s">
        <v>13</v>
      </c>
      <c r="AJ13" s="33" t="s">
        <v>13</v>
      </c>
      <c r="AK13" s="33" t="s">
        <v>13</v>
      </c>
      <c r="AL13" s="34" t="s">
        <v>13</v>
      </c>
      <c r="AM13" s="40" t="s">
        <v>13</v>
      </c>
      <c r="AN13" s="33" t="s">
        <v>13</v>
      </c>
      <c r="AO13" s="33" t="s">
        <v>13</v>
      </c>
      <c r="AP13" s="33" t="s">
        <v>13</v>
      </c>
      <c r="AQ13" s="34" t="s">
        <v>13</v>
      </c>
      <c r="AR13" s="40" t="s">
        <v>13</v>
      </c>
      <c r="AS13" s="33" t="s">
        <v>13</v>
      </c>
      <c r="AT13" s="33" t="s">
        <v>13</v>
      </c>
      <c r="AU13" s="33" t="s">
        <v>13</v>
      </c>
      <c r="AV13" s="34" t="s">
        <v>13</v>
      </c>
      <c r="AW13" s="40" t="s">
        <v>13</v>
      </c>
      <c r="AX13" s="33" t="s">
        <v>13</v>
      </c>
      <c r="AY13" s="33" t="s">
        <v>13</v>
      </c>
      <c r="AZ13" s="33" t="s">
        <v>13</v>
      </c>
      <c r="BA13" s="34" t="s">
        <v>13</v>
      </c>
      <c r="BB13" s="40" t="s">
        <v>13</v>
      </c>
      <c r="BC13" s="33" t="s">
        <v>13</v>
      </c>
      <c r="BD13" s="33" t="s">
        <v>13</v>
      </c>
      <c r="BE13" s="33" t="s">
        <v>13</v>
      </c>
      <c r="BF13" s="34" t="s">
        <v>13</v>
      </c>
      <c r="BG13" s="40" t="s">
        <v>13</v>
      </c>
      <c r="BH13" s="33" t="s">
        <v>13</v>
      </c>
      <c r="BI13" s="33" t="s">
        <v>13</v>
      </c>
      <c r="BJ13" s="33" t="s">
        <v>13</v>
      </c>
      <c r="BK13" s="34" t="s">
        <v>13</v>
      </c>
      <c r="BL13" s="40" t="s">
        <v>13</v>
      </c>
      <c r="BM13" s="34" t="s">
        <v>13</v>
      </c>
      <c r="BN13" s="141">
        <f t="shared" ref="BN13:BN15" si="6">IFERROR(AVERAGE(D13:BM15),0)</f>
        <v>0</v>
      </c>
      <c r="BO13" s="141">
        <f t="shared" ref="BO13:BO15" si="7">MIN(D13:BM15)</f>
        <v>0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40">
        <v>8.3000000000000004E-2</v>
      </c>
      <c r="B14" s="7" t="s">
        <v>16</v>
      </c>
      <c r="C14" s="11" t="s">
        <v>11</v>
      </c>
      <c r="D14" s="38" t="s">
        <v>13</v>
      </c>
      <c r="E14" s="22" t="s">
        <v>13</v>
      </c>
      <c r="F14" s="22" t="s">
        <v>13</v>
      </c>
      <c r="G14" s="22" t="s">
        <v>13</v>
      </c>
      <c r="H14" s="39" t="s">
        <v>13</v>
      </c>
      <c r="I14" s="42" t="s">
        <v>13</v>
      </c>
      <c r="J14" s="22" t="s">
        <v>13</v>
      </c>
      <c r="K14" s="22" t="s">
        <v>13</v>
      </c>
      <c r="L14" s="22" t="s">
        <v>13</v>
      </c>
      <c r="M14" s="39" t="s">
        <v>13</v>
      </c>
      <c r="N14" s="42" t="s">
        <v>13</v>
      </c>
      <c r="O14" s="22" t="s">
        <v>13</v>
      </c>
      <c r="P14" s="22" t="s">
        <v>13</v>
      </c>
      <c r="Q14" s="22" t="s">
        <v>13</v>
      </c>
      <c r="R14" s="39" t="s">
        <v>13</v>
      </c>
      <c r="S14" s="42" t="s">
        <v>13</v>
      </c>
      <c r="T14" s="22" t="s">
        <v>13</v>
      </c>
      <c r="U14" s="22" t="s">
        <v>13</v>
      </c>
      <c r="V14" s="22" t="s">
        <v>13</v>
      </c>
      <c r="W14" s="39" t="s">
        <v>13</v>
      </c>
      <c r="X14" s="42" t="s">
        <v>13</v>
      </c>
      <c r="Y14" s="22" t="s">
        <v>13</v>
      </c>
      <c r="Z14" s="22" t="s">
        <v>13</v>
      </c>
      <c r="AA14" s="22" t="s">
        <v>13</v>
      </c>
      <c r="AB14" s="39" t="s">
        <v>13</v>
      </c>
      <c r="AC14" s="42" t="s">
        <v>13</v>
      </c>
      <c r="AD14" s="22" t="s">
        <v>13</v>
      </c>
      <c r="AE14" s="22" t="s">
        <v>13</v>
      </c>
      <c r="AF14" s="22" t="s">
        <v>13</v>
      </c>
      <c r="AG14" s="39" t="s">
        <v>13</v>
      </c>
      <c r="AH14" s="42" t="s">
        <v>13</v>
      </c>
      <c r="AI14" s="22" t="s">
        <v>13</v>
      </c>
      <c r="AJ14" s="22" t="s">
        <v>13</v>
      </c>
      <c r="AK14" s="22" t="s">
        <v>13</v>
      </c>
      <c r="AL14" s="39" t="s">
        <v>13</v>
      </c>
      <c r="AM14" s="42" t="s">
        <v>13</v>
      </c>
      <c r="AN14" s="22" t="s">
        <v>13</v>
      </c>
      <c r="AO14" s="22" t="s">
        <v>13</v>
      </c>
      <c r="AP14" s="22" t="s">
        <v>13</v>
      </c>
      <c r="AQ14" s="39" t="s">
        <v>13</v>
      </c>
      <c r="AR14" s="42" t="s">
        <v>13</v>
      </c>
      <c r="AS14" s="22" t="s">
        <v>13</v>
      </c>
      <c r="AT14" s="22" t="s">
        <v>13</v>
      </c>
      <c r="AU14" s="22" t="s">
        <v>13</v>
      </c>
      <c r="AV14" s="39" t="s">
        <v>13</v>
      </c>
      <c r="AW14" s="42" t="s">
        <v>13</v>
      </c>
      <c r="AX14" s="22" t="s">
        <v>13</v>
      </c>
      <c r="AY14" s="22" t="s">
        <v>13</v>
      </c>
      <c r="AZ14" s="22" t="s">
        <v>13</v>
      </c>
      <c r="BA14" s="39" t="s">
        <v>13</v>
      </c>
      <c r="BB14" s="42" t="s">
        <v>13</v>
      </c>
      <c r="BC14" s="22" t="s">
        <v>13</v>
      </c>
      <c r="BD14" s="22" t="s">
        <v>13</v>
      </c>
      <c r="BE14" s="22" t="s">
        <v>13</v>
      </c>
      <c r="BF14" s="39" t="s">
        <v>13</v>
      </c>
      <c r="BG14" s="42" t="s">
        <v>13</v>
      </c>
      <c r="BH14" s="22" t="s">
        <v>13</v>
      </c>
      <c r="BI14" s="22" t="s">
        <v>13</v>
      </c>
      <c r="BJ14" s="22" t="s">
        <v>13</v>
      </c>
      <c r="BK14" s="39" t="s">
        <v>13</v>
      </c>
      <c r="BL14" s="42" t="s">
        <v>13</v>
      </c>
      <c r="BM14" s="39" t="s">
        <v>13</v>
      </c>
      <c r="BN14" s="142">
        <f t="shared" si="6"/>
        <v>31.5</v>
      </c>
      <c r="BO14" s="142">
        <f t="shared" si="7"/>
        <v>1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40"/>
      <c r="B15" s="8"/>
      <c r="C15" s="12" t="s">
        <v>12</v>
      </c>
      <c r="D15" s="35" t="s">
        <v>13</v>
      </c>
      <c r="E15" s="36" t="s">
        <v>13</v>
      </c>
      <c r="F15" s="36" t="s">
        <v>13</v>
      </c>
      <c r="G15" s="36" t="s">
        <v>13</v>
      </c>
      <c r="H15" s="37" t="s">
        <v>13</v>
      </c>
      <c r="I15" s="41" t="s">
        <v>13</v>
      </c>
      <c r="J15" s="36" t="s">
        <v>13</v>
      </c>
      <c r="K15" s="36" t="s">
        <v>13</v>
      </c>
      <c r="L15" s="36" t="s">
        <v>13</v>
      </c>
      <c r="M15" s="37" t="s">
        <v>13</v>
      </c>
      <c r="N15" s="41" t="s">
        <v>13</v>
      </c>
      <c r="O15" s="36" t="s">
        <v>13</v>
      </c>
      <c r="P15" s="36" t="s">
        <v>13</v>
      </c>
      <c r="Q15" s="36" t="s">
        <v>13</v>
      </c>
      <c r="R15" s="37" t="s">
        <v>13</v>
      </c>
      <c r="S15" s="41" t="s">
        <v>13</v>
      </c>
      <c r="T15" s="36" t="s">
        <v>13</v>
      </c>
      <c r="U15" s="36" t="s">
        <v>13</v>
      </c>
      <c r="V15" s="36" t="s">
        <v>13</v>
      </c>
      <c r="W15" s="37" t="s">
        <v>13</v>
      </c>
      <c r="X15" s="41" t="s">
        <v>13</v>
      </c>
      <c r="Y15" s="36" t="s">
        <v>13</v>
      </c>
      <c r="Z15" s="36" t="s">
        <v>13</v>
      </c>
      <c r="AA15" s="36" t="s">
        <v>13</v>
      </c>
      <c r="AB15" s="37" t="s">
        <v>13</v>
      </c>
      <c r="AC15" s="41" t="s">
        <v>13</v>
      </c>
      <c r="AD15" s="36" t="s">
        <v>13</v>
      </c>
      <c r="AE15" s="36" t="s">
        <v>13</v>
      </c>
      <c r="AF15" s="36" t="s">
        <v>13</v>
      </c>
      <c r="AG15" s="37" t="s">
        <v>13</v>
      </c>
      <c r="AH15" s="41" t="s">
        <v>13</v>
      </c>
      <c r="AI15" s="36" t="s">
        <v>13</v>
      </c>
      <c r="AJ15" s="36" t="s">
        <v>13</v>
      </c>
      <c r="AK15" s="36" t="s">
        <v>13</v>
      </c>
      <c r="AL15" s="37" t="s">
        <v>13</v>
      </c>
      <c r="AM15" s="41" t="s">
        <v>13</v>
      </c>
      <c r="AN15" s="36" t="s">
        <v>13</v>
      </c>
      <c r="AO15" s="36" t="s">
        <v>13</v>
      </c>
      <c r="AP15" s="36" t="s">
        <v>13</v>
      </c>
      <c r="AQ15" s="37" t="s">
        <v>13</v>
      </c>
      <c r="AR15" s="41" t="s">
        <v>13</v>
      </c>
      <c r="AS15" s="36" t="s">
        <v>13</v>
      </c>
      <c r="AT15" s="36" t="s">
        <v>13</v>
      </c>
      <c r="AU15" s="36" t="s">
        <v>13</v>
      </c>
      <c r="AV15" s="37" t="s">
        <v>13</v>
      </c>
      <c r="AW15" s="41" t="s">
        <v>13</v>
      </c>
      <c r="AX15" s="36" t="s">
        <v>13</v>
      </c>
      <c r="AY15" s="36" t="s">
        <v>13</v>
      </c>
      <c r="AZ15" s="36" t="s">
        <v>13</v>
      </c>
      <c r="BA15" s="37" t="s">
        <v>13</v>
      </c>
      <c r="BB15" s="41" t="s">
        <v>13</v>
      </c>
      <c r="BC15" s="36" t="s">
        <v>13</v>
      </c>
      <c r="BD15" s="36" t="s">
        <v>13</v>
      </c>
      <c r="BE15" s="36" t="s">
        <v>13</v>
      </c>
      <c r="BF15" s="37" t="s">
        <v>13</v>
      </c>
      <c r="BG15" s="41" t="s">
        <v>13</v>
      </c>
      <c r="BH15" s="36" t="s">
        <v>13</v>
      </c>
      <c r="BI15" s="36" t="s">
        <v>13</v>
      </c>
      <c r="BJ15" s="36" t="s">
        <v>13</v>
      </c>
      <c r="BK15" s="37" t="s">
        <v>13</v>
      </c>
      <c r="BL15" s="41" t="s">
        <v>13</v>
      </c>
      <c r="BM15" s="37" t="s">
        <v>13</v>
      </c>
      <c r="BN15" s="143">
        <f t="shared" si="6"/>
        <v>31.5</v>
      </c>
      <c r="BO15" s="143">
        <f t="shared" si="7"/>
        <v>1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customHeight="1" x14ac:dyDescent="0.2">
      <c r="A16" s="144" t="s">
        <v>4</v>
      </c>
      <c r="B16" s="145"/>
      <c r="C16" s="18" t="s">
        <v>5</v>
      </c>
      <c r="D16" s="26">
        <v>1</v>
      </c>
      <c r="E16" s="27">
        <v>2</v>
      </c>
      <c r="F16" s="27">
        <v>3</v>
      </c>
      <c r="G16" s="27">
        <v>4</v>
      </c>
      <c r="H16" s="27">
        <v>5</v>
      </c>
      <c r="I16" s="27">
        <v>6</v>
      </c>
      <c r="J16" s="27">
        <v>7</v>
      </c>
      <c r="K16" s="27">
        <v>8</v>
      </c>
      <c r="L16" s="27">
        <v>9</v>
      </c>
      <c r="M16" s="27">
        <v>10</v>
      </c>
      <c r="N16" s="27">
        <v>11</v>
      </c>
      <c r="O16" s="27">
        <v>12</v>
      </c>
      <c r="P16" s="27">
        <v>13</v>
      </c>
      <c r="Q16" s="27">
        <v>14</v>
      </c>
      <c r="R16" s="27">
        <v>15</v>
      </c>
      <c r="S16" s="27">
        <v>16</v>
      </c>
      <c r="T16" s="27">
        <v>17</v>
      </c>
      <c r="U16" s="27">
        <v>18</v>
      </c>
      <c r="V16" s="27">
        <v>19</v>
      </c>
      <c r="W16" s="27">
        <v>20</v>
      </c>
      <c r="X16" s="27">
        <v>21</v>
      </c>
      <c r="Y16" s="27">
        <v>22</v>
      </c>
      <c r="Z16" s="27">
        <v>23</v>
      </c>
      <c r="AA16" s="27">
        <v>24</v>
      </c>
      <c r="AB16" s="27">
        <v>25</v>
      </c>
      <c r="AC16" s="27">
        <v>26</v>
      </c>
      <c r="AD16" s="27">
        <v>27</v>
      </c>
      <c r="AE16" s="27">
        <v>28</v>
      </c>
      <c r="AF16" s="27">
        <v>29</v>
      </c>
      <c r="AG16" s="27">
        <v>30</v>
      </c>
      <c r="AH16" s="27">
        <v>31</v>
      </c>
      <c r="AI16" s="27">
        <v>32</v>
      </c>
      <c r="AJ16" s="27">
        <v>33</v>
      </c>
      <c r="AK16" s="27">
        <v>34</v>
      </c>
      <c r="AL16" s="27">
        <v>35</v>
      </c>
      <c r="AM16" s="27">
        <v>36</v>
      </c>
      <c r="AN16" s="27">
        <v>37</v>
      </c>
      <c r="AO16" s="27">
        <v>38</v>
      </c>
      <c r="AP16" s="27">
        <v>39</v>
      </c>
      <c r="AQ16" s="27">
        <v>40</v>
      </c>
      <c r="AR16" s="27">
        <v>41</v>
      </c>
      <c r="AS16" s="27">
        <v>42</v>
      </c>
      <c r="AT16" s="27">
        <v>43</v>
      </c>
      <c r="AU16" s="27">
        <v>44</v>
      </c>
      <c r="AV16" s="27">
        <v>45</v>
      </c>
      <c r="AW16" s="27">
        <v>46</v>
      </c>
      <c r="AX16" s="27">
        <v>47</v>
      </c>
      <c r="AY16" s="27">
        <v>48</v>
      </c>
      <c r="AZ16" s="27">
        <v>49</v>
      </c>
      <c r="BA16" s="27">
        <v>50</v>
      </c>
      <c r="BB16" s="27">
        <v>51</v>
      </c>
      <c r="BC16" s="27">
        <v>52</v>
      </c>
      <c r="BD16" s="27">
        <v>53</v>
      </c>
      <c r="BE16" s="27">
        <v>54</v>
      </c>
      <c r="BF16" s="27">
        <v>55</v>
      </c>
      <c r="BG16" s="27">
        <v>56</v>
      </c>
      <c r="BH16" s="27">
        <v>57</v>
      </c>
      <c r="BI16" s="27">
        <v>58</v>
      </c>
      <c r="BJ16" s="27">
        <v>59</v>
      </c>
      <c r="BK16" s="27">
        <v>60</v>
      </c>
      <c r="BL16" s="27">
        <v>61</v>
      </c>
      <c r="BM16" s="28">
        <v>62</v>
      </c>
      <c r="BN16" s="29" t="s">
        <v>6</v>
      </c>
      <c r="BO16" s="30" t="s">
        <v>7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hidden="1" customHeight="1" x14ac:dyDescent="0.2">
      <c r="A68" s="13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hidden="1" customHeight="1" x14ac:dyDescent="0.2">
      <c r="A69" s="13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hidden="1" customHeight="1" x14ac:dyDescent="0.2">
      <c r="A70" s="13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hidden="1" customHeight="1" x14ac:dyDescent="0.2">
      <c r="A71" s="13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hidden="1" customHeight="1" x14ac:dyDescent="0.2">
      <c r="A72" s="13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hidden="1" customHeight="1" x14ac:dyDescent="0.2">
      <c r="A73" s="1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hidden="1" customHeight="1" x14ac:dyDescent="0.2">
      <c r="A74" s="13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hidden="1" customHeight="1" x14ac:dyDescent="0.2">
      <c r="A75" s="13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hidden="1" customHeight="1" x14ac:dyDescent="0.2">
      <c r="A76" s="13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 t="s">
        <v>8</v>
      </c>
      <c r="B97" s="79" t="s">
        <v>17</v>
      </c>
      <c r="C97" s="146" t="s">
        <v>18</v>
      </c>
      <c r="D97" s="147"/>
      <c r="E97" s="147"/>
      <c r="F97" s="147"/>
      <c r="G97" s="147"/>
      <c r="H97" s="147"/>
      <c r="I97" s="147"/>
      <c r="J97" s="147"/>
      <c r="K97" s="147"/>
      <c r="L97" s="147"/>
      <c r="M97" s="148" t="s">
        <v>19</v>
      </c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50">
        <v>3</v>
      </c>
      <c r="AA97" s="150"/>
      <c r="AB97" s="150"/>
      <c r="AC97" s="150"/>
      <c r="AD97" s="150"/>
      <c r="AE97" s="150"/>
      <c r="AF97" s="151"/>
      <c r="AG97" s="188" t="s">
        <v>20</v>
      </c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90"/>
      <c r="AW97" s="182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74" t="s">
        <v>21</v>
      </c>
      <c r="BS97" s="174"/>
      <c r="BT97" s="174"/>
      <c r="BU97" s="174"/>
      <c r="BV97" s="174"/>
      <c r="BW97" s="174"/>
      <c r="BX97" s="174"/>
      <c r="BY97" s="174"/>
      <c r="BZ97" s="174"/>
      <c r="CA97" s="174"/>
      <c r="CB97" s="174"/>
      <c r="CC97" s="174"/>
      <c r="CD97" s="174"/>
      <c r="CE97" s="174"/>
      <c r="CF97" s="174"/>
      <c r="CG97" s="174"/>
      <c r="CH97" s="174"/>
      <c r="CI97" s="174"/>
      <c r="CJ97" s="174"/>
      <c r="CK97" s="175"/>
      <c r="CL97" s="168" t="s">
        <v>22</v>
      </c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  <c r="DG97" s="169"/>
      <c r="DH97" s="169"/>
      <c r="DI97" s="169"/>
      <c r="DJ97" s="169"/>
      <c r="DK97" s="169"/>
      <c r="DL97" s="169"/>
      <c r="DM97" s="169"/>
      <c r="DN97" s="169"/>
      <c r="DO97" s="169"/>
      <c r="DP97" s="169"/>
      <c r="DQ97" s="169"/>
      <c r="DR97" s="169"/>
      <c r="DS97" s="169"/>
      <c r="DT97" s="169"/>
      <c r="DU97" s="169"/>
      <c r="DV97" s="169"/>
      <c r="DW97" s="169"/>
      <c r="DX97" s="169"/>
      <c r="DY97" s="169"/>
      <c r="DZ97" s="170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91" t="s">
        <v>23</v>
      </c>
      <c r="B98" s="80" t="s">
        <v>24</v>
      </c>
      <c r="C98" s="192" t="s">
        <v>25</v>
      </c>
      <c r="D98" s="193"/>
      <c r="E98" s="193"/>
      <c r="F98" s="193"/>
      <c r="G98" s="193"/>
      <c r="H98" s="193"/>
      <c r="I98" s="193"/>
      <c r="J98" s="193"/>
      <c r="K98" s="193"/>
      <c r="L98" s="193"/>
      <c r="M98" s="194" t="s">
        <v>26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6" t="s">
        <v>27</v>
      </c>
      <c r="AA98" s="196"/>
      <c r="AB98" s="196"/>
      <c r="AC98" s="196"/>
      <c r="AD98" s="196"/>
      <c r="AE98" s="196"/>
      <c r="AF98" s="196"/>
      <c r="AG98" s="197">
        <f>TRUNC(MAX(D4:BM6,D7:BM9,D10:BM12,D13:BM15),3)</f>
        <v>0.39800000000000002</v>
      </c>
      <c r="AH98" s="198"/>
      <c r="AI98" s="198"/>
      <c r="AJ98" s="198"/>
      <c r="AK98" s="198"/>
      <c r="AL98" s="199" t="s">
        <v>28</v>
      </c>
      <c r="AM98" s="200"/>
      <c r="AN98" s="200"/>
      <c r="AO98" s="200"/>
      <c r="AP98" s="200"/>
      <c r="AQ98" s="200"/>
      <c r="AR98" s="200"/>
      <c r="AS98" s="200"/>
      <c r="AT98" s="200"/>
      <c r="AU98" s="200"/>
      <c r="AV98" s="201"/>
      <c r="AW98" s="184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 s="185"/>
      <c r="BO98" s="185"/>
      <c r="BP98" s="185"/>
      <c r="BQ98" s="185"/>
      <c r="BR98" s="176"/>
      <c r="BS98" s="176"/>
      <c r="BT98" s="176"/>
      <c r="BU98" s="176"/>
      <c r="BV98" s="176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7"/>
      <c r="CL98" s="171" t="s">
        <v>29</v>
      </c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  <c r="CY98" s="172"/>
      <c r="CZ98" s="172"/>
      <c r="DA98" s="172"/>
      <c r="DB98" s="172"/>
      <c r="DC98" s="172"/>
      <c r="DD98" s="172"/>
      <c r="DE98" s="172"/>
      <c r="DF98" s="172"/>
      <c r="DG98" s="172"/>
      <c r="DH98" s="172"/>
      <c r="DI98" s="172"/>
      <c r="DJ98" s="172"/>
      <c r="DK98" s="172"/>
      <c r="DL98" s="172"/>
      <c r="DM98" s="172"/>
      <c r="DN98" s="172"/>
      <c r="DO98" s="172"/>
      <c r="DP98" s="172"/>
      <c r="DQ98" s="172"/>
      <c r="DR98" s="172"/>
      <c r="DS98" s="172"/>
      <c r="DT98" s="172"/>
      <c r="DU98" s="172"/>
      <c r="DV98" s="172"/>
      <c r="DW98" s="172"/>
      <c r="DX98" s="172"/>
      <c r="DY98" s="172"/>
      <c r="DZ98" s="173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91"/>
      <c r="B99" s="81" t="s">
        <v>30</v>
      </c>
      <c r="C99" s="202" t="s">
        <v>31</v>
      </c>
      <c r="D99" s="203"/>
      <c r="E99" s="203"/>
      <c r="F99" s="203"/>
      <c r="G99" s="203"/>
      <c r="H99" s="203"/>
      <c r="I99" s="203"/>
      <c r="J99" s="203"/>
      <c r="K99" s="203"/>
      <c r="L99" s="203"/>
      <c r="M99" s="194" t="s">
        <v>32</v>
      </c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204">
        <v>0.3</v>
      </c>
      <c r="AA99" s="204"/>
      <c r="AB99" s="204"/>
      <c r="AC99" s="204"/>
      <c r="AD99" s="204"/>
      <c r="AE99" s="204"/>
      <c r="AF99" s="204"/>
      <c r="AG99" s="205">
        <f>TRUNC(AVERAGE(D4:BM6,D7:BM9,D10:BM12,D13:BM15),3)</f>
        <v>0.32300000000000001</v>
      </c>
      <c r="AH99" s="206"/>
      <c r="AI99" s="206"/>
      <c r="AJ99" s="206"/>
      <c r="AK99" s="206"/>
      <c r="AL99" s="207" t="s">
        <v>33</v>
      </c>
      <c r="AM99" s="208"/>
      <c r="AN99" s="208"/>
      <c r="AO99" s="208"/>
      <c r="AP99" s="208"/>
      <c r="AQ99" s="208"/>
      <c r="AR99" s="208"/>
      <c r="AS99" s="208"/>
      <c r="AT99" s="208"/>
      <c r="AU99" s="208"/>
      <c r="AV99" s="209"/>
      <c r="AW99" s="184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5"/>
      <c r="BN99" s="185"/>
      <c r="BO99" s="185"/>
      <c r="BP99" s="185"/>
      <c r="BQ99" s="185"/>
      <c r="BR99" s="176"/>
      <c r="BS99" s="176"/>
      <c r="BT99" s="176"/>
      <c r="BU99" s="176"/>
      <c r="BV99" s="176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7"/>
      <c r="CL99" s="165" t="s">
        <v>34</v>
      </c>
      <c r="CM99" s="166"/>
      <c r="CN99" s="166"/>
      <c r="CO99" s="166"/>
      <c r="CP99" s="166"/>
      <c r="CQ99" s="166"/>
      <c r="CR99" s="166"/>
      <c r="CS99" s="166"/>
      <c r="CT99" s="166"/>
      <c r="CU99" s="166"/>
      <c r="CV99" s="166"/>
      <c r="CW99" s="166"/>
      <c r="CX99" s="166"/>
      <c r="CY99" s="166"/>
      <c r="CZ99" s="166"/>
      <c r="DA99" s="166"/>
      <c r="DB99" s="166"/>
      <c r="DC99" s="166"/>
      <c r="DD99" s="166"/>
      <c r="DE99" s="166"/>
      <c r="DF99" s="166"/>
      <c r="DG99" s="166"/>
      <c r="DH99" s="166"/>
      <c r="DI99" s="166"/>
      <c r="DJ99" s="166"/>
      <c r="DK99" s="166"/>
      <c r="DL99" s="166"/>
      <c r="DM99" s="166"/>
      <c r="DN99" s="166"/>
      <c r="DO99" s="166"/>
      <c r="DP99" s="166"/>
      <c r="DQ99" s="166"/>
      <c r="DR99" s="166"/>
      <c r="DS99" s="166"/>
      <c r="DT99" s="166"/>
      <c r="DU99" s="166"/>
      <c r="DV99" s="166"/>
      <c r="DW99" s="166"/>
      <c r="DX99" s="166"/>
      <c r="DY99" s="166"/>
      <c r="DZ99" s="167"/>
    </row>
    <row r="100" spans="1:182" ht="36" customHeight="1" x14ac:dyDescent="0.2">
      <c r="A100" s="191"/>
      <c r="B100" s="82" t="s">
        <v>35</v>
      </c>
      <c r="C100" s="210" t="s">
        <v>36</v>
      </c>
      <c r="D100" s="211"/>
      <c r="E100" s="211"/>
      <c r="F100" s="211"/>
      <c r="G100" s="211"/>
      <c r="H100" s="211"/>
      <c r="I100" s="211"/>
      <c r="J100" s="211"/>
      <c r="K100" s="211"/>
      <c r="L100" s="211"/>
      <c r="M100" s="194" t="s">
        <v>37</v>
      </c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212">
        <v>8.3000000000000004E-2</v>
      </c>
      <c r="AA100" s="212"/>
      <c r="AB100" s="212"/>
      <c r="AC100" s="212"/>
      <c r="AD100" s="212"/>
      <c r="AE100" s="212"/>
      <c r="AF100" s="212"/>
      <c r="AG100" s="213">
        <f>TRUNC(MIN(D4:BM6,D7:BM9,D10:BM12,D13:BM15),3)</f>
        <v>0.27700000000000002</v>
      </c>
      <c r="AH100" s="206"/>
      <c r="AI100" s="206"/>
      <c r="AJ100" s="206"/>
      <c r="AK100" s="206"/>
      <c r="AL100" s="207" t="s">
        <v>38</v>
      </c>
      <c r="AM100" s="208"/>
      <c r="AN100" s="208"/>
      <c r="AO100" s="208"/>
      <c r="AP100" s="208"/>
      <c r="AQ100" s="208"/>
      <c r="AR100" s="208"/>
      <c r="AS100" s="208"/>
      <c r="AT100" s="208"/>
      <c r="AU100" s="208"/>
      <c r="AV100" s="209"/>
      <c r="AW100" s="186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7"/>
      <c r="BO100" s="187"/>
      <c r="BP100" s="187"/>
      <c r="BQ100" s="187"/>
      <c r="BR100" s="178"/>
      <c r="BS100" s="178"/>
      <c r="BT100" s="178"/>
      <c r="BU100" s="178"/>
      <c r="BV100" s="178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9"/>
      <c r="CL100" s="165" t="s">
        <v>39</v>
      </c>
      <c r="CM100" s="166"/>
      <c r="CN100" s="166"/>
      <c r="CO100" s="166"/>
      <c r="CP100" s="166"/>
      <c r="CQ100" s="166"/>
      <c r="CR100" s="166"/>
      <c r="CS100" s="166"/>
      <c r="CT100" s="166"/>
      <c r="CU100" s="166"/>
      <c r="CV100" s="166"/>
      <c r="CW100" s="166"/>
      <c r="CX100" s="166"/>
      <c r="CY100" s="166"/>
      <c r="CZ100" s="166"/>
      <c r="DA100" s="166"/>
      <c r="DB100" s="166"/>
      <c r="DC100" s="166"/>
      <c r="DD100" s="166"/>
      <c r="DE100" s="166"/>
      <c r="DF100" s="166"/>
      <c r="DG100" s="166"/>
      <c r="DH100" s="166"/>
      <c r="DI100" s="166"/>
      <c r="DJ100" s="166"/>
      <c r="DK100" s="166"/>
      <c r="DL100" s="166"/>
      <c r="DM100" s="166"/>
      <c r="DN100" s="166"/>
      <c r="DO100" s="166"/>
      <c r="DP100" s="166"/>
      <c r="DQ100" s="166"/>
      <c r="DR100" s="166"/>
      <c r="DS100" s="166"/>
      <c r="DT100" s="166"/>
      <c r="DU100" s="166"/>
      <c r="DV100" s="166"/>
      <c r="DW100" s="166"/>
      <c r="DX100" s="166"/>
      <c r="DY100" s="166"/>
      <c r="DZ100" s="167"/>
    </row>
    <row r="101" spans="1:182" ht="36" customHeight="1" x14ac:dyDescent="0.2">
      <c r="A101" s="191"/>
      <c r="B101" s="83" t="s">
        <v>40</v>
      </c>
      <c r="C101" s="214" t="s">
        <v>41</v>
      </c>
      <c r="D101" s="211"/>
      <c r="E101" s="211"/>
      <c r="F101" s="211"/>
      <c r="G101" s="211"/>
      <c r="H101" s="211"/>
      <c r="I101" s="211"/>
      <c r="J101" s="211"/>
      <c r="K101" s="211"/>
      <c r="L101" s="211"/>
      <c r="M101" s="215" t="s">
        <v>42</v>
      </c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7">
        <v>0.2</v>
      </c>
      <c r="AA101" s="217"/>
      <c r="AB101" s="217"/>
      <c r="AC101" s="217"/>
      <c r="AD101" s="217"/>
      <c r="AE101" s="217"/>
      <c r="AF101" s="217"/>
      <c r="AG101" s="218">
        <f>STDEV(D4:BM6,D7:BM9,D10:BM12,D13:BM15)</f>
        <v>1.9267463063276057E-2</v>
      </c>
      <c r="AH101" s="219"/>
      <c r="AI101" s="219"/>
      <c r="AJ101" s="219"/>
      <c r="AK101" s="219"/>
      <c r="AL101" s="220" t="s">
        <v>43</v>
      </c>
      <c r="AM101" s="221"/>
      <c r="AN101" s="221"/>
      <c r="AO101" s="221"/>
      <c r="AP101" s="221"/>
      <c r="AQ101" s="221"/>
      <c r="AR101" s="221"/>
      <c r="AS101" s="221"/>
      <c r="AT101" s="221"/>
      <c r="AU101" s="221"/>
      <c r="AV101" s="222"/>
      <c r="AW101" s="180" t="s">
        <v>44</v>
      </c>
      <c r="AX101" s="180"/>
      <c r="AY101" s="180"/>
      <c r="AZ101" s="180"/>
      <c r="BA101" s="180"/>
      <c r="BB101" s="180"/>
      <c r="BC101" s="180"/>
      <c r="BD101" s="180"/>
      <c r="BE101" s="180"/>
      <c r="BF101" s="180"/>
      <c r="BG101" s="180"/>
      <c r="BH101" s="180"/>
      <c r="BI101" s="180"/>
      <c r="BJ101" s="180"/>
      <c r="BK101" s="180"/>
      <c r="BL101" s="180"/>
      <c r="BM101" s="180"/>
      <c r="BN101" s="180"/>
      <c r="BO101" s="180"/>
      <c r="BP101" s="180"/>
      <c r="BQ101" s="180"/>
      <c r="BR101" s="180"/>
      <c r="BS101" s="180"/>
      <c r="BT101" s="180"/>
      <c r="BU101" s="180"/>
      <c r="BV101" s="180"/>
      <c r="BW101" s="180"/>
      <c r="BX101" s="180"/>
      <c r="BY101" s="180"/>
      <c r="BZ101" s="180"/>
      <c r="CA101" s="180"/>
      <c r="CB101" s="180"/>
      <c r="CC101" s="180"/>
      <c r="CD101" s="180"/>
      <c r="CE101" s="180"/>
      <c r="CF101" s="180"/>
      <c r="CG101" s="180"/>
      <c r="CH101" s="180"/>
      <c r="CI101" s="180"/>
      <c r="CJ101" s="180"/>
      <c r="CK101" s="181"/>
      <c r="CL101" s="137" t="s">
        <v>45</v>
      </c>
      <c r="CM101" s="138"/>
      <c r="CN101" s="138"/>
      <c r="CO101" s="138"/>
      <c r="CP101" s="138"/>
      <c r="CQ101" s="138"/>
      <c r="CR101" s="138"/>
      <c r="CS101" s="138"/>
      <c r="CT101" s="138"/>
      <c r="CU101" s="138"/>
      <c r="CV101" s="138"/>
      <c r="CW101" s="138"/>
      <c r="CX101" s="138"/>
      <c r="CY101" s="138"/>
      <c r="CZ101" s="138"/>
      <c r="DA101" s="138"/>
      <c r="DB101" s="138"/>
      <c r="DC101" s="138"/>
      <c r="DD101" s="138"/>
      <c r="DE101" s="138"/>
      <c r="DF101" s="138"/>
      <c r="DG101" s="138"/>
      <c r="DH101" s="138"/>
      <c r="DI101" s="138"/>
      <c r="DJ101" s="138"/>
      <c r="DK101" s="138"/>
      <c r="DL101" s="138"/>
      <c r="DM101" s="138"/>
      <c r="DN101" s="138"/>
      <c r="DO101" s="138"/>
      <c r="DP101" s="138"/>
      <c r="DQ101" s="138"/>
      <c r="DR101" s="138"/>
      <c r="DS101" s="138"/>
      <c r="DT101" s="138"/>
      <c r="DU101" s="138"/>
      <c r="DV101" s="138"/>
      <c r="DW101" s="138"/>
      <c r="DX101" s="138"/>
      <c r="DY101" s="138"/>
      <c r="DZ101" s="139"/>
    </row>
    <row r="102" spans="1:182" ht="36" customHeight="1" x14ac:dyDescent="0.35">
      <c r="B102" s="16" t="s">
        <v>46</v>
      </c>
    </row>
    <row r="103" spans="1:182" ht="36" customHeight="1" x14ac:dyDescent="0.2"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174" t="s">
        <v>21</v>
      </c>
      <c r="BS105" s="174"/>
      <c r="BT105" s="174"/>
      <c r="BU105" s="174"/>
      <c r="BV105" s="174"/>
      <c r="BW105" s="174"/>
      <c r="BX105" s="174"/>
      <c r="BY105" s="174"/>
      <c r="BZ105" s="174"/>
      <c r="CA105" s="174"/>
      <c r="CB105" s="174"/>
      <c r="CC105" s="174"/>
      <c r="CD105" s="174"/>
      <c r="CE105" s="174"/>
      <c r="CF105" s="174"/>
      <c r="CG105" s="174"/>
      <c r="CH105" s="174"/>
      <c r="CI105" s="174"/>
      <c r="CJ105" s="174"/>
      <c r="CK105" s="175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176"/>
      <c r="BS106" s="176"/>
      <c r="BT106" s="176"/>
      <c r="BU106" s="176"/>
      <c r="BV106" s="176"/>
      <c r="BW106" s="176"/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7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176"/>
      <c r="BS107" s="176"/>
      <c r="BT107" s="176"/>
      <c r="BU107" s="176"/>
      <c r="BV107" s="176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7"/>
    </row>
    <row r="108" spans="1:182" x14ac:dyDescent="0.2">
      <c r="BR108" s="178"/>
      <c r="BS108" s="178"/>
      <c r="BT108" s="178"/>
      <c r="BU108" s="178"/>
      <c r="BV108" s="178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9"/>
    </row>
    <row r="110" spans="1:182" x14ac:dyDescent="0.2">
      <c r="BR110" s="174" t="s">
        <v>47</v>
      </c>
      <c r="BS110" s="174"/>
      <c r="BT110" s="174"/>
      <c r="BU110" s="174"/>
      <c r="BV110" s="174"/>
      <c r="BW110" s="174"/>
      <c r="BX110" s="174"/>
      <c r="BY110" s="174"/>
      <c r="BZ110" s="174"/>
      <c r="CA110" s="174"/>
      <c r="CB110" s="174"/>
      <c r="CC110" s="174"/>
      <c r="CD110" s="174"/>
      <c r="CE110" s="174"/>
      <c r="CF110" s="174"/>
      <c r="CG110" s="174"/>
      <c r="CH110" s="174"/>
      <c r="CI110" s="174"/>
      <c r="CJ110" s="174"/>
      <c r="CK110" s="175"/>
    </row>
    <row r="111" spans="1:182" x14ac:dyDescent="0.2">
      <c r="BR111" s="176"/>
      <c r="BS111" s="176"/>
      <c r="BT111" s="176"/>
      <c r="BU111" s="176"/>
      <c r="BV111" s="176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7"/>
    </row>
    <row r="112" spans="1:182" x14ac:dyDescent="0.2">
      <c r="BR112" s="176"/>
      <c r="BS112" s="176"/>
      <c r="BT112" s="176"/>
      <c r="BU112" s="176"/>
      <c r="BV112" s="176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7"/>
    </row>
    <row r="113" spans="70:89" x14ac:dyDescent="0.2">
      <c r="BR113" s="178"/>
      <c r="BS113" s="178"/>
      <c r="BT113" s="178"/>
      <c r="BU113" s="178"/>
      <c r="BV113" s="178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9"/>
    </row>
    <row r="115" spans="70:89" x14ac:dyDescent="0.2">
      <c r="BR115" s="174" t="s">
        <v>48</v>
      </c>
      <c r="BS115" s="174"/>
      <c r="BT115" s="174"/>
      <c r="BU115" s="174"/>
      <c r="BV115" s="174"/>
      <c r="BW115" s="174"/>
      <c r="BX115" s="174"/>
      <c r="BY115" s="174"/>
      <c r="BZ115" s="174"/>
      <c r="CA115" s="174"/>
      <c r="CB115" s="174"/>
      <c r="CC115" s="174"/>
      <c r="CD115" s="174"/>
      <c r="CE115" s="174"/>
      <c r="CF115" s="174"/>
      <c r="CG115" s="174"/>
      <c r="CH115" s="174"/>
      <c r="CI115" s="174"/>
      <c r="CJ115" s="174"/>
      <c r="CK115" s="175"/>
    </row>
    <row r="116" spans="70:89" x14ac:dyDescent="0.2">
      <c r="BR116" s="176"/>
      <c r="BS116" s="176"/>
      <c r="BT116" s="176"/>
      <c r="BU116" s="176"/>
      <c r="BV116" s="176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7"/>
    </row>
    <row r="117" spans="70:89" x14ac:dyDescent="0.2">
      <c r="BR117" s="176"/>
      <c r="BS117" s="176"/>
      <c r="BT117" s="176"/>
      <c r="BU117" s="176"/>
      <c r="BV117" s="176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7"/>
    </row>
    <row r="118" spans="70:89" x14ac:dyDescent="0.2">
      <c r="BR118" s="178"/>
      <c r="BS118" s="178"/>
      <c r="BT118" s="178"/>
      <c r="BU118" s="178"/>
      <c r="BV118" s="178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9"/>
    </row>
  </sheetData>
  <mergeCells count="55">
    <mergeCell ref="AL100:AV100"/>
    <mergeCell ref="C101:L101"/>
    <mergeCell ref="M101:Y101"/>
    <mergeCell ref="Z101:AF101"/>
    <mergeCell ref="AG101:AK101"/>
    <mergeCell ref="AL101:AV101"/>
    <mergeCell ref="AG97:AV97"/>
    <mergeCell ref="A98:A101"/>
    <mergeCell ref="C98:L98"/>
    <mergeCell ref="M98:Y98"/>
    <mergeCell ref="Z98:AF98"/>
    <mergeCell ref="AG98:AK98"/>
    <mergeCell ref="AL98:AV98"/>
    <mergeCell ref="C99:L99"/>
    <mergeCell ref="M99:Y99"/>
    <mergeCell ref="Z99:AF99"/>
    <mergeCell ref="AG99:AK99"/>
    <mergeCell ref="AL99:AV99"/>
    <mergeCell ref="C100:L100"/>
    <mergeCell ref="M100:Y100"/>
    <mergeCell ref="Z100:AF100"/>
    <mergeCell ref="AG100:AK100"/>
    <mergeCell ref="BR110:CK113"/>
    <mergeCell ref="BR115:CK118"/>
    <mergeCell ref="AW101:CK101"/>
    <mergeCell ref="AW97:BQ100"/>
    <mergeCell ref="BR105:CK108"/>
    <mergeCell ref="BR97:CK100"/>
    <mergeCell ref="DQ1:DZ1"/>
    <mergeCell ref="DQ2:DZ2"/>
    <mergeCell ref="CL100:DZ100"/>
    <mergeCell ref="CL99:DZ99"/>
    <mergeCell ref="CL97:DZ97"/>
    <mergeCell ref="CL98:DZ98"/>
    <mergeCell ref="A3:B3"/>
    <mergeCell ref="A5:A6"/>
    <mergeCell ref="A1:B2"/>
    <mergeCell ref="C1:DP1"/>
    <mergeCell ref="C2:DP2"/>
    <mergeCell ref="CL101:DZ101"/>
    <mergeCell ref="A8:A9"/>
    <mergeCell ref="BN4:BN6"/>
    <mergeCell ref="BO4:BO6"/>
    <mergeCell ref="A11:A12"/>
    <mergeCell ref="BN7:BN9"/>
    <mergeCell ref="BO7:BO9"/>
    <mergeCell ref="A14:A15"/>
    <mergeCell ref="BN10:BN12"/>
    <mergeCell ref="BO10:BO12"/>
    <mergeCell ref="BN13:BN15"/>
    <mergeCell ref="BO13:BO15"/>
    <mergeCell ref="A16:B16"/>
    <mergeCell ref="C97:L97"/>
    <mergeCell ref="M97:Y97"/>
    <mergeCell ref="Z97:AF97"/>
  </mergeCells>
  <phoneticPr fontId="0" type="noConversion"/>
  <conditionalFormatting sqref="D4:BM15 AG98:AG100">
    <cfRule type="cellIs" dxfId="32" priority="1" operator="between">
      <formula>0.001</formula>
      <formula>0.083</formula>
    </cfRule>
    <cfRule type="cellIs" dxfId="31" priority="2" operator="between">
      <formula>0.084</formula>
      <formula>0.113</formula>
    </cfRule>
    <cfRule type="cellIs" dxfId="30" priority="3" operator="between">
      <formula>0.114</formula>
      <formula>0.143</formula>
    </cfRule>
    <cfRule type="cellIs" dxfId="29" priority="4" operator="between">
      <formula>0.144</formula>
      <formula>0.173</formula>
    </cfRule>
    <cfRule type="cellIs" dxfId="28" priority="5" operator="between">
      <formula>0.174</formula>
      <formula>0.203</formula>
    </cfRule>
    <cfRule type="cellIs" dxfId="27" priority="6" operator="between">
      <formula>0.204</formula>
      <formula>0.233</formula>
    </cfRule>
    <cfRule type="cellIs" dxfId="26" priority="7" operator="between">
      <formula>0.234</formula>
      <formula>0.263</formula>
    </cfRule>
    <cfRule type="cellIs" dxfId="25" priority="8" operator="between">
      <formula>0.264</formula>
      <formula>0.293</formula>
    </cfRule>
    <cfRule type="cellIs" dxfId="24" priority="9" operator="between">
      <formula>0.294</formula>
      <formula>0.323</formula>
    </cfRule>
    <cfRule type="cellIs" dxfId="23" priority="10" operator="between">
      <formula>0.324</formula>
      <formula>0.999</formula>
    </cfRule>
    <cfRule type="containsText" dxfId="22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scale="35" pageOrder="overThenDown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4082-2C08-4EA2-A58E-EFA3AF935193}">
  <sheetPr>
    <pageSetUpPr fitToPage="1"/>
  </sheetPr>
  <dimension ref="A1:IK118"/>
  <sheetViews>
    <sheetView tabSelected="1" zoomScale="25" zoomScaleNormal="25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282">
        <f>Thickness!A1</f>
        <v>2025</v>
      </c>
      <c r="B1" s="283"/>
      <c r="C1" s="286" t="str">
        <f>IF(ISBLANK(Thickness!C1),"",(Thickness!C1))</f>
        <v xml:space="preserve">NC - NOT CLEAN; </v>
      </c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7"/>
      <c r="BE1" s="287"/>
      <c r="BF1" s="287"/>
      <c r="BG1" s="287"/>
      <c r="BH1" s="287"/>
      <c r="BI1" s="287"/>
      <c r="BJ1" s="287"/>
      <c r="BK1" s="287"/>
      <c r="BL1" s="287"/>
      <c r="BM1" s="287"/>
      <c r="BN1" s="287"/>
      <c r="BO1" s="287"/>
      <c r="BP1" s="287"/>
      <c r="BQ1" s="287"/>
      <c r="BR1" s="287"/>
      <c r="BS1" s="287"/>
      <c r="BT1" s="287"/>
      <c r="BU1" s="287"/>
      <c r="BV1" s="287"/>
      <c r="BW1" s="287"/>
      <c r="BX1" s="287"/>
      <c r="BY1" s="287"/>
      <c r="BZ1" s="287"/>
      <c r="CA1" s="287"/>
      <c r="CB1" s="287"/>
      <c r="CC1" s="287"/>
      <c r="CD1" s="287"/>
      <c r="CE1" s="287"/>
      <c r="CF1" s="287"/>
      <c r="CG1" s="287"/>
      <c r="CH1" s="287"/>
      <c r="CI1" s="287"/>
      <c r="CJ1" s="287"/>
      <c r="CK1" s="287"/>
      <c r="CL1" s="287"/>
      <c r="CM1" s="287"/>
      <c r="CN1" s="287"/>
      <c r="CO1" s="287"/>
      <c r="CP1" s="287"/>
      <c r="CQ1" s="287"/>
      <c r="CR1" s="287"/>
      <c r="CS1" s="287"/>
      <c r="CT1" s="287"/>
      <c r="CU1" s="287"/>
      <c r="CV1" s="287"/>
      <c r="CW1" s="287"/>
      <c r="CX1" s="287"/>
      <c r="CY1" s="287"/>
      <c r="CZ1" s="287"/>
      <c r="DA1" s="287"/>
      <c r="DB1" s="287"/>
      <c r="DC1" s="287"/>
      <c r="DD1" s="287"/>
      <c r="DE1" s="287"/>
      <c r="DF1" s="287"/>
      <c r="DG1" s="287"/>
      <c r="DH1" s="287"/>
      <c r="DI1" s="287"/>
      <c r="DJ1" s="287"/>
      <c r="DK1" s="287"/>
      <c r="DL1" s="287"/>
      <c r="DM1" s="287"/>
      <c r="DN1" s="287"/>
      <c r="DO1" s="287"/>
      <c r="DP1" s="288"/>
      <c r="DQ1" s="162" t="s">
        <v>1</v>
      </c>
      <c r="DR1" s="163"/>
      <c r="DS1" s="163"/>
      <c r="DT1" s="163"/>
      <c r="DU1" s="163"/>
      <c r="DV1" s="163"/>
      <c r="DW1" s="163"/>
      <c r="DX1" s="163"/>
      <c r="DY1" s="163"/>
      <c r="DZ1" s="164"/>
    </row>
    <row r="2" spans="1:182" s="5" customFormat="1" ht="36" customHeight="1" x14ac:dyDescent="0.2">
      <c r="A2" s="284"/>
      <c r="B2" s="285"/>
      <c r="C2" s="159" t="s">
        <v>49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0"/>
      <c r="BO2" s="160"/>
      <c r="BP2" s="160"/>
      <c r="BQ2" s="160"/>
      <c r="BR2" s="160"/>
      <c r="BS2" s="160"/>
      <c r="BT2" s="160"/>
      <c r="BU2" s="160"/>
      <c r="BV2" s="160"/>
      <c r="BW2" s="160"/>
      <c r="BX2" s="160"/>
      <c r="BY2" s="160"/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60"/>
      <c r="CL2" s="160"/>
      <c r="CM2" s="160"/>
      <c r="CN2" s="160"/>
      <c r="CO2" s="160"/>
      <c r="CP2" s="160"/>
      <c r="CQ2" s="160"/>
      <c r="CR2" s="160"/>
      <c r="CS2" s="160"/>
      <c r="CT2" s="160"/>
      <c r="CU2" s="160"/>
      <c r="CV2" s="160"/>
      <c r="CW2" s="160"/>
      <c r="CX2" s="160"/>
      <c r="CY2" s="160"/>
      <c r="CZ2" s="160"/>
      <c r="DA2" s="160"/>
      <c r="DB2" s="160"/>
      <c r="DC2" s="160"/>
      <c r="DD2" s="160"/>
      <c r="DE2" s="160"/>
      <c r="DF2" s="160"/>
      <c r="DG2" s="160"/>
      <c r="DH2" s="160"/>
      <c r="DI2" s="160"/>
      <c r="DJ2" s="160"/>
      <c r="DK2" s="160"/>
      <c r="DL2" s="160"/>
      <c r="DM2" s="160"/>
      <c r="DN2" s="160"/>
      <c r="DO2" s="160"/>
      <c r="DP2" s="161"/>
      <c r="DQ2" s="162" t="s">
        <v>3</v>
      </c>
      <c r="DR2" s="163"/>
      <c r="DS2" s="163"/>
      <c r="DT2" s="163"/>
      <c r="DU2" s="163"/>
      <c r="DV2" s="163"/>
      <c r="DW2" s="163"/>
      <c r="DX2" s="163"/>
      <c r="DY2" s="163"/>
      <c r="DZ2" s="164"/>
      <c r="EA2" s="4"/>
    </row>
    <row r="3" spans="1:182" s="5" customFormat="1" ht="36" customHeight="1" x14ac:dyDescent="0.2">
      <c r="A3" s="144" t="s">
        <v>4</v>
      </c>
      <c r="B3" s="145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84">
        <v>62</v>
      </c>
      <c r="BN3" s="29" t="s">
        <v>6</v>
      </c>
      <c r="BO3" s="30" t="s">
        <v>50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11" t="s">
        <v>9</v>
      </c>
      <c r="D4" s="43">
        <v>2.95</v>
      </c>
      <c r="E4" s="44">
        <v>4.71</v>
      </c>
      <c r="F4" s="44">
        <v>3.71</v>
      </c>
      <c r="G4" s="44">
        <v>5.52</v>
      </c>
      <c r="H4" s="45">
        <v>2.4500000000000002</v>
      </c>
      <c r="I4" s="97">
        <v>0.42799999999999999</v>
      </c>
      <c r="J4" s="33" t="s">
        <v>51</v>
      </c>
      <c r="K4" s="33">
        <v>0.56799999999999995</v>
      </c>
      <c r="L4" s="33" t="s">
        <v>51</v>
      </c>
      <c r="M4" s="34" t="s">
        <v>51</v>
      </c>
      <c r="N4" s="48">
        <v>2.87</v>
      </c>
      <c r="O4" s="33" t="s">
        <v>51</v>
      </c>
      <c r="P4" s="51">
        <v>4.4000000000000004</v>
      </c>
      <c r="Q4" s="33" t="s">
        <v>51</v>
      </c>
      <c r="R4" s="45">
        <v>2.4900000000000002</v>
      </c>
      <c r="S4" s="48">
        <v>4.2699999999999996</v>
      </c>
      <c r="T4" s="54">
        <v>11.8</v>
      </c>
      <c r="U4" s="33" t="s">
        <v>51</v>
      </c>
      <c r="V4" s="44">
        <v>5.69</v>
      </c>
      <c r="W4" s="45">
        <v>7.47</v>
      </c>
      <c r="X4" s="57">
        <v>3.3</v>
      </c>
      <c r="Y4" s="51">
        <v>7.5</v>
      </c>
      <c r="Z4" s="44">
        <v>2.84</v>
      </c>
      <c r="AA4" s="44">
        <v>2.13</v>
      </c>
      <c r="AB4" s="45">
        <v>1.81</v>
      </c>
      <c r="AC4" s="40">
        <v>0.6</v>
      </c>
      <c r="AD4" s="44">
        <v>3.06</v>
      </c>
      <c r="AE4" s="33" t="s">
        <v>51</v>
      </c>
      <c r="AF4" s="51">
        <v>5.0999999999999996</v>
      </c>
      <c r="AG4" s="45">
        <v>1.95</v>
      </c>
      <c r="AH4" s="48">
        <v>1.84</v>
      </c>
      <c r="AI4" s="51">
        <v>2.6</v>
      </c>
      <c r="AJ4" s="44">
        <v>3.98</v>
      </c>
      <c r="AK4" s="33" t="s">
        <v>51</v>
      </c>
      <c r="AL4" s="34" t="s">
        <v>51</v>
      </c>
      <c r="AM4" s="48">
        <v>3.17</v>
      </c>
      <c r="AN4" s="44">
        <v>2.59</v>
      </c>
      <c r="AO4" s="44">
        <v>7.23</v>
      </c>
      <c r="AP4" s="54">
        <v>11.3</v>
      </c>
      <c r="AQ4" s="34" t="s">
        <v>51</v>
      </c>
      <c r="AR4" s="48">
        <v>3.97</v>
      </c>
      <c r="AS4" s="44">
        <v>3.85</v>
      </c>
      <c r="AT4" s="51">
        <v>7.9</v>
      </c>
      <c r="AU4" s="51">
        <v>7.3</v>
      </c>
      <c r="AV4" s="34" t="s">
        <v>51</v>
      </c>
      <c r="AW4" s="48">
        <v>2.64</v>
      </c>
      <c r="AX4" s="33" t="s">
        <v>51</v>
      </c>
      <c r="AY4" s="44">
        <v>1.65</v>
      </c>
      <c r="AZ4" s="51">
        <v>3.9</v>
      </c>
      <c r="BA4" s="45">
        <v>3.93</v>
      </c>
      <c r="BB4" s="48">
        <v>4.29</v>
      </c>
      <c r="BC4" s="44">
        <v>4.59</v>
      </c>
      <c r="BD4" s="51">
        <v>4.0999999999999996</v>
      </c>
      <c r="BE4" s="33">
        <v>0.64600000000000002</v>
      </c>
      <c r="BF4" s="34" t="s">
        <v>51</v>
      </c>
      <c r="BG4" s="48">
        <v>5.61</v>
      </c>
      <c r="BH4" s="44">
        <v>3.92</v>
      </c>
      <c r="BI4" s="51">
        <v>5.7</v>
      </c>
      <c r="BJ4" s="44">
        <v>1.99</v>
      </c>
      <c r="BK4" s="34">
        <v>0.61499999999999999</v>
      </c>
      <c r="BL4" s="57">
        <v>4.0999999999999996</v>
      </c>
      <c r="BM4" s="45">
        <v>2.17</v>
      </c>
      <c r="BN4" s="141">
        <f t="shared" ref="BN4:BN6" si="0">IFERROR(AVERAGE(D4:BM6),0)</f>
        <v>3.735125874125873</v>
      </c>
      <c r="BO4" s="141">
        <f t="shared" ref="BO4:BO15" si="1">MAX(D4:BM6)</f>
        <v>11.8</v>
      </c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40" t="s">
        <v>52</v>
      </c>
      <c r="B5" s="7" t="s">
        <v>10</v>
      </c>
      <c r="C5" s="11" t="s">
        <v>11</v>
      </c>
      <c r="D5" s="38">
        <v>0.41399999999999998</v>
      </c>
      <c r="E5" s="98">
        <v>3.45</v>
      </c>
      <c r="F5" s="98">
        <v>4.07</v>
      </c>
      <c r="G5" s="98">
        <v>3.78</v>
      </c>
      <c r="H5" s="47">
        <v>2.34</v>
      </c>
      <c r="I5" s="42" t="s">
        <v>51</v>
      </c>
      <c r="J5" s="22" t="s">
        <v>51</v>
      </c>
      <c r="K5" s="98">
        <v>1.18</v>
      </c>
      <c r="L5" s="98">
        <v>2.88</v>
      </c>
      <c r="M5" s="47">
        <v>9.16</v>
      </c>
      <c r="N5" s="53">
        <v>6.28</v>
      </c>
      <c r="O5" s="22" t="s">
        <v>51</v>
      </c>
      <c r="P5" s="99">
        <v>6.6</v>
      </c>
      <c r="Q5" s="98">
        <v>1.57</v>
      </c>
      <c r="R5" s="47">
        <v>4.5199999999999996</v>
      </c>
      <c r="S5" s="53">
        <v>5.17</v>
      </c>
      <c r="T5" s="98">
        <v>3.97</v>
      </c>
      <c r="U5" s="98">
        <v>6.25</v>
      </c>
      <c r="V5" s="98">
        <v>5.13</v>
      </c>
      <c r="W5" s="47">
        <v>3.61</v>
      </c>
      <c r="X5" s="53">
        <v>1.57</v>
      </c>
      <c r="Y5" s="100">
        <v>2</v>
      </c>
      <c r="Z5" s="98">
        <v>5.21</v>
      </c>
      <c r="AA5" s="22">
        <v>0.95499999999999996</v>
      </c>
      <c r="AB5" s="47">
        <v>1.52</v>
      </c>
      <c r="AC5" s="53">
        <v>3.67</v>
      </c>
      <c r="AD5" s="98">
        <v>4.92</v>
      </c>
      <c r="AE5" s="22" t="s">
        <v>51</v>
      </c>
      <c r="AF5" s="99">
        <v>2.8</v>
      </c>
      <c r="AG5" s="72">
        <v>6.6</v>
      </c>
      <c r="AH5" s="53">
        <v>2.5499999999999998</v>
      </c>
      <c r="AI5" s="98">
        <v>4.96</v>
      </c>
      <c r="AJ5" s="98">
        <v>6.84</v>
      </c>
      <c r="AK5" s="98">
        <v>2.29</v>
      </c>
      <c r="AL5" s="47">
        <v>4.38</v>
      </c>
      <c r="AM5" s="53">
        <v>5.75</v>
      </c>
      <c r="AN5" s="22" t="s">
        <v>51</v>
      </c>
      <c r="AO5" s="98">
        <v>6.28</v>
      </c>
      <c r="AP5" s="22" t="s">
        <v>51</v>
      </c>
      <c r="AQ5" s="39" t="s">
        <v>51</v>
      </c>
      <c r="AR5" s="71">
        <v>7.9</v>
      </c>
      <c r="AS5" s="98">
        <v>5.16</v>
      </c>
      <c r="AT5" s="98">
        <v>6.96</v>
      </c>
      <c r="AU5" s="98">
        <v>4.3099999999999996</v>
      </c>
      <c r="AV5" s="39" t="s">
        <v>51</v>
      </c>
      <c r="AW5" s="42" t="s">
        <v>51</v>
      </c>
      <c r="AX5" s="98">
        <v>1.39</v>
      </c>
      <c r="AY5" s="22" t="s">
        <v>51</v>
      </c>
      <c r="AZ5" s="98">
        <v>3.61</v>
      </c>
      <c r="BA5" s="101">
        <v>5</v>
      </c>
      <c r="BB5" s="53">
        <v>3.17</v>
      </c>
      <c r="BC5" s="98">
        <v>5.07</v>
      </c>
      <c r="BD5" s="98">
        <v>4.53</v>
      </c>
      <c r="BE5" s="22" t="s">
        <v>51</v>
      </c>
      <c r="BF5" s="47">
        <v>4.29</v>
      </c>
      <c r="BG5" s="53">
        <v>3.32</v>
      </c>
      <c r="BH5" s="98">
        <v>2.63</v>
      </c>
      <c r="BI5" s="22" t="s">
        <v>51</v>
      </c>
      <c r="BJ5" s="98">
        <v>2.78</v>
      </c>
      <c r="BK5" s="102">
        <v>3.72</v>
      </c>
      <c r="BL5" s="42">
        <v>0.61699999999999999</v>
      </c>
      <c r="BM5" s="47">
        <v>3.74</v>
      </c>
      <c r="BN5" s="142">
        <f t="shared" si="0"/>
        <v>3.9508333333333332</v>
      </c>
      <c r="BO5" s="142">
        <f t="shared" si="1"/>
        <v>12.2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40"/>
      <c r="B6" s="8"/>
      <c r="C6" s="12" t="s">
        <v>12</v>
      </c>
      <c r="D6" s="35" t="s">
        <v>51</v>
      </c>
      <c r="E6" s="36" t="s">
        <v>51</v>
      </c>
      <c r="F6" s="46">
        <v>4.2699999999999996</v>
      </c>
      <c r="G6" s="46">
        <v>4.3600000000000003</v>
      </c>
      <c r="H6" s="37">
        <v>0.19800000000000001</v>
      </c>
      <c r="I6" s="41">
        <v>0.95399999999999996</v>
      </c>
      <c r="J6" s="36" t="s">
        <v>51</v>
      </c>
      <c r="K6" s="103">
        <v>0.47</v>
      </c>
      <c r="L6" s="46">
        <v>4.53</v>
      </c>
      <c r="M6" s="56">
        <v>2.6</v>
      </c>
      <c r="N6" s="41" t="s">
        <v>51</v>
      </c>
      <c r="O6" s="36" t="s">
        <v>51</v>
      </c>
      <c r="P6" s="46">
        <v>3.36</v>
      </c>
      <c r="Q6" s="36" t="s">
        <v>51</v>
      </c>
      <c r="R6" s="50">
        <v>5.76</v>
      </c>
      <c r="S6" s="55">
        <v>6.48</v>
      </c>
      <c r="T6" s="36" t="s">
        <v>51</v>
      </c>
      <c r="U6" s="36" t="s">
        <v>51</v>
      </c>
      <c r="V6" s="49">
        <v>4.0999999999999996</v>
      </c>
      <c r="W6" s="37" t="s">
        <v>51</v>
      </c>
      <c r="X6" s="55">
        <v>6.31</v>
      </c>
      <c r="Y6" s="46">
        <v>3.59</v>
      </c>
      <c r="Z6" s="46">
        <v>1.89</v>
      </c>
      <c r="AA6" s="36" t="s">
        <v>51</v>
      </c>
      <c r="AB6" s="50">
        <v>2.72</v>
      </c>
      <c r="AC6" s="41">
        <v>0.82899999999999996</v>
      </c>
      <c r="AD6" s="73">
        <v>3</v>
      </c>
      <c r="AE6" s="46">
        <v>4.0599999999999996</v>
      </c>
      <c r="AF6" s="103">
        <v>0.51500000000000001</v>
      </c>
      <c r="AG6" s="50">
        <v>3.16</v>
      </c>
      <c r="AH6" s="55">
        <v>2.61</v>
      </c>
      <c r="AI6" s="36" t="s">
        <v>51</v>
      </c>
      <c r="AJ6" s="103">
        <v>0.64800000000000002</v>
      </c>
      <c r="AK6" s="46">
        <v>4.05</v>
      </c>
      <c r="AL6" s="37">
        <v>0.23100000000000001</v>
      </c>
      <c r="AM6" s="55">
        <v>1.83</v>
      </c>
      <c r="AN6" s="36" t="s">
        <v>51</v>
      </c>
      <c r="AO6" s="46">
        <v>5.34</v>
      </c>
      <c r="AP6" s="36" t="s">
        <v>51</v>
      </c>
      <c r="AQ6" s="104">
        <v>0.67400000000000004</v>
      </c>
      <c r="AR6" s="55">
        <v>3.76</v>
      </c>
      <c r="AS6" s="46">
        <v>6.69</v>
      </c>
      <c r="AT6" s="46">
        <v>3.33</v>
      </c>
      <c r="AU6" s="46">
        <v>6.05</v>
      </c>
      <c r="AV6" s="37" t="s">
        <v>51</v>
      </c>
      <c r="AW6" s="41">
        <v>0.91100000000000003</v>
      </c>
      <c r="AX6" s="46">
        <v>1.87</v>
      </c>
      <c r="AY6" s="46">
        <v>1.36</v>
      </c>
      <c r="AZ6" s="46">
        <v>4.9800000000000004</v>
      </c>
      <c r="BA6" s="50">
        <v>2.96</v>
      </c>
      <c r="BB6" s="55">
        <v>4.28</v>
      </c>
      <c r="BC6" s="46">
        <v>8.4600000000000009</v>
      </c>
      <c r="BD6" s="36">
        <v>0.06</v>
      </c>
      <c r="BE6" s="49">
        <v>3.1</v>
      </c>
      <c r="BF6" s="37" t="s">
        <v>51</v>
      </c>
      <c r="BG6" s="55">
        <v>1.42</v>
      </c>
      <c r="BH6" s="46">
        <v>3.28</v>
      </c>
      <c r="BI6" s="36" t="s">
        <v>51</v>
      </c>
      <c r="BJ6" s="36" t="s">
        <v>51</v>
      </c>
      <c r="BK6" s="37" t="s">
        <v>51</v>
      </c>
      <c r="BL6" s="55">
        <v>5.41</v>
      </c>
      <c r="BM6" s="56">
        <v>3.6</v>
      </c>
      <c r="BN6" s="143">
        <f t="shared" si="0"/>
        <v>4.0200251572327037</v>
      </c>
      <c r="BO6" s="143">
        <f t="shared" si="1"/>
        <v>12.2</v>
      </c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11" t="s">
        <v>9</v>
      </c>
      <c r="D7" s="43">
        <v>1.73</v>
      </c>
      <c r="E7" s="33" t="s">
        <v>51</v>
      </c>
      <c r="F7" s="44">
        <v>2.75</v>
      </c>
      <c r="G7" s="33" t="s">
        <v>51</v>
      </c>
      <c r="H7" s="45">
        <v>1.91</v>
      </c>
      <c r="I7" s="40">
        <v>0.89900000000000002</v>
      </c>
      <c r="J7" s="44">
        <v>2.66</v>
      </c>
      <c r="K7" s="44">
        <v>4.75</v>
      </c>
      <c r="L7" s="51">
        <v>1.4</v>
      </c>
      <c r="M7" s="45">
        <v>5.67</v>
      </c>
      <c r="N7" s="48">
        <v>3.06</v>
      </c>
      <c r="O7" s="44">
        <v>8.49</v>
      </c>
      <c r="P7" s="44">
        <v>3.46</v>
      </c>
      <c r="Q7" s="44">
        <v>4.53</v>
      </c>
      <c r="R7" s="45">
        <v>2.33</v>
      </c>
      <c r="S7" s="48">
        <v>5.39</v>
      </c>
      <c r="T7" s="44">
        <v>4.0599999999999996</v>
      </c>
      <c r="U7" s="44">
        <v>4.97</v>
      </c>
      <c r="V7" s="44">
        <v>3.51</v>
      </c>
      <c r="W7" s="45">
        <v>5.19</v>
      </c>
      <c r="X7" s="48">
        <v>3.42</v>
      </c>
      <c r="Y7" s="44">
        <v>3.58</v>
      </c>
      <c r="Z7" s="44">
        <v>4.09</v>
      </c>
      <c r="AA7" s="44">
        <v>2.04</v>
      </c>
      <c r="AB7" s="45">
        <v>3.99</v>
      </c>
      <c r="AC7" s="40" t="s">
        <v>51</v>
      </c>
      <c r="AD7" s="33" t="s">
        <v>51</v>
      </c>
      <c r="AE7" s="44">
        <v>1.36</v>
      </c>
      <c r="AF7" s="44">
        <v>4.8099999999999996</v>
      </c>
      <c r="AG7" s="45">
        <v>3.86</v>
      </c>
      <c r="AH7" s="48">
        <v>4.97</v>
      </c>
      <c r="AI7" s="33" t="s">
        <v>51</v>
      </c>
      <c r="AJ7" s="44">
        <v>4.63</v>
      </c>
      <c r="AK7" s="44">
        <v>3.28</v>
      </c>
      <c r="AL7" s="34" t="s">
        <v>51</v>
      </c>
      <c r="AM7" s="48">
        <v>2.33</v>
      </c>
      <c r="AN7" s="44">
        <v>4.2300000000000004</v>
      </c>
      <c r="AO7" s="44">
        <v>4.8899999999999997</v>
      </c>
      <c r="AP7" s="44">
        <v>6.77</v>
      </c>
      <c r="AQ7" s="45">
        <v>4.3099999999999996</v>
      </c>
      <c r="AR7" s="48">
        <v>4.37</v>
      </c>
      <c r="AS7" s="44">
        <v>5.23</v>
      </c>
      <c r="AT7" s="44">
        <v>4.75</v>
      </c>
      <c r="AU7" s="44">
        <v>5.41</v>
      </c>
      <c r="AV7" s="45">
        <v>5.13</v>
      </c>
      <c r="AW7" s="57">
        <v>3.2</v>
      </c>
      <c r="AX7" s="44">
        <v>8.14</v>
      </c>
      <c r="AY7" s="44">
        <v>4.1500000000000004</v>
      </c>
      <c r="AZ7" s="44">
        <v>6.68</v>
      </c>
      <c r="BA7" s="52">
        <v>6.5</v>
      </c>
      <c r="BB7" s="48">
        <v>7.96</v>
      </c>
      <c r="BC7" s="51">
        <v>3.7</v>
      </c>
      <c r="BD7" s="44">
        <v>4.8099999999999996</v>
      </c>
      <c r="BE7" s="44">
        <v>7.17</v>
      </c>
      <c r="BF7" s="52">
        <v>4.5999999999999996</v>
      </c>
      <c r="BG7" s="48">
        <v>3.83</v>
      </c>
      <c r="BH7" s="44">
        <v>6.62</v>
      </c>
      <c r="BI7" s="44">
        <v>7.89</v>
      </c>
      <c r="BJ7" s="44">
        <v>1.32</v>
      </c>
      <c r="BK7" s="45">
        <v>2.16</v>
      </c>
      <c r="BL7" s="74">
        <v>12.2</v>
      </c>
      <c r="BM7" s="45">
        <v>6.56</v>
      </c>
      <c r="BN7" s="141">
        <f t="shared" ref="BN7:BN9" si="2">IFERROR(AVERAGE(D7:BM9),0)</f>
        <v>4.2418720930232574</v>
      </c>
      <c r="BO7" s="141">
        <f t="shared" si="1"/>
        <v>12.2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40" t="s">
        <v>52</v>
      </c>
      <c r="B8" s="7" t="s">
        <v>14</v>
      </c>
      <c r="C8" s="11" t="s">
        <v>11</v>
      </c>
      <c r="D8" s="105">
        <v>3.6</v>
      </c>
      <c r="E8" s="98">
        <v>4.66</v>
      </c>
      <c r="F8" s="98">
        <v>4.67</v>
      </c>
      <c r="G8" s="22" t="s">
        <v>51</v>
      </c>
      <c r="H8" s="47">
        <v>3.96</v>
      </c>
      <c r="I8" s="53">
        <v>3.09</v>
      </c>
      <c r="J8" s="98">
        <v>1.27</v>
      </c>
      <c r="K8" s="98">
        <v>2.37</v>
      </c>
      <c r="L8" s="98">
        <v>3.62</v>
      </c>
      <c r="M8" s="47">
        <v>3.26</v>
      </c>
      <c r="N8" s="53">
        <v>5.53</v>
      </c>
      <c r="O8" s="98">
        <v>3.52</v>
      </c>
      <c r="P8" s="98">
        <v>6.77</v>
      </c>
      <c r="Q8" s="98">
        <v>2.92</v>
      </c>
      <c r="R8" s="106">
        <v>0.88200000000000001</v>
      </c>
      <c r="S8" s="42">
        <v>0.41799999999999998</v>
      </c>
      <c r="T8" s="98">
        <v>2.4300000000000002</v>
      </c>
      <c r="U8" s="98">
        <v>6.24</v>
      </c>
      <c r="V8" s="98">
        <v>4.6500000000000004</v>
      </c>
      <c r="W8" s="47">
        <v>6.28</v>
      </c>
      <c r="X8" s="107">
        <v>4</v>
      </c>
      <c r="Y8" s="98">
        <v>4.34</v>
      </c>
      <c r="Z8" s="98">
        <v>1.63</v>
      </c>
      <c r="AA8" s="98">
        <v>3.38</v>
      </c>
      <c r="AB8" s="47">
        <v>4.0199999999999996</v>
      </c>
      <c r="AC8" s="107">
        <v>2</v>
      </c>
      <c r="AD8" s="22" t="s">
        <v>51</v>
      </c>
      <c r="AE8" s="22">
        <v>0.30499999999999999</v>
      </c>
      <c r="AF8" s="98">
        <v>6.31</v>
      </c>
      <c r="AG8" s="47">
        <v>5.79</v>
      </c>
      <c r="AH8" s="53">
        <v>2.12</v>
      </c>
      <c r="AI8" s="98">
        <v>4.88</v>
      </c>
      <c r="AJ8" s="98">
        <v>7.47</v>
      </c>
      <c r="AK8" s="98">
        <v>2.16</v>
      </c>
      <c r="AL8" s="47">
        <v>1.44</v>
      </c>
      <c r="AM8" s="53">
        <v>1.45</v>
      </c>
      <c r="AN8" s="98">
        <v>5.35</v>
      </c>
      <c r="AO8" s="98">
        <v>4.3099999999999996</v>
      </c>
      <c r="AP8" s="22" t="s">
        <v>51</v>
      </c>
      <c r="AQ8" s="47">
        <v>3.42</v>
      </c>
      <c r="AR8" s="53">
        <v>2.19</v>
      </c>
      <c r="AS8" s="98">
        <v>2.5499999999999998</v>
      </c>
      <c r="AT8" s="98">
        <v>4.3099999999999996</v>
      </c>
      <c r="AU8" s="99">
        <v>2.2999999999999998</v>
      </c>
      <c r="AV8" s="47">
        <v>4.67</v>
      </c>
      <c r="AW8" s="53">
        <v>5.28</v>
      </c>
      <c r="AX8" s="98">
        <v>7.55</v>
      </c>
      <c r="AY8" s="98">
        <v>6.01</v>
      </c>
      <c r="AZ8" s="98">
        <v>3.98</v>
      </c>
      <c r="BA8" s="47">
        <v>7.09</v>
      </c>
      <c r="BB8" s="53">
        <v>3.39</v>
      </c>
      <c r="BC8" s="98">
        <v>2.44</v>
      </c>
      <c r="BD8" s="98">
        <v>4.25</v>
      </c>
      <c r="BE8" s="98">
        <v>7.33</v>
      </c>
      <c r="BF8" s="47">
        <v>6.65</v>
      </c>
      <c r="BG8" s="53">
        <v>5.23</v>
      </c>
      <c r="BH8" s="98">
        <v>8.51</v>
      </c>
      <c r="BI8" s="98">
        <v>4.7699999999999996</v>
      </c>
      <c r="BJ8" s="98">
        <v>1.83</v>
      </c>
      <c r="BK8" s="47">
        <v>3.36</v>
      </c>
      <c r="BL8" s="76">
        <v>10.6</v>
      </c>
      <c r="BM8" s="47">
        <v>8.6199999999999992</v>
      </c>
      <c r="BN8" s="142">
        <f t="shared" si="2"/>
        <v>3.9227836257309936</v>
      </c>
      <c r="BO8" s="142">
        <f t="shared" si="1"/>
        <v>10.6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40"/>
      <c r="B9" s="8"/>
      <c r="C9" s="12" t="s">
        <v>12</v>
      </c>
      <c r="D9" s="70">
        <v>1.74</v>
      </c>
      <c r="E9" s="36" t="s">
        <v>51</v>
      </c>
      <c r="F9" s="46">
        <v>1.66</v>
      </c>
      <c r="G9" s="46">
        <v>6.27</v>
      </c>
      <c r="H9" s="50">
        <v>1.86</v>
      </c>
      <c r="I9" s="55">
        <v>2.2799999999999998</v>
      </c>
      <c r="J9" s="46">
        <v>1.79</v>
      </c>
      <c r="K9" s="46">
        <v>3.05</v>
      </c>
      <c r="L9" s="46">
        <v>1.73</v>
      </c>
      <c r="M9" s="50">
        <v>3.17</v>
      </c>
      <c r="N9" s="55">
        <v>3.37</v>
      </c>
      <c r="O9" s="46">
        <v>2.4300000000000002</v>
      </c>
      <c r="P9" s="46">
        <v>5.29</v>
      </c>
      <c r="Q9" s="46">
        <v>3.61</v>
      </c>
      <c r="R9" s="50">
        <v>6.59</v>
      </c>
      <c r="S9" s="41">
        <v>0.32300000000000001</v>
      </c>
      <c r="T9" s="46">
        <v>3.97</v>
      </c>
      <c r="U9" s="46">
        <v>1.52</v>
      </c>
      <c r="V9" s="46">
        <v>5.89</v>
      </c>
      <c r="W9" s="37" t="s">
        <v>51</v>
      </c>
      <c r="X9" s="55">
        <v>1.61</v>
      </c>
      <c r="Y9" s="46">
        <v>3.75</v>
      </c>
      <c r="Z9" s="49">
        <v>5.7</v>
      </c>
      <c r="AA9" s="46">
        <v>1.77</v>
      </c>
      <c r="AB9" s="50">
        <v>2.98</v>
      </c>
      <c r="AC9" s="55">
        <v>2.3199999999999998</v>
      </c>
      <c r="AD9" s="36">
        <v>0.245</v>
      </c>
      <c r="AE9" s="49">
        <v>3.5</v>
      </c>
      <c r="AF9" s="36" t="s">
        <v>51</v>
      </c>
      <c r="AG9" s="56">
        <v>5.6</v>
      </c>
      <c r="AH9" s="108">
        <v>4</v>
      </c>
      <c r="AI9" s="46">
        <v>3.44</v>
      </c>
      <c r="AJ9" s="46">
        <v>2.5499999999999998</v>
      </c>
      <c r="AK9" s="46">
        <v>4.12</v>
      </c>
      <c r="AL9" s="50">
        <v>3.06</v>
      </c>
      <c r="AM9" s="58">
        <v>4.3</v>
      </c>
      <c r="AN9" s="46">
        <v>6.08</v>
      </c>
      <c r="AO9" s="46">
        <v>7.16</v>
      </c>
      <c r="AP9" s="36" t="s">
        <v>51</v>
      </c>
      <c r="AQ9" s="50">
        <v>2.19</v>
      </c>
      <c r="AR9" s="55">
        <v>2.98</v>
      </c>
      <c r="AS9" s="46">
        <v>5.09</v>
      </c>
      <c r="AT9" s="49">
        <v>3.6</v>
      </c>
      <c r="AU9" s="46">
        <v>3.69</v>
      </c>
      <c r="AV9" s="50">
        <v>4.26</v>
      </c>
      <c r="AW9" s="55">
        <v>1.71</v>
      </c>
      <c r="AX9" s="46">
        <v>8.27</v>
      </c>
      <c r="AY9" s="46">
        <v>3.97</v>
      </c>
      <c r="AZ9" s="46">
        <v>6.26</v>
      </c>
      <c r="BA9" s="37" t="s">
        <v>51</v>
      </c>
      <c r="BB9" s="55">
        <v>3.12</v>
      </c>
      <c r="BC9" s="46">
        <v>5.46</v>
      </c>
      <c r="BD9" s="46">
        <v>6.85</v>
      </c>
      <c r="BE9" s="46">
        <v>6.08</v>
      </c>
      <c r="BF9" s="50">
        <v>7.59</v>
      </c>
      <c r="BG9" s="55">
        <v>4.62</v>
      </c>
      <c r="BH9" s="46">
        <v>7.96</v>
      </c>
      <c r="BI9" s="46">
        <v>6.59</v>
      </c>
      <c r="BJ9" s="73">
        <v>5</v>
      </c>
      <c r="BK9" s="50">
        <v>7.79</v>
      </c>
      <c r="BL9" s="55">
        <v>7.47</v>
      </c>
      <c r="BM9" s="56">
        <v>1.2</v>
      </c>
      <c r="BN9" s="143">
        <f t="shared" si="2"/>
        <v>3.8403353658536576</v>
      </c>
      <c r="BO9" s="143">
        <f t="shared" si="1"/>
        <v>13.9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11" t="s">
        <v>9</v>
      </c>
      <c r="D10" s="32" t="s">
        <v>51</v>
      </c>
      <c r="E10" s="33" t="s">
        <v>51</v>
      </c>
      <c r="F10" s="109">
        <v>5.12</v>
      </c>
      <c r="G10" s="109">
        <v>3.02</v>
      </c>
      <c r="H10" s="34">
        <v>0.92600000000000005</v>
      </c>
      <c r="I10" s="48">
        <v>3.63</v>
      </c>
      <c r="J10" s="33" t="s">
        <v>51</v>
      </c>
      <c r="K10" s="33" t="s">
        <v>51</v>
      </c>
      <c r="L10" s="44">
        <v>3.62</v>
      </c>
      <c r="M10" s="45">
        <v>3.08</v>
      </c>
      <c r="N10" s="48">
        <v>2.06</v>
      </c>
      <c r="O10" s="33">
        <v>0.36799999999999999</v>
      </c>
      <c r="P10" s="44">
        <v>3.22</v>
      </c>
      <c r="Q10" s="44">
        <v>1.96</v>
      </c>
      <c r="R10" s="34">
        <v>0.66500000000000004</v>
      </c>
      <c r="S10" s="48">
        <v>6.05</v>
      </c>
      <c r="T10" s="44">
        <v>3.84</v>
      </c>
      <c r="U10" s="33">
        <v>0.28699999999999998</v>
      </c>
      <c r="V10" s="44">
        <v>4.67</v>
      </c>
      <c r="W10" s="45">
        <v>1.97</v>
      </c>
      <c r="X10" s="40" t="s">
        <v>51</v>
      </c>
      <c r="Y10" s="33" t="s">
        <v>51</v>
      </c>
      <c r="Z10" s="44">
        <v>5.18</v>
      </c>
      <c r="AA10" s="51">
        <v>2.7</v>
      </c>
      <c r="AB10" s="45">
        <v>2.61</v>
      </c>
      <c r="AC10" s="57">
        <v>4.7</v>
      </c>
      <c r="AD10" s="44">
        <v>3.72</v>
      </c>
      <c r="AE10" s="44">
        <v>3.51</v>
      </c>
      <c r="AF10" s="51">
        <v>1.9</v>
      </c>
      <c r="AG10" s="45">
        <v>3.77</v>
      </c>
      <c r="AH10" s="48">
        <v>2.02</v>
      </c>
      <c r="AI10" s="44">
        <v>3.47</v>
      </c>
      <c r="AJ10" s="44">
        <v>4.71</v>
      </c>
      <c r="AK10" s="44">
        <v>7.69</v>
      </c>
      <c r="AL10" s="34" t="s">
        <v>51</v>
      </c>
      <c r="AM10" s="48">
        <v>2.68</v>
      </c>
      <c r="AN10" s="44">
        <v>4.51</v>
      </c>
      <c r="AO10" s="44">
        <v>2.72</v>
      </c>
      <c r="AP10" s="44">
        <v>3.81</v>
      </c>
      <c r="AQ10" s="110">
        <v>1.05</v>
      </c>
      <c r="AR10" s="48">
        <v>2.04</v>
      </c>
      <c r="AS10" s="44">
        <v>1.89</v>
      </c>
      <c r="AT10" s="44">
        <v>5.28</v>
      </c>
      <c r="AU10" s="44">
        <v>3.29</v>
      </c>
      <c r="AV10" s="45">
        <v>4.13</v>
      </c>
      <c r="AW10" s="48">
        <v>2.2799999999999998</v>
      </c>
      <c r="AX10" s="44">
        <v>5.19</v>
      </c>
      <c r="AY10" s="111">
        <v>1.1000000000000001</v>
      </c>
      <c r="AZ10" s="44">
        <v>4.74</v>
      </c>
      <c r="BA10" s="45">
        <v>2.29</v>
      </c>
      <c r="BB10" s="48">
        <v>4.62</v>
      </c>
      <c r="BC10" s="44">
        <v>3.53</v>
      </c>
      <c r="BD10" s="44">
        <v>3.21</v>
      </c>
      <c r="BE10" s="33">
        <v>0.91700000000000004</v>
      </c>
      <c r="BF10" s="45">
        <v>5.39</v>
      </c>
      <c r="BG10" s="48">
        <v>3.76</v>
      </c>
      <c r="BH10" s="44">
        <v>7.18</v>
      </c>
      <c r="BI10" s="109">
        <v>1.76</v>
      </c>
      <c r="BJ10" s="44">
        <v>5.39</v>
      </c>
      <c r="BK10" s="45">
        <v>6.67</v>
      </c>
      <c r="BL10" s="48">
        <v>3.02</v>
      </c>
      <c r="BM10" s="45">
        <v>9.98</v>
      </c>
      <c r="BN10" s="141">
        <f t="shared" ref="BN10:BN12" si="3">IFERROR(AVERAGE(D10:BM12),0)</f>
        <v>3.988664596273293</v>
      </c>
      <c r="BO10" s="141">
        <f t="shared" si="1"/>
        <v>13.9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40" t="s">
        <v>52</v>
      </c>
      <c r="B11" s="7" t="s">
        <v>15</v>
      </c>
      <c r="C11" s="11" t="s">
        <v>11</v>
      </c>
      <c r="D11" s="38" t="s">
        <v>51</v>
      </c>
      <c r="E11" s="112">
        <v>5.07</v>
      </c>
      <c r="F11" s="22">
        <v>5.0999999999999997E-2</v>
      </c>
      <c r="G11" s="112">
        <v>4.38</v>
      </c>
      <c r="H11" s="39" t="s">
        <v>51</v>
      </c>
      <c r="I11" s="42" t="s">
        <v>51</v>
      </c>
      <c r="J11" s="22" t="s">
        <v>51</v>
      </c>
      <c r="K11" s="113">
        <v>12.3</v>
      </c>
      <c r="L11" s="98">
        <v>7.63</v>
      </c>
      <c r="M11" s="47">
        <v>3.67</v>
      </c>
      <c r="N11" s="53">
        <v>1.94</v>
      </c>
      <c r="O11" s="22">
        <v>0.26400000000000001</v>
      </c>
      <c r="P11" s="22">
        <v>0.52700000000000002</v>
      </c>
      <c r="Q11" s="98">
        <v>3.14</v>
      </c>
      <c r="R11" s="47">
        <v>5.53</v>
      </c>
      <c r="S11" s="114">
        <v>1.1000000000000001</v>
      </c>
      <c r="T11" s="22" t="s">
        <v>51</v>
      </c>
      <c r="U11" s="22">
        <v>0.58499999999999996</v>
      </c>
      <c r="V11" s="98">
        <v>2.0299999999999998</v>
      </c>
      <c r="W11" s="47">
        <v>2.86</v>
      </c>
      <c r="X11" s="42" t="s">
        <v>51</v>
      </c>
      <c r="Y11" s="98">
        <v>5.81</v>
      </c>
      <c r="Z11" s="98">
        <v>6.82</v>
      </c>
      <c r="AA11" s="22">
        <v>0.86399999999999999</v>
      </c>
      <c r="AB11" s="47">
        <v>5.31</v>
      </c>
      <c r="AC11" s="53">
        <v>4.41</v>
      </c>
      <c r="AD11" s="98">
        <v>3.82</v>
      </c>
      <c r="AE11" s="98">
        <v>2.31</v>
      </c>
      <c r="AF11" s="22">
        <v>0.89</v>
      </c>
      <c r="AG11" s="47">
        <v>1.89</v>
      </c>
      <c r="AH11" s="53">
        <v>2.59</v>
      </c>
      <c r="AI11" s="22" t="s">
        <v>51</v>
      </c>
      <c r="AJ11" s="98">
        <v>2.87</v>
      </c>
      <c r="AK11" s="98">
        <v>6.83</v>
      </c>
      <c r="AL11" s="47">
        <v>3.12</v>
      </c>
      <c r="AM11" s="53">
        <v>3.25</v>
      </c>
      <c r="AN11" s="22" t="s">
        <v>51</v>
      </c>
      <c r="AO11" s="98">
        <v>5.77</v>
      </c>
      <c r="AP11" s="98">
        <v>1.25</v>
      </c>
      <c r="AQ11" s="39" t="s">
        <v>51</v>
      </c>
      <c r="AR11" s="115">
        <v>0.32500000000000001</v>
      </c>
      <c r="AS11" s="98">
        <v>1.25</v>
      </c>
      <c r="AT11" s="22">
        <v>0.308</v>
      </c>
      <c r="AU11" s="98">
        <v>2.48</v>
      </c>
      <c r="AV11" s="39" t="s">
        <v>51</v>
      </c>
      <c r="AW11" s="53">
        <v>8.5500000000000007</v>
      </c>
      <c r="AX11" s="98">
        <v>1.27</v>
      </c>
      <c r="AY11" s="98">
        <v>2.27</v>
      </c>
      <c r="AZ11" s="98">
        <v>5.43</v>
      </c>
      <c r="BA11" s="47">
        <v>1.49</v>
      </c>
      <c r="BB11" s="53">
        <v>5.73</v>
      </c>
      <c r="BC11" s="98">
        <v>6.35</v>
      </c>
      <c r="BD11" s="98">
        <v>5.03</v>
      </c>
      <c r="BE11" s="98">
        <v>5.73</v>
      </c>
      <c r="BF11" s="47">
        <v>9.9700000000000006</v>
      </c>
      <c r="BG11" s="53">
        <v>4.22</v>
      </c>
      <c r="BH11" s="98">
        <v>1.38</v>
      </c>
      <c r="BI11" s="99">
        <v>5.3</v>
      </c>
      <c r="BJ11" s="112">
        <v>1.54</v>
      </c>
      <c r="BK11" s="47">
        <v>4.84</v>
      </c>
      <c r="BL11" s="76">
        <v>10.199999999999999</v>
      </c>
      <c r="BM11" s="78">
        <v>13.9</v>
      </c>
      <c r="BN11" s="142">
        <f t="shared" si="3"/>
        <v>4.5477581699346414</v>
      </c>
      <c r="BO11" s="142">
        <f t="shared" si="1"/>
        <v>13.9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40"/>
      <c r="B12" s="8"/>
      <c r="C12" s="12" t="s">
        <v>12</v>
      </c>
      <c r="D12" s="116">
        <v>3.18</v>
      </c>
      <c r="E12" s="46">
        <v>3.14</v>
      </c>
      <c r="F12" s="46">
        <v>6.84</v>
      </c>
      <c r="G12" s="117">
        <v>6.61</v>
      </c>
      <c r="H12" s="37">
        <v>0.379</v>
      </c>
      <c r="I12" s="41" t="s">
        <v>51</v>
      </c>
      <c r="J12" s="36" t="s">
        <v>51</v>
      </c>
      <c r="K12" s="36" t="s">
        <v>51</v>
      </c>
      <c r="L12" s="46">
        <v>3.91</v>
      </c>
      <c r="M12" s="50">
        <v>1.91</v>
      </c>
      <c r="N12" s="55">
        <v>2.54</v>
      </c>
      <c r="O12" s="46">
        <v>2.13</v>
      </c>
      <c r="P12" s="46">
        <v>2.62</v>
      </c>
      <c r="Q12" s="46">
        <v>3.49</v>
      </c>
      <c r="R12" s="37" t="s">
        <v>51</v>
      </c>
      <c r="S12" s="58">
        <v>2.7</v>
      </c>
      <c r="T12" s="46">
        <v>2.52</v>
      </c>
      <c r="U12" s="46">
        <v>7.59</v>
      </c>
      <c r="V12" s="46">
        <v>7.01</v>
      </c>
      <c r="W12" s="50">
        <v>4.29</v>
      </c>
      <c r="X12" s="58">
        <v>2.1</v>
      </c>
      <c r="Y12" s="46">
        <v>2.56</v>
      </c>
      <c r="Z12" s="49">
        <v>3.4</v>
      </c>
      <c r="AA12" s="46">
        <v>6.75</v>
      </c>
      <c r="AB12" s="50">
        <v>7.44</v>
      </c>
      <c r="AC12" s="77">
        <v>11.5</v>
      </c>
      <c r="AD12" s="46">
        <v>9.33</v>
      </c>
      <c r="AE12" s="46">
        <v>2.65</v>
      </c>
      <c r="AF12" s="46">
        <v>1.29</v>
      </c>
      <c r="AG12" s="50">
        <v>3.85</v>
      </c>
      <c r="AH12" s="41">
        <v>0.99099999999999999</v>
      </c>
      <c r="AI12" s="36">
        <v>0.57299999999999995</v>
      </c>
      <c r="AJ12" s="46">
        <v>2.11</v>
      </c>
      <c r="AK12" s="36" t="s">
        <v>51</v>
      </c>
      <c r="AL12" s="56">
        <v>7.8</v>
      </c>
      <c r="AM12" s="55">
        <v>3.91</v>
      </c>
      <c r="AN12" s="46">
        <v>1.86</v>
      </c>
      <c r="AO12" s="36" t="s">
        <v>51</v>
      </c>
      <c r="AP12" s="46">
        <v>6.61</v>
      </c>
      <c r="AQ12" s="50">
        <v>1.66</v>
      </c>
      <c r="AR12" s="41" t="s">
        <v>51</v>
      </c>
      <c r="AS12" s="46">
        <v>3.61</v>
      </c>
      <c r="AT12" s="46">
        <v>2.72</v>
      </c>
      <c r="AU12" s="36">
        <v>0.375</v>
      </c>
      <c r="AV12" s="50">
        <v>3.92</v>
      </c>
      <c r="AW12" s="55">
        <v>1.52</v>
      </c>
      <c r="AX12" s="46">
        <v>5.94</v>
      </c>
      <c r="AY12" s="46">
        <v>1.76</v>
      </c>
      <c r="AZ12" s="46">
        <v>3.46</v>
      </c>
      <c r="BA12" s="37" t="s">
        <v>51</v>
      </c>
      <c r="BB12" s="55">
        <v>6.38</v>
      </c>
      <c r="BC12" s="46">
        <v>4.96</v>
      </c>
      <c r="BD12" s="46">
        <v>6.48</v>
      </c>
      <c r="BE12" s="49">
        <v>3.7</v>
      </c>
      <c r="BF12" s="50">
        <v>9.44</v>
      </c>
      <c r="BG12" s="55">
        <v>8.09</v>
      </c>
      <c r="BH12" s="46">
        <v>7.42</v>
      </c>
      <c r="BI12" s="46">
        <v>4.3899999999999997</v>
      </c>
      <c r="BJ12" s="46">
        <v>6.64</v>
      </c>
      <c r="BK12" s="50">
        <v>6.44</v>
      </c>
      <c r="BL12" s="118">
        <v>5.75</v>
      </c>
      <c r="BM12" s="119">
        <v>12.6</v>
      </c>
      <c r="BN12" s="143">
        <f t="shared" si="3"/>
        <v>5.2360204081632631</v>
      </c>
      <c r="BO12" s="143">
        <f t="shared" si="1"/>
        <v>16.399999999999999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11" t="s">
        <v>9</v>
      </c>
      <c r="D13" s="120">
        <v>10.6</v>
      </c>
      <c r="E13" s="121">
        <v>13.5</v>
      </c>
      <c r="F13" s="109">
        <v>4.82</v>
      </c>
      <c r="G13" s="109">
        <v>2.57</v>
      </c>
      <c r="H13" s="110">
        <v>6.55</v>
      </c>
      <c r="I13" s="122">
        <v>5.52</v>
      </c>
      <c r="J13" s="109">
        <v>3.07</v>
      </c>
      <c r="K13" s="109">
        <v>1.42</v>
      </c>
      <c r="L13" s="44">
        <v>4.3899999999999997</v>
      </c>
      <c r="M13" s="45">
        <v>8.15</v>
      </c>
      <c r="N13" s="40" t="s">
        <v>51</v>
      </c>
      <c r="O13" s="121">
        <v>13.8</v>
      </c>
      <c r="P13" s="111">
        <v>4.5</v>
      </c>
      <c r="Q13" s="121">
        <v>11.8</v>
      </c>
      <c r="R13" s="45" t="s">
        <v>51</v>
      </c>
      <c r="S13" s="48">
        <v>8.49</v>
      </c>
      <c r="T13" s="33" t="s">
        <v>51</v>
      </c>
      <c r="U13" s="109">
        <v>4.84</v>
      </c>
      <c r="V13" s="109">
        <v>4.84</v>
      </c>
      <c r="W13" s="34">
        <v>0.56499999999999995</v>
      </c>
      <c r="X13" s="40" t="s">
        <v>51</v>
      </c>
      <c r="Y13" s="33" t="s">
        <v>51</v>
      </c>
      <c r="Z13" s="51">
        <v>5.7</v>
      </c>
      <c r="AA13" s="51">
        <v>5.3</v>
      </c>
      <c r="AB13" s="45">
        <v>5.01</v>
      </c>
      <c r="AC13" s="57">
        <v>1.2</v>
      </c>
      <c r="AD13" s="44" t="s">
        <v>51</v>
      </c>
      <c r="AE13" s="109">
        <v>5.41</v>
      </c>
      <c r="AF13" s="33" t="s">
        <v>51</v>
      </c>
      <c r="AG13" s="110">
        <v>1.88</v>
      </c>
      <c r="AH13" s="40" t="s">
        <v>51</v>
      </c>
      <c r="AI13" s="33" t="s">
        <v>51</v>
      </c>
      <c r="AJ13" s="109">
        <v>2.25</v>
      </c>
      <c r="AK13" s="33" t="s">
        <v>51</v>
      </c>
      <c r="AL13" s="45">
        <v>3.65</v>
      </c>
      <c r="AM13" s="122">
        <v>4.4400000000000004</v>
      </c>
      <c r="AN13" s="109">
        <v>3.85</v>
      </c>
      <c r="AO13" s="109">
        <v>3.85</v>
      </c>
      <c r="AP13" s="109">
        <v>5.78</v>
      </c>
      <c r="AQ13" s="45">
        <v>5.0199999999999996</v>
      </c>
      <c r="AR13" s="48">
        <v>5.81</v>
      </c>
      <c r="AS13" s="44">
        <v>4.67</v>
      </c>
      <c r="AT13" s="109">
        <v>4.16</v>
      </c>
      <c r="AU13" s="44">
        <v>6.21</v>
      </c>
      <c r="AV13" s="45">
        <v>7.75</v>
      </c>
      <c r="AW13" s="122">
        <v>3.02</v>
      </c>
      <c r="AX13" s="109">
        <v>4.49</v>
      </c>
      <c r="AY13" s="123">
        <v>10</v>
      </c>
      <c r="AZ13" s="33" t="s">
        <v>51</v>
      </c>
      <c r="BA13" s="45">
        <v>6.38</v>
      </c>
      <c r="BB13" s="48">
        <v>3.47</v>
      </c>
      <c r="BC13" s="44">
        <v>8.33</v>
      </c>
      <c r="BD13" s="109">
        <v>1.92</v>
      </c>
      <c r="BE13" s="33" t="s">
        <v>51</v>
      </c>
      <c r="BF13" s="110">
        <v>3.85</v>
      </c>
      <c r="BG13" s="40">
        <v>0.27900000000000003</v>
      </c>
      <c r="BH13" s="33">
        <v>0.111</v>
      </c>
      <c r="BI13" s="44">
        <v>2.11</v>
      </c>
      <c r="BJ13" s="54">
        <v>11.2</v>
      </c>
      <c r="BK13" s="34" t="s">
        <v>51</v>
      </c>
      <c r="BL13" s="40" t="s">
        <v>51</v>
      </c>
      <c r="BM13" s="34" t="s">
        <v>51</v>
      </c>
      <c r="BN13" s="141">
        <f t="shared" ref="BN13:BN15" si="4">IFERROR(AVERAGE(D13:BM15),0)</f>
        <v>5.5170551724137935</v>
      </c>
      <c r="BO13" s="141">
        <f t="shared" si="1"/>
        <v>16.399999999999999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40" t="s">
        <v>52</v>
      </c>
      <c r="B14" s="7" t="s">
        <v>16</v>
      </c>
      <c r="C14" s="11" t="s">
        <v>11</v>
      </c>
      <c r="D14" s="124">
        <v>10.6</v>
      </c>
      <c r="E14" s="125">
        <v>13.1</v>
      </c>
      <c r="F14" s="112">
        <v>2.25</v>
      </c>
      <c r="G14" s="112">
        <v>1.28</v>
      </c>
      <c r="H14" s="47">
        <v>5.42</v>
      </c>
      <c r="I14" s="53">
        <v>9.69</v>
      </c>
      <c r="J14" s="22" t="s">
        <v>51</v>
      </c>
      <c r="K14" s="98">
        <v>5.81</v>
      </c>
      <c r="L14" s="98">
        <v>5.07</v>
      </c>
      <c r="M14" s="102">
        <v>5.75</v>
      </c>
      <c r="N14" s="53">
        <v>1.94</v>
      </c>
      <c r="O14" s="125">
        <v>12.8</v>
      </c>
      <c r="P14" s="126">
        <v>9</v>
      </c>
      <c r="Q14" s="125">
        <v>10.9</v>
      </c>
      <c r="R14" s="102">
        <v>4.6100000000000003</v>
      </c>
      <c r="S14" s="53">
        <v>4.05</v>
      </c>
      <c r="T14" s="22" t="s">
        <v>51</v>
      </c>
      <c r="U14" s="98">
        <v>2.85</v>
      </c>
      <c r="V14" s="22" t="s">
        <v>51</v>
      </c>
      <c r="W14" s="47">
        <v>2.79</v>
      </c>
      <c r="X14" s="42" t="s">
        <v>51</v>
      </c>
      <c r="Y14" s="98">
        <v>6.04</v>
      </c>
      <c r="Z14" s="22" t="s">
        <v>51</v>
      </c>
      <c r="AA14" s="112">
        <v>3.36</v>
      </c>
      <c r="AB14" s="39" t="s">
        <v>51</v>
      </c>
      <c r="AC14" s="53">
        <v>3.65</v>
      </c>
      <c r="AD14" s="127">
        <v>0.628</v>
      </c>
      <c r="AE14" s="127">
        <v>0.68400000000000005</v>
      </c>
      <c r="AF14" s="22" t="s">
        <v>51</v>
      </c>
      <c r="AG14" s="47">
        <v>3.93</v>
      </c>
      <c r="AH14" s="42" t="s">
        <v>51</v>
      </c>
      <c r="AI14" s="22" t="s">
        <v>51</v>
      </c>
      <c r="AJ14" s="22" t="s">
        <v>51</v>
      </c>
      <c r="AK14" s="22" t="s">
        <v>51</v>
      </c>
      <c r="AL14" s="102">
        <v>5.12</v>
      </c>
      <c r="AM14" s="42" t="s">
        <v>51</v>
      </c>
      <c r="AN14" s="112">
        <v>2.25</v>
      </c>
      <c r="AO14" s="112">
        <v>4.18</v>
      </c>
      <c r="AP14" s="112">
        <v>5.14</v>
      </c>
      <c r="AQ14" s="39" t="s">
        <v>51</v>
      </c>
      <c r="AR14" s="53">
        <v>4.04</v>
      </c>
      <c r="AS14" s="22" t="s">
        <v>51</v>
      </c>
      <c r="AT14" s="112">
        <v>4.78</v>
      </c>
      <c r="AU14" s="98">
        <v>8.32</v>
      </c>
      <c r="AV14" s="128">
        <v>4.5</v>
      </c>
      <c r="AW14" s="129">
        <v>1.65</v>
      </c>
      <c r="AX14" s="98">
        <v>9.69</v>
      </c>
      <c r="AY14" s="98">
        <v>2.11</v>
      </c>
      <c r="AZ14" s="99">
        <v>5.3</v>
      </c>
      <c r="BA14" s="47">
        <v>8.43</v>
      </c>
      <c r="BB14" s="53">
        <v>5.87</v>
      </c>
      <c r="BC14" s="113">
        <v>16.399999999999999</v>
      </c>
      <c r="BD14" s="112">
        <v>2.57</v>
      </c>
      <c r="BE14" s="125">
        <v>10.199999999999999</v>
      </c>
      <c r="BF14" s="130">
        <v>11.8</v>
      </c>
      <c r="BG14" s="131">
        <v>10.4</v>
      </c>
      <c r="BH14" s="132">
        <v>8.6</v>
      </c>
      <c r="BI14" s="98">
        <v>6.55</v>
      </c>
      <c r="BJ14" s="113">
        <v>12.7</v>
      </c>
      <c r="BK14" s="102">
        <v>3.53</v>
      </c>
      <c r="BL14" s="42" t="s">
        <v>51</v>
      </c>
      <c r="BM14" s="39" t="s">
        <v>51</v>
      </c>
      <c r="BN14" s="142">
        <f t="shared" si="4"/>
        <v>15.665299999999998</v>
      </c>
      <c r="BO14" s="142">
        <f t="shared" si="1"/>
        <v>62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40"/>
      <c r="B15" s="8"/>
      <c r="C15" s="12" t="s">
        <v>12</v>
      </c>
      <c r="D15" s="35" t="s">
        <v>51</v>
      </c>
      <c r="E15" s="117">
        <v>9.32</v>
      </c>
      <c r="F15" s="36">
        <v>0.64300000000000002</v>
      </c>
      <c r="G15" s="36">
        <v>0.64300000000000002</v>
      </c>
      <c r="H15" s="56">
        <v>4.9000000000000004</v>
      </c>
      <c r="I15" s="133">
        <v>4.9000000000000004</v>
      </c>
      <c r="J15" s="117">
        <v>6.75</v>
      </c>
      <c r="K15" s="117">
        <v>5.98</v>
      </c>
      <c r="L15" s="46">
        <v>9.1199999999999992</v>
      </c>
      <c r="M15" s="134">
        <v>4.7300000000000004</v>
      </c>
      <c r="N15" s="55">
        <v>8.2100000000000009</v>
      </c>
      <c r="O15" s="117">
        <v>7.39</v>
      </c>
      <c r="P15" s="135">
        <v>9</v>
      </c>
      <c r="Q15" s="117">
        <v>7.39</v>
      </c>
      <c r="R15" s="50">
        <v>2.4500000000000002</v>
      </c>
      <c r="S15" s="118">
        <v>2.96</v>
      </c>
      <c r="T15" s="36" t="s">
        <v>51</v>
      </c>
      <c r="U15" s="49">
        <v>7.7</v>
      </c>
      <c r="V15" s="136">
        <v>3.3</v>
      </c>
      <c r="W15" s="56">
        <v>6.5</v>
      </c>
      <c r="X15" s="55">
        <v>7.92</v>
      </c>
      <c r="Y15" s="117">
        <v>5.64</v>
      </c>
      <c r="Z15" s="117">
        <v>3.07</v>
      </c>
      <c r="AA15" s="117">
        <v>1.76</v>
      </c>
      <c r="AB15" s="50">
        <v>2.0499999999999998</v>
      </c>
      <c r="AC15" s="55">
        <v>4.79</v>
      </c>
      <c r="AD15" s="46">
        <v>1.42</v>
      </c>
      <c r="AE15" s="46">
        <v>7.41</v>
      </c>
      <c r="AF15" s="46">
        <v>5.41</v>
      </c>
      <c r="AG15" s="37" t="s">
        <v>51</v>
      </c>
      <c r="AH15" s="41" t="s">
        <v>51</v>
      </c>
      <c r="AI15" s="117">
        <v>8.32</v>
      </c>
      <c r="AJ15" s="117">
        <v>2.89</v>
      </c>
      <c r="AK15" s="36">
        <v>0.74</v>
      </c>
      <c r="AL15" s="75" t="s">
        <v>51</v>
      </c>
      <c r="AM15" s="55">
        <v>4.04</v>
      </c>
      <c r="AN15" s="117">
        <v>5.14</v>
      </c>
      <c r="AO15" s="117">
        <v>6.75</v>
      </c>
      <c r="AP15" s="117">
        <v>8.0299999999999994</v>
      </c>
      <c r="AQ15" s="50" t="s">
        <v>51</v>
      </c>
      <c r="AR15" s="41" t="s">
        <v>51</v>
      </c>
      <c r="AS15" s="117">
        <v>3.42</v>
      </c>
      <c r="AT15" s="117">
        <v>4.21</v>
      </c>
      <c r="AU15" s="46">
        <v>9.1199999999999992</v>
      </c>
      <c r="AV15" s="50">
        <v>3.53</v>
      </c>
      <c r="AW15" s="118">
        <v>4.21</v>
      </c>
      <c r="AX15" s="117">
        <v>6.27</v>
      </c>
      <c r="AY15" s="46">
        <v>5.98</v>
      </c>
      <c r="AZ15" s="46">
        <v>2.73</v>
      </c>
      <c r="BA15" s="50">
        <v>5.93</v>
      </c>
      <c r="BB15" s="55">
        <v>4.79</v>
      </c>
      <c r="BC15" s="49">
        <v>6.5</v>
      </c>
      <c r="BD15" s="117">
        <v>4.18</v>
      </c>
      <c r="BE15" s="117">
        <v>4.82</v>
      </c>
      <c r="BF15" s="134">
        <v>7.71</v>
      </c>
      <c r="BG15" s="118">
        <v>6.84</v>
      </c>
      <c r="BH15" s="117">
        <v>3.07</v>
      </c>
      <c r="BI15" s="46">
        <v>3.02</v>
      </c>
      <c r="BJ15" s="46">
        <v>9.52</v>
      </c>
      <c r="BK15" s="37" t="s">
        <v>51</v>
      </c>
      <c r="BL15" s="41" t="s">
        <v>51</v>
      </c>
      <c r="BM15" s="37" t="s">
        <v>51</v>
      </c>
      <c r="BN15" s="143">
        <f t="shared" si="4"/>
        <v>19.527333333333335</v>
      </c>
      <c r="BO15" s="143">
        <f t="shared" si="1"/>
        <v>62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customHeight="1" x14ac:dyDescent="0.2">
      <c r="A16" s="144" t="s">
        <v>4</v>
      </c>
      <c r="B16" s="145"/>
      <c r="C16" s="18" t="s">
        <v>5</v>
      </c>
      <c r="D16" s="85">
        <v>1</v>
      </c>
      <c r="E16" s="86">
        <v>2</v>
      </c>
      <c r="F16" s="86">
        <v>3</v>
      </c>
      <c r="G16" s="86">
        <v>4</v>
      </c>
      <c r="H16" s="86">
        <v>5</v>
      </c>
      <c r="I16" s="86">
        <v>6</v>
      </c>
      <c r="J16" s="86">
        <v>7</v>
      </c>
      <c r="K16" s="86">
        <v>8</v>
      </c>
      <c r="L16" s="86">
        <v>9</v>
      </c>
      <c r="M16" s="86">
        <v>10</v>
      </c>
      <c r="N16" s="86">
        <v>11</v>
      </c>
      <c r="O16" s="86">
        <v>12</v>
      </c>
      <c r="P16" s="86">
        <v>13</v>
      </c>
      <c r="Q16" s="86">
        <v>14</v>
      </c>
      <c r="R16" s="86">
        <v>15</v>
      </c>
      <c r="S16" s="86">
        <v>16</v>
      </c>
      <c r="T16" s="86">
        <v>17</v>
      </c>
      <c r="U16" s="86">
        <v>18</v>
      </c>
      <c r="V16" s="86">
        <v>19</v>
      </c>
      <c r="W16" s="86">
        <v>20</v>
      </c>
      <c r="X16" s="86">
        <v>21</v>
      </c>
      <c r="Y16" s="86">
        <v>22</v>
      </c>
      <c r="Z16" s="86">
        <v>23</v>
      </c>
      <c r="AA16" s="86">
        <v>24</v>
      </c>
      <c r="AB16" s="86">
        <v>25</v>
      </c>
      <c r="AC16" s="86">
        <v>26</v>
      </c>
      <c r="AD16" s="86">
        <v>27</v>
      </c>
      <c r="AE16" s="86">
        <v>28</v>
      </c>
      <c r="AF16" s="86">
        <v>29</v>
      </c>
      <c r="AG16" s="86">
        <v>30</v>
      </c>
      <c r="AH16" s="86">
        <v>31</v>
      </c>
      <c r="AI16" s="86">
        <v>32</v>
      </c>
      <c r="AJ16" s="86">
        <v>33</v>
      </c>
      <c r="AK16" s="86">
        <v>34</v>
      </c>
      <c r="AL16" s="86">
        <v>35</v>
      </c>
      <c r="AM16" s="86">
        <v>36</v>
      </c>
      <c r="AN16" s="86">
        <v>37</v>
      </c>
      <c r="AO16" s="86">
        <v>38</v>
      </c>
      <c r="AP16" s="86">
        <v>39</v>
      </c>
      <c r="AQ16" s="86">
        <v>40</v>
      </c>
      <c r="AR16" s="86">
        <v>41</v>
      </c>
      <c r="AS16" s="86">
        <v>42</v>
      </c>
      <c r="AT16" s="86">
        <v>43</v>
      </c>
      <c r="AU16" s="86">
        <v>44</v>
      </c>
      <c r="AV16" s="86">
        <v>45</v>
      </c>
      <c r="AW16" s="86">
        <v>46</v>
      </c>
      <c r="AX16" s="86">
        <v>47</v>
      </c>
      <c r="AY16" s="86">
        <v>48</v>
      </c>
      <c r="AZ16" s="86">
        <v>49</v>
      </c>
      <c r="BA16" s="86">
        <v>50</v>
      </c>
      <c r="BB16" s="86">
        <v>51</v>
      </c>
      <c r="BC16" s="86">
        <v>52</v>
      </c>
      <c r="BD16" s="86">
        <v>53</v>
      </c>
      <c r="BE16" s="86">
        <v>54</v>
      </c>
      <c r="BF16" s="86">
        <v>55</v>
      </c>
      <c r="BG16" s="86">
        <v>56</v>
      </c>
      <c r="BH16" s="86">
        <v>57</v>
      </c>
      <c r="BI16" s="86">
        <v>58</v>
      </c>
      <c r="BJ16" s="86">
        <v>59</v>
      </c>
      <c r="BK16" s="86">
        <v>60</v>
      </c>
      <c r="BL16" s="86">
        <v>61</v>
      </c>
      <c r="BM16" s="87">
        <v>62</v>
      </c>
      <c r="BN16" s="29" t="s">
        <v>6</v>
      </c>
      <c r="BO16" s="30" t="s">
        <v>50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hidden="1" customHeight="1" x14ac:dyDescent="0.2">
      <c r="A68" s="13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hidden="1" customHeight="1" x14ac:dyDescent="0.2">
      <c r="A69" s="13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hidden="1" customHeight="1" x14ac:dyDescent="0.2">
      <c r="A70" s="13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hidden="1" customHeight="1" x14ac:dyDescent="0.2">
      <c r="A71" s="13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hidden="1" customHeight="1" x14ac:dyDescent="0.2">
      <c r="A72" s="13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hidden="1" customHeight="1" x14ac:dyDescent="0.2">
      <c r="A73" s="1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hidden="1" customHeight="1" x14ac:dyDescent="0.2">
      <c r="A74" s="13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hidden="1" customHeight="1" x14ac:dyDescent="0.2">
      <c r="A75" s="13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hidden="1" customHeight="1" x14ac:dyDescent="0.2">
      <c r="A76" s="13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/>
      <c r="B97" s="233" t="s">
        <v>53</v>
      </c>
      <c r="C97" s="234"/>
      <c r="D97" s="234"/>
      <c r="E97" s="234"/>
      <c r="F97" s="234"/>
      <c r="G97" s="234"/>
      <c r="H97" s="234"/>
      <c r="I97" s="234"/>
      <c r="J97" s="234"/>
      <c r="K97" s="234"/>
      <c r="L97" s="235"/>
      <c r="M97" s="269" t="s">
        <v>54</v>
      </c>
      <c r="N97" s="270"/>
      <c r="O97" s="270"/>
      <c r="P97" s="270"/>
      <c r="Q97" s="270"/>
      <c r="R97" s="270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270"/>
      <c r="AD97" s="270"/>
      <c r="AE97" s="270"/>
      <c r="AF97" s="271"/>
      <c r="AG97" s="188" t="s">
        <v>55</v>
      </c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90"/>
      <c r="AW97" s="182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74" t="s">
        <v>21</v>
      </c>
      <c r="BS97" s="174"/>
      <c r="BT97" s="174"/>
      <c r="BU97" s="174"/>
      <c r="BV97" s="174"/>
      <c r="BW97" s="174"/>
      <c r="BX97" s="174"/>
      <c r="BY97" s="174"/>
      <c r="BZ97" s="174"/>
      <c r="CA97" s="174"/>
      <c r="CB97" s="174"/>
      <c r="CC97" s="174"/>
      <c r="CD97" s="174"/>
      <c r="CE97" s="174"/>
      <c r="CF97" s="174"/>
      <c r="CG97" s="174"/>
      <c r="CH97" s="174"/>
      <c r="CI97" s="174"/>
      <c r="CJ97" s="174"/>
      <c r="CK97" s="175"/>
      <c r="CL97" s="266" t="str">
        <f>Thickness!CL97</f>
        <v xml:space="preserve">INTERNATIONAL PAPER </v>
      </c>
      <c r="CM97" s="267"/>
      <c r="CN97" s="267"/>
      <c r="CO97" s="267"/>
      <c r="CP97" s="267"/>
      <c r="CQ97" s="267"/>
      <c r="CR97" s="267"/>
      <c r="CS97" s="267"/>
      <c r="CT97" s="267"/>
      <c r="CU97" s="267"/>
      <c r="CV97" s="267"/>
      <c r="CW97" s="267"/>
      <c r="CX97" s="267"/>
      <c r="CY97" s="267"/>
      <c r="CZ97" s="267"/>
      <c r="DA97" s="267"/>
      <c r="DB97" s="267"/>
      <c r="DC97" s="267"/>
      <c r="DD97" s="267"/>
      <c r="DE97" s="267"/>
      <c r="DF97" s="267"/>
      <c r="DG97" s="267"/>
      <c r="DH97" s="267"/>
      <c r="DI97" s="267"/>
      <c r="DJ97" s="267"/>
      <c r="DK97" s="267"/>
      <c r="DL97" s="267"/>
      <c r="DM97" s="267"/>
      <c r="DN97" s="267"/>
      <c r="DO97" s="267"/>
      <c r="DP97" s="267"/>
      <c r="DQ97" s="267"/>
      <c r="DR97" s="267"/>
      <c r="DS97" s="267"/>
      <c r="DT97" s="267"/>
      <c r="DU97" s="267"/>
      <c r="DV97" s="267"/>
      <c r="DW97" s="267"/>
      <c r="DX97" s="267"/>
      <c r="DY97" s="267"/>
      <c r="DZ97" s="268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91" t="s">
        <v>23</v>
      </c>
      <c r="B98" s="236" t="s">
        <v>56</v>
      </c>
      <c r="C98" s="237"/>
      <c r="D98" s="237"/>
      <c r="E98" s="237"/>
      <c r="F98" s="237"/>
      <c r="G98" s="237"/>
      <c r="H98" s="237"/>
      <c r="I98" s="237"/>
      <c r="J98" s="237"/>
      <c r="K98" s="237"/>
      <c r="L98" s="238"/>
      <c r="M98" s="272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  <c r="AA98" s="273"/>
      <c r="AB98" s="273"/>
      <c r="AC98" s="273"/>
      <c r="AD98" s="273"/>
      <c r="AE98" s="273"/>
      <c r="AF98" s="274"/>
      <c r="AG98" s="260" t="s">
        <v>57</v>
      </c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  <c r="AS98" s="261"/>
      <c r="AT98" s="261"/>
      <c r="AU98" s="261"/>
      <c r="AV98" s="262"/>
      <c r="AW98" s="184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 s="185"/>
      <c r="BO98" s="185"/>
      <c r="BP98" s="185"/>
      <c r="BQ98" s="185"/>
      <c r="BR98" s="176"/>
      <c r="BS98" s="176"/>
      <c r="BT98" s="176"/>
      <c r="BU98" s="176"/>
      <c r="BV98" s="176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7"/>
      <c r="CL98" s="248" t="str">
        <f>Thickness!CL98</f>
        <v>RIVERDALE MILL</v>
      </c>
      <c r="CM98" s="249"/>
      <c r="CN98" s="249"/>
      <c r="CO98" s="249"/>
      <c r="CP98" s="249"/>
      <c r="CQ98" s="249"/>
      <c r="CR98" s="249"/>
      <c r="CS98" s="249"/>
      <c r="CT98" s="249"/>
      <c r="CU98" s="249"/>
      <c r="CV98" s="249"/>
      <c r="CW98" s="249"/>
      <c r="CX98" s="249"/>
      <c r="CY98" s="249"/>
      <c r="CZ98" s="249"/>
      <c r="DA98" s="249"/>
      <c r="DB98" s="249"/>
      <c r="DC98" s="249"/>
      <c r="DD98" s="249"/>
      <c r="DE98" s="249"/>
      <c r="DF98" s="249"/>
      <c r="DG98" s="249"/>
      <c r="DH98" s="249"/>
      <c r="DI98" s="249"/>
      <c r="DJ98" s="249"/>
      <c r="DK98" s="249"/>
      <c r="DL98" s="249"/>
      <c r="DM98" s="249"/>
      <c r="DN98" s="249"/>
      <c r="DO98" s="249"/>
      <c r="DP98" s="249"/>
      <c r="DQ98" s="249"/>
      <c r="DR98" s="249"/>
      <c r="DS98" s="249"/>
      <c r="DT98" s="249"/>
      <c r="DU98" s="249"/>
      <c r="DV98" s="249"/>
      <c r="DW98" s="249"/>
      <c r="DX98" s="249"/>
      <c r="DY98" s="249"/>
      <c r="DZ98" s="250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91"/>
      <c r="B99" s="239" t="s">
        <v>58</v>
      </c>
      <c r="C99" s="240"/>
      <c r="D99" s="240"/>
      <c r="E99" s="240"/>
      <c r="F99" s="240"/>
      <c r="G99" s="240"/>
      <c r="H99" s="240"/>
      <c r="I99" s="240"/>
      <c r="J99" s="240"/>
      <c r="K99" s="240"/>
      <c r="L99" s="241"/>
      <c r="M99" s="254" t="s">
        <v>59</v>
      </c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  <c r="AA99" s="255"/>
      <c r="AB99" s="255"/>
      <c r="AC99" s="255"/>
      <c r="AD99" s="255"/>
      <c r="AE99" s="255"/>
      <c r="AF99" s="256"/>
      <c r="AG99" s="263"/>
      <c r="AH99" s="264"/>
      <c r="AI99" s="264"/>
      <c r="AJ99" s="264"/>
      <c r="AK99" s="264"/>
      <c r="AL99" s="264"/>
      <c r="AM99" s="264"/>
      <c r="AN99" s="264"/>
      <c r="AO99" s="264"/>
      <c r="AP99" s="264"/>
      <c r="AQ99" s="264"/>
      <c r="AR99" s="264"/>
      <c r="AS99" s="264"/>
      <c r="AT99" s="264"/>
      <c r="AU99" s="264"/>
      <c r="AV99" s="265"/>
      <c r="AW99" s="184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5"/>
      <c r="BN99" s="185"/>
      <c r="BO99" s="185"/>
      <c r="BP99" s="185"/>
      <c r="BQ99" s="185"/>
      <c r="BR99" s="176"/>
      <c r="BS99" s="176"/>
      <c r="BT99" s="176"/>
      <c r="BU99" s="176"/>
      <c r="BV99" s="176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7"/>
      <c r="CL99" s="251" t="s">
        <v>60</v>
      </c>
      <c r="CM99" s="252"/>
      <c r="CN99" s="252"/>
      <c r="CO99" s="252"/>
      <c r="CP99" s="252"/>
      <c r="CQ99" s="252"/>
      <c r="CR99" s="252"/>
      <c r="CS99" s="252"/>
      <c r="CT99" s="252"/>
      <c r="CU99" s="252"/>
      <c r="CV99" s="252"/>
      <c r="CW99" s="252"/>
      <c r="CX99" s="252"/>
      <c r="CY99" s="252"/>
      <c r="CZ99" s="252"/>
      <c r="DA99" s="252"/>
      <c r="DB99" s="252"/>
      <c r="DC99" s="252"/>
      <c r="DD99" s="252"/>
      <c r="DE99" s="252"/>
      <c r="DF99" s="252"/>
      <c r="DG99" s="252"/>
      <c r="DH99" s="252"/>
      <c r="DI99" s="252"/>
      <c r="DJ99" s="252"/>
      <c r="DK99" s="252"/>
      <c r="DL99" s="252"/>
      <c r="DM99" s="252"/>
      <c r="DN99" s="252"/>
      <c r="DO99" s="252"/>
      <c r="DP99" s="252"/>
      <c r="DQ99" s="252"/>
      <c r="DR99" s="252"/>
      <c r="DS99" s="252"/>
      <c r="DT99" s="252"/>
      <c r="DU99" s="252"/>
      <c r="DV99" s="252"/>
      <c r="DW99" s="252"/>
      <c r="DX99" s="252"/>
      <c r="DY99" s="252"/>
      <c r="DZ99" s="253"/>
    </row>
    <row r="100" spans="1:182" ht="36" customHeight="1" x14ac:dyDescent="0.2">
      <c r="A100" s="191"/>
      <c r="B100" s="242" t="s">
        <v>61</v>
      </c>
      <c r="C100" s="243"/>
      <c r="D100" s="243"/>
      <c r="E100" s="243"/>
      <c r="F100" s="243"/>
      <c r="G100" s="243"/>
      <c r="H100" s="243"/>
      <c r="I100" s="243"/>
      <c r="J100" s="243"/>
      <c r="K100" s="243"/>
      <c r="L100" s="244"/>
      <c r="M100" s="257" t="s">
        <v>62</v>
      </c>
      <c r="N100" s="258"/>
      <c r="O100" s="258"/>
      <c r="P100" s="258"/>
      <c r="Q100" s="258"/>
      <c r="R100" s="258"/>
      <c r="S100" s="258"/>
      <c r="T100" s="258"/>
      <c r="U100" s="258"/>
      <c r="V100" s="258"/>
      <c r="W100" s="258"/>
      <c r="X100" s="258"/>
      <c r="Y100" s="258"/>
      <c r="Z100" s="258"/>
      <c r="AA100" s="258"/>
      <c r="AB100" s="258"/>
      <c r="AC100" s="258"/>
      <c r="AD100" s="258"/>
      <c r="AE100" s="258"/>
      <c r="AF100" s="259"/>
      <c r="AG100" s="227">
        <v>4.3630000000000004</v>
      </c>
      <c r="AH100" s="228"/>
      <c r="AI100" s="228"/>
      <c r="AJ100" s="228"/>
      <c r="AK100" s="228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9"/>
      <c r="AW100" s="186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7"/>
      <c r="BO100" s="187"/>
      <c r="BP100" s="187"/>
      <c r="BQ100" s="187"/>
      <c r="BR100" s="178"/>
      <c r="BS100" s="178"/>
      <c r="BT100" s="178"/>
      <c r="BU100" s="178"/>
      <c r="BV100" s="178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9"/>
      <c r="CL100" s="251" t="str">
        <f>Thickness!CL100</f>
        <v>NO. 1 RECOVERY BOILER</v>
      </c>
      <c r="CM100" s="252"/>
      <c r="CN100" s="252"/>
      <c r="CO100" s="252"/>
      <c r="CP100" s="252"/>
      <c r="CQ100" s="252"/>
      <c r="CR100" s="252"/>
      <c r="CS100" s="252"/>
      <c r="CT100" s="252"/>
      <c r="CU100" s="252"/>
      <c r="CV100" s="252"/>
      <c r="CW100" s="252"/>
      <c r="CX100" s="252"/>
      <c r="CY100" s="252"/>
      <c r="CZ100" s="252"/>
      <c r="DA100" s="252"/>
      <c r="DB100" s="252"/>
      <c r="DC100" s="252"/>
      <c r="DD100" s="252"/>
      <c r="DE100" s="252"/>
      <c r="DF100" s="252"/>
      <c r="DG100" s="252"/>
      <c r="DH100" s="252"/>
      <c r="DI100" s="252"/>
      <c r="DJ100" s="252"/>
      <c r="DK100" s="252"/>
      <c r="DL100" s="252"/>
      <c r="DM100" s="252"/>
      <c r="DN100" s="252"/>
      <c r="DO100" s="252"/>
      <c r="DP100" s="252"/>
      <c r="DQ100" s="252"/>
      <c r="DR100" s="252"/>
      <c r="DS100" s="252"/>
      <c r="DT100" s="252"/>
      <c r="DU100" s="252"/>
      <c r="DV100" s="252"/>
      <c r="DW100" s="252"/>
      <c r="DX100" s="252"/>
      <c r="DY100" s="252"/>
      <c r="DZ100" s="253"/>
    </row>
    <row r="101" spans="1:182" ht="36" customHeight="1" x14ac:dyDescent="0.2">
      <c r="A101" s="191"/>
      <c r="B101" s="245" t="s">
        <v>63</v>
      </c>
      <c r="C101" s="246"/>
      <c r="D101" s="246"/>
      <c r="E101" s="246"/>
      <c r="F101" s="246"/>
      <c r="G101" s="246"/>
      <c r="H101" s="246"/>
      <c r="I101" s="246"/>
      <c r="J101" s="246"/>
      <c r="K101" s="246"/>
      <c r="L101" s="247"/>
      <c r="M101" s="277" t="s">
        <v>51</v>
      </c>
      <c r="N101" s="278"/>
      <c r="O101" s="278"/>
      <c r="P101" s="278"/>
      <c r="Q101" s="279"/>
      <c r="R101" s="280" t="s">
        <v>64</v>
      </c>
      <c r="S101" s="280"/>
      <c r="T101" s="280"/>
      <c r="U101" s="280"/>
      <c r="V101" s="280"/>
      <c r="W101" s="280"/>
      <c r="X101" s="280"/>
      <c r="Y101" s="280"/>
      <c r="Z101" s="280"/>
      <c r="AA101" s="280"/>
      <c r="AB101" s="280"/>
      <c r="AC101" s="280"/>
      <c r="AD101" s="280"/>
      <c r="AE101" s="280"/>
      <c r="AF101" s="281"/>
      <c r="AG101" s="230"/>
      <c r="AH101" s="231"/>
      <c r="AI101" s="231"/>
      <c r="AJ101" s="231"/>
      <c r="AK101" s="231"/>
      <c r="AL101" s="231"/>
      <c r="AM101" s="231"/>
      <c r="AN101" s="231"/>
      <c r="AO101" s="231"/>
      <c r="AP101" s="231"/>
      <c r="AQ101" s="231"/>
      <c r="AR101" s="231"/>
      <c r="AS101" s="231"/>
      <c r="AT101" s="231"/>
      <c r="AU101" s="231"/>
      <c r="AV101" s="232"/>
      <c r="AW101" s="180" t="str">
        <f>Thickness!AW101</f>
        <v>Job #  H449364  P.O. #  0018342455 W.O. #  N/A   Date:  5/05/2025</v>
      </c>
      <c r="AX101" s="275"/>
      <c r="AY101" s="275"/>
      <c r="AZ101" s="275"/>
      <c r="BA101" s="275"/>
      <c r="BB101" s="275"/>
      <c r="BC101" s="275"/>
      <c r="BD101" s="275"/>
      <c r="BE101" s="275"/>
      <c r="BF101" s="275"/>
      <c r="BG101" s="275"/>
      <c r="BH101" s="275"/>
      <c r="BI101" s="275"/>
      <c r="BJ101" s="275"/>
      <c r="BK101" s="275"/>
      <c r="BL101" s="275"/>
      <c r="BM101" s="275"/>
      <c r="BN101" s="275"/>
      <c r="BO101" s="275"/>
      <c r="BP101" s="275"/>
      <c r="BQ101" s="275"/>
      <c r="BR101" s="275"/>
      <c r="BS101" s="275"/>
      <c r="BT101" s="275"/>
      <c r="BU101" s="275"/>
      <c r="BV101" s="275"/>
      <c r="BW101" s="275"/>
      <c r="BX101" s="275"/>
      <c r="BY101" s="275"/>
      <c r="BZ101" s="275"/>
      <c r="CA101" s="275"/>
      <c r="CB101" s="275"/>
      <c r="CC101" s="275"/>
      <c r="CD101" s="275"/>
      <c r="CE101" s="275"/>
      <c r="CF101" s="275"/>
      <c r="CG101" s="275"/>
      <c r="CH101" s="275"/>
      <c r="CI101" s="275"/>
      <c r="CJ101" s="275"/>
      <c r="CK101" s="276"/>
      <c r="CL101" s="224" t="str">
        <f>Thickness!CL101</f>
        <v>01 FLOOR</v>
      </c>
      <c r="CM101" s="225"/>
      <c r="CN101" s="225"/>
      <c r="CO101" s="225"/>
      <c r="CP101" s="225"/>
      <c r="CQ101" s="225"/>
      <c r="CR101" s="225"/>
      <c r="CS101" s="225"/>
      <c r="CT101" s="225"/>
      <c r="CU101" s="225"/>
      <c r="CV101" s="225"/>
      <c r="CW101" s="225"/>
      <c r="CX101" s="225"/>
      <c r="CY101" s="225"/>
      <c r="CZ101" s="225"/>
      <c r="DA101" s="225"/>
      <c r="DB101" s="225"/>
      <c r="DC101" s="225"/>
      <c r="DD101" s="225"/>
      <c r="DE101" s="225"/>
      <c r="DF101" s="225"/>
      <c r="DG101" s="225"/>
      <c r="DH101" s="225"/>
      <c r="DI101" s="225"/>
      <c r="DJ101" s="225"/>
      <c r="DK101" s="225"/>
      <c r="DL101" s="225"/>
      <c r="DM101" s="225"/>
      <c r="DN101" s="225"/>
      <c r="DO101" s="225"/>
      <c r="DP101" s="225"/>
      <c r="DQ101" s="225"/>
      <c r="DR101" s="225"/>
      <c r="DS101" s="225"/>
      <c r="DT101" s="225"/>
      <c r="DU101" s="225"/>
      <c r="DV101" s="225"/>
      <c r="DW101" s="225"/>
      <c r="DX101" s="225"/>
      <c r="DY101" s="225"/>
      <c r="DZ101" s="226"/>
    </row>
    <row r="102" spans="1:182" ht="36" customHeight="1" x14ac:dyDescent="0.35">
      <c r="B102" s="16" t="s">
        <v>65</v>
      </c>
    </row>
    <row r="103" spans="1:182" ht="36" customHeight="1" x14ac:dyDescent="0.2">
      <c r="M103" s="223"/>
      <c r="N103" s="223"/>
      <c r="O103" s="223"/>
      <c r="P103" s="223"/>
      <c r="Q103" s="223"/>
      <c r="R103" s="223"/>
      <c r="S103" s="223"/>
      <c r="T103" s="223"/>
      <c r="U103" s="223"/>
      <c r="V103" s="223"/>
      <c r="W103" s="223"/>
      <c r="X103" s="223"/>
      <c r="Y103" s="223"/>
      <c r="Z103" s="223"/>
      <c r="AA103" s="223"/>
      <c r="AB103" s="223"/>
      <c r="AC103" s="223"/>
      <c r="AD103" s="223"/>
      <c r="AE103" s="223"/>
      <c r="AF103" s="223"/>
      <c r="AG103" s="223"/>
      <c r="AH103" s="223"/>
      <c r="AI103" s="223"/>
      <c r="AJ103" s="223"/>
      <c r="AK103" s="223"/>
      <c r="AL103" s="223"/>
      <c r="AM103" s="223"/>
      <c r="AN103" s="223"/>
      <c r="AO103" s="223"/>
      <c r="AP103" s="223"/>
      <c r="AQ103" s="223"/>
      <c r="AR103" s="223"/>
      <c r="AS103" s="223"/>
      <c r="AT103" s="223"/>
      <c r="AU103" s="223"/>
      <c r="AV103" s="223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174" t="s">
        <v>21</v>
      </c>
      <c r="BS105" s="174"/>
      <c r="BT105" s="174"/>
      <c r="BU105" s="174"/>
      <c r="BV105" s="174"/>
      <c r="BW105" s="174"/>
      <c r="BX105" s="174"/>
      <c r="BY105" s="174"/>
      <c r="BZ105" s="174"/>
      <c r="CA105" s="174"/>
      <c r="CB105" s="174"/>
      <c r="CC105" s="174"/>
      <c r="CD105" s="174"/>
      <c r="CE105" s="174"/>
      <c r="CF105" s="174"/>
      <c r="CG105" s="174"/>
      <c r="CH105" s="174"/>
      <c r="CI105" s="174"/>
      <c r="CJ105" s="174"/>
      <c r="CK105" s="175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176"/>
      <c r="BS106" s="176"/>
      <c r="BT106" s="176"/>
      <c r="BU106" s="176"/>
      <c r="BV106" s="176"/>
      <c r="BW106" s="176"/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7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176"/>
      <c r="BS107" s="176"/>
      <c r="BT107" s="176"/>
      <c r="BU107" s="176"/>
      <c r="BV107" s="176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7"/>
    </row>
    <row r="108" spans="1:182" x14ac:dyDescent="0.2">
      <c r="BR108" s="178"/>
      <c r="BS108" s="178"/>
      <c r="BT108" s="178"/>
      <c r="BU108" s="178"/>
      <c r="BV108" s="178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9"/>
    </row>
    <row r="110" spans="1:182" x14ac:dyDescent="0.2">
      <c r="BR110" s="174" t="s">
        <v>47</v>
      </c>
      <c r="BS110" s="174"/>
      <c r="BT110" s="174"/>
      <c r="BU110" s="174"/>
      <c r="BV110" s="174"/>
      <c r="BW110" s="174"/>
      <c r="BX110" s="174"/>
      <c r="BY110" s="174"/>
      <c r="BZ110" s="174"/>
      <c r="CA110" s="174"/>
      <c r="CB110" s="174"/>
      <c r="CC110" s="174"/>
      <c r="CD110" s="174"/>
      <c r="CE110" s="174"/>
      <c r="CF110" s="174"/>
      <c r="CG110" s="174"/>
      <c r="CH110" s="174"/>
      <c r="CI110" s="174"/>
      <c r="CJ110" s="174"/>
      <c r="CK110" s="175"/>
    </row>
    <row r="111" spans="1:182" x14ac:dyDescent="0.2">
      <c r="BR111" s="176"/>
      <c r="BS111" s="176"/>
      <c r="BT111" s="176"/>
      <c r="BU111" s="176"/>
      <c r="BV111" s="176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7"/>
    </row>
    <row r="112" spans="1:182" x14ac:dyDescent="0.2">
      <c r="BR112" s="176"/>
      <c r="BS112" s="176"/>
      <c r="BT112" s="176"/>
      <c r="BU112" s="176"/>
      <c r="BV112" s="176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7"/>
    </row>
    <row r="113" spans="70:89" x14ac:dyDescent="0.2">
      <c r="BR113" s="178"/>
      <c r="BS113" s="178"/>
      <c r="BT113" s="178"/>
      <c r="BU113" s="178"/>
      <c r="BV113" s="178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9"/>
    </row>
    <row r="115" spans="70:89" x14ac:dyDescent="0.2">
      <c r="BR115" s="174" t="s">
        <v>48</v>
      </c>
      <c r="BS115" s="174"/>
      <c r="BT115" s="174"/>
      <c r="BU115" s="174"/>
      <c r="BV115" s="174"/>
      <c r="BW115" s="174"/>
      <c r="BX115" s="174"/>
      <c r="BY115" s="174"/>
      <c r="BZ115" s="174"/>
      <c r="CA115" s="174"/>
      <c r="CB115" s="174"/>
      <c r="CC115" s="174"/>
      <c r="CD115" s="174"/>
      <c r="CE115" s="174"/>
      <c r="CF115" s="174"/>
      <c r="CG115" s="174"/>
      <c r="CH115" s="174"/>
      <c r="CI115" s="174"/>
      <c r="CJ115" s="174"/>
      <c r="CK115" s="175"/>
    </row>
    <row r="116" spans="70:89" x14ac:dyDescent="0.2">
      <c r="BR116" s="176"/>
      <c r="BS116" s="176"/>
      <c r="BT116" s="176"/>
      <c r="BU116" s="176"/>
      <c r="BV116" s="176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7"/>
    </row>
    <row r="117" spans="70:89" x14ac:dyDescent="0.2">
      <c r="BR117" s="176"/>
      <c r="BS117" s="176"/>
      <c r="BT117" s="176"/>
      <c r="BU117" s="176"/>
      <c r="BV117" s="176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7"/>
    </row>
    <row r="118" spans="70:89" x14ac:dyDescent="0.2">
      <c r="BR118" s="178"/>
      <c r="BS118" s="178"/>
      <c r="BT118" s="178"/>
      <c r="BU118" s="178"/>
      <c r="BV118" s="178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9"/>
    </row>
  </sheetData>
  <mergeCells count="45">
    <mergeCell ref="A16:B16"/>
    <mergeCell ref="A3:B3"/>
    <mergeCell ref="A1:B2"/>
    <mergeCell ref="C1:DP1"/>
    <mergeCell ref="DQ1:DZ1"/>
    <mergeCell ref="C2:DP2"/>
    <mergeCell ref="DQ2:DZ2"/>
    <mergeCell ref="A8:A9"/>
    <mergeCell ref="BN4:BN6"/>
    <mergeCell ref="BO4:BO6"/>
    <mergeCell ref="A11:A12"/>
    <mergeCell ref="BN7:BN9"/>
    <mergeCell ref="BO7:BO9"/>
    <mergeCell ref="A14:A15"/>
    <mergeCell ref="BN10:BN12"/>
    <mergeCell ref="BO10:BO12"/>
    <mergeCell ref="A98:A101"/>
    <mergeCell ref="CL98:DZ98"/>
    <mergeCell ref="A5:A6"/>
    <mergeCell ref="AG97:AV97"/>
    <mergeCell ref="AW97:BQ100"/>
    <mergeCell ref="CL99:DZ99"/>
    <mergeCell ref="CL100:DZ100"/>
    <mergeCell ref="M99:AF99"/>
    <mergeCell ref="M100:AF100"/>
    <mergeCell ref="AG98:AV99"/>
    <mergeCell ref="BR97:CK100"/>
    <mergeCell ref="CL97:DZ97"/>
    <mergeCell ref="M97:AF98"/>
    <mergeCell ref="AW101:CK101"/>
    <mergeCell ref="M101:Q101"/>
    <mergeCell ref="R101:AF101"/>
    <mergeCell ref="BR110:CK113"/>
    <mergeCell ref="BR115:CK118"/>
    <mergeCell ref="AG100:AV101"/>
    <mergeCell ref="B97:L97"/>
    <mergeCell ref="B98:L98"/>
    <mergeCell ref="B99:L99"/>
    <mergeCell ref="B100:L100"/>
    <mergeCell ref="B101:L101"/>
    <mergeCell ref="BN13:BN15"/>
    <mergeCell ref="BO13:BO15"/>
    <mergeCell ref="M103:AV103"/>
    <mergeCell ref="CL101:DZ101"/>
    <mergeCell ref="BR105:CK108"/>
  </mergeCells>
  <printOptions horizontalCentered="1"/>
  <pageMargins left="0.25" right="0.25" top="0.75" bottom="0.25" header="0" footer="0"/>
  <pageSetup scale="35"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8EC4-51E2-4B5B-AD0D-97D7E73CFDDA}">
  <sheetPr>
    <pageSetUpPr fitToPage="1"/>
  </sheetPr>
  <dimension ref="A1:IK118"/>
  <sheetViews>
    <sheetView tabSelected="1" zoomScale="25" zoomScaleNormal="25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289">
        <f>Thickness!A1</f>
        <v>2025</v>
      </c>
      <c r="B1" s="290"/>
      <c r="C1" s="286" t="str">
        <f>IF(ISBLANK(Thickness!C1),"",(Thickness!C1))</f>
        <v xml:space="preserve">NC - NOT CLEAN; </v>
      </c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7"/>
      <c r="BE1" s="287"/>
      <c r="BF1" s="287"/>
      <c r="BG1" s="287"/>
      <c r="BH1" s="287"/>
      <c r="BI1" s="287"/>
      <c r="BJ1" s="287"/>
      <c r="BK1" s="287"/>
      <c r="BL1" s="287"/>
      <c r="BM1" s="287"/>
      <c r="BN1" s="287"/>
      <c r="BO1" s="287"/>
      <c r="BP1" s="287"/>
      <c r="BQ1" s="287"/>
      <c r="BR1" s="287"/>
      <c r="BS1" s="287"/>
      <c r="BT1" s="287"/>
      <c r="BU1" s="287"/>
      <c r="BV1" s="287"/>
      <c r="BW1" s="287"/>
      <c r="BX1" s="287"/>
      <c r="BY1" s="287"/>
      <c r="BZ1" s="287"/>
      <c r="CA1" s="287"/>
      <c r="CB1" s="287"/>
      <c r="CC1" s="287"/>
      <c r="CD1" s="287"/>
      <c r="CE1" s="287"/>
      <c r="CF1" s="287"/>
      <c r="CG1" s="287"/>
      <c r="CH1" s="287"/>
      <c r="CI1" s="287"/>
      <c r="CJ1" s="287"/>
      <c r="CK1" s="287"/>
      <c r="CL1" s="287"/>
      <c r="CM1" s="287"/>
      <c r="CN1" s="287"/>
      <c r="CO1" s="287"/>
      <c r="CP1" s="287"/>
      <c r="CQ1" s="287"/>
      <c r="CR1" s="287"/>
      <c r="CS1" s="287"/>
      <c r="CT1" s="287"/>
      <c r="CU1" s="287"/>
      <c r="CV1" s="287"/>
      <c r="CW1" s="287"/>
      <c r="CX1" s="287"/>
      <c r="CY1" s="287"/>
      <c r="CZ1" s="287"/>
      <c r="DA1" s="287"/>
      <c r="DB1" s="287"/>
      <c r="DC1" s="287"/>
      <c r="DD1" s="287"/>
      <c r="DE1" s="287"/>
      <c r="DF1" s="287"/>
      <c r="DG1" s="287"/>
      <c r="DH1" s="287"/>
      <c r="DI1" s="287"/>
      <c r="DJ1" s="287"/>
      <c r="DK1" s="287"/>
      <c r="DL1" s="287"/>
      <c r="DM1" s="287"/>
      <c r="DN1" s="287"/>
      <c r="DO1" s="287"/>
      <c r="DP1" s="288"/>
      <c r="DQ1" s="162" t="s">
        <v>1</v>
      </c>
      <c r="DR1" s="163"/>
      <c r="DS1" s="163"/>
      <c r="DT1" s="163"/>
      <c r="DU1" s="163"/>
      <c r="DV1" s="163"/>
      <c r="DW1" s="163"/>
      <c r="DX1" s="163"/>
      <c r="DY1" s="163"/>
      <c r="DZ1" s="164"/>
    </row>
    <row r="2" spans="1:182" s="5" customFormat="1" ht="36" customHeight="1" x14ac:dyDescent="0.2">
      <c r="A2" s="291"/>
      <c r="B2" s="292"/>
      <c r="C2" s="159" t="s">
        <v>66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0"/>
      <c r="BO2" s="160"/>
      <c r="BP2" s="160"/>
      <c r="BQ2" s="160"/>
      <c r="BR2" s="160"/>
      <c r="BS2" s="160"/>
      <c r="BT2" s="160"/>
      <c r="BU2" s="160"/>
      <c r="BV2" s="160"/>
      <c r="BW2" s="160"/>
      <c r="BX2" s="160"/>
      <c r="BY2" s="160"/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60"/>
      <c r="CL2" s="160"/>
      <c r="CM2" s="160"/>
      <c r="CN2" s="160"/>
      <c r="CO2" s="160"/>
      <c r="CP2" s="160"/>
      <c r="CQ2" s="160"/>
      <c r="CR2" s="160"/>
      <c r="CS2" s="160"/>
      <c r="CT2" s="160"/>
      <c r="CU2" s="160"/>
      <c r="CV2" s="160"/>
      <c r="CW2" s="160"/>
      <c r="CX2" s="160"/>
      <c r="CY2" s="160"/>
      <c r="CZ2" s="160"/>
      <c r="DA2" s="160"/>
      <c r="DB2" s="160"/>
      <c r="DC2" s="160"/>
      <c r="DD2" s="160"/>
      <c r="DE2" s="160"/>
      <c r="DF2" s="160"/>
      <c r="DG2" s="160"/>
      <c r="DH2" s="160"/>
      <c r="DI2" s="160"/>
      <c r="DJ2" s="160"/>
      <c r="DK2" s="160"/>
      <c r="DL2" s="160"/>
      <c r="DM2" s="160"/>
      <c r="DN2" s="160"/>
      <c r="DO2" s="160"/>
      <c r="DP2" s="161"/>
      <c r="DQ2" s="162" t="s">
        <v>3</v>
      </c>
      <c r="DR2" s="163"/>
      <c r="DS2" s="163"/>
      <c r="DT2" s="163"/>
      <c r="DU2" s="163"/>
      <c r="DV2" s="163"/>
      <c r="DW2" s="163"/>
      <c r="DX2" s="163"/>
      <c r="DY2" s="163"/>
      <c r="DZ2" s="164"/>
      <c r="EA2" s="4"/>
    </row>
    <row r="3" spans="1:182" s="5" customFormat="1" ht="36" customHeight="1" x14ac:dyDescent="0.2">
      <c r="A3" s="144" t="s">
        <v>4</v>
      </c>
      <c r="B3" s="145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84">
        <v>62</v>
      </c>
      <c r="BN3" s="29" t="s">
        <v>6</v>
      </c>
      <c r="BO3" s="30" t="s">
        <v>7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11" t="s">
        <v>9</v>
      </c>
      <c r="D4" s="32">
        <v>0.33400000000000002</v>
      </c>
      <c r="E4" s="33">
        <v>0.34</v>
      </c>
      <c r="F4" s="33">
        <v>0.32400000000000001</v>
      </c>
      <c r="G4" s="33">
        <v>0.307</v>
      </c>
      <c r="H4" s="34">
        <v>0.33700000000000002</v>
      </c>
      <c r="I4" s="40">
        <v>0.35099999999999998</v>
      </c>
      <c r="J4" s="63">
        <v>0.34399999999999997</v>
      </c>
      <c r="K4" s="33">
        <v>0.33500000000000002</v>
      </c>
      <c r="L4" s="63">
        <v>0.35199999999999998</v>
      </c>
      <c r="M4" s="64">
        <v>0.34499999999999997</v>
      </c>
      <c r="N4" s="40">
        <v>0.32200000000000001</v>
      </c>
      <c r="O4" s="63">
        <v>0.34200000000000003</v>
      </c>
      <c r="P4" s="33">
        <v>0.308</v>
      </c>
      <c r="Q4" s="63">
        <v>0.372</v>
      </c>
      <c r="R4" s="34">
        <v>0.32200000000000001</v>
      </c>
      <c r="S4" s="40">
        <v>0.30399999999999999</v>
      </c>
      <c r="T4" s="33">
        <v>0.247</v>
      </c>
      <c r="U4" s="63">
        <v>0.36399999999999999</v>
      </c>
      <c r="V4" s="33">
        <v>0.28599999999999998</v>
      </c>
      <c r="W4" s="34">
        <v>0.28799999999999998</v>
      </c>
      <c r="X4" s="40">
        <v>0.316</v>
      </c>
      <c r="Y4" s="33">
        <v>0.27800000000000002</v>
      </c>
      <c r="Z4" s="33">
        <v>0.32</v>
      </c>
      <c r="AA4" s="33">
        <v>0.318</v>
      </c>
      <c r="AB4" s="34">
        <v>0.32800000000000001</v>
      </c>
      <c r="AC4" s="40">
        <v>0.33600000000000002</v>
      </c>
      <c r="AD4" s="33">
        <v>0.32800000000000001</v>
      </c>
      <c r="AE4" s="63">
        <v>0.32800000000000001</v>
      </c>
      <c r="AF4" s="33">
        <v>0.29899999999999999</v>
      </c>
      <c r="AG4" s="34">
        <v>0.31900000000000001</v>
      </c>
      <c r="AH4" s="40">
        <v>0.32400000000000001</v>
      </c>
      <c r="AI4" s="33">
        <v>0.32400000000000001</v>
      </c>
      <c r="AJ4" s="33">
        <v>0.30299999999999999</v>
      </c>
      <c r="AK4" s="63">
        <v>0.34699999999999998</v>
      </c>
      <c r="AL4" s="64">
        <v>0.35799999999999998</v>
      </c>
      <c r="AM4" s="40">
        <v>0.312</v>
      </c>
      <c r="AN4" s="33">
        <v>0.31900000000000001</v>
      </c>
      <c r="AO4" s="33">
        <v>0.28799999999999998</v>
      </c>
      <c r="AP4" s="33">
        <v>0.27300000000000002</v>
      </c>
      <c r="AQ4" s="64">
        <v>0.36199999999999999</v>
      </c>
      <c r="AR4" s="40">
        <v>0.316</v>
      </c>
      <c r="AS4" s="33">
        <v>0.315</v>
      </c>
      <c r="AT4" s="33">
        <v>0.28199999999999997</v>
      </c>
      <c r="AU4" s="33">
        <v>0.29299999999999998</v>
      </c>
      <c r="AV4" s="64">
        <v>0.34699999999999998</v>
      </c>
      <c r="AW4" s="40">
        <v>0.32</v>
      </c>
      <c r="AX4" s="63">
        <v>0.34100000000000003</v>
      </c>
      <c r="AY4" s="33">
        <v>0.32400000000000001</v>
      </c>
      <c r="AZ4" s="33">
        <v>0.313</v>
      </c>
      <c r="BA4" s="34">
        <v>0.311</v>
      </c>
      <c r="BB4" s="40">
        <v>0.314</v>
      </c>
      <c r="BC4" s="33">
        <v>0.312</v>
      </c>
      <c r="BD4" s="33">
        <v>0.309</v>
      </c>
      <c r="BE4" s="33">
        <v>0.33100000000000002</v>
      </c>
      <c r="BF4" s="64">
        <v>0.39400000000000002</v>
      </c>
      <c r="BG4" s="40">
        <v>0.307</v>
      </c>
      <c r="BH4" s="33">
        <v>0.32</v>
      </c>
      <c r="BI4" s="33">
        <v>0.318</v>
      </c>
      <c r="BJ4" s="33">
        <v>0.33900000000000002</v>
      </c>
      <c r="BK4" s="34">
        <v>0.35299999999999998</v>
      </c>
      <c r="BL4" s="40">
        <v>0.32200000000000001</v>
      </c>
      <c r="BM4" s="34">
        <v>0.34399999999999997</v>
      </c>
      <c r="BN4" s="141">
        <f t="shared" ref="BN4:BN6" si="0">IFERROR(AVERAGE(D4:BM6),0)</f>
        <v>0.32499462365591397</v>
      </c>
      <c r="BO4" s="141">
        <f t="shared" ref="BO4:BO6" si="1">MIN(D4:BM6)</f>
        <v>0.247</v>
      </c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40">
        <v>8.3000000000000004E-2</v>
      </c>
      <c r="B5" s="7" t="s">
        <v>10</v>
      </c>
      <c r="C5" s="11" t="s">
        <v>11</v>
      </c>
      <c r="D5" s="62">
        <v>0.35199999999999998</v>
      </c>
      <c r="E5" s="22">
        <v>0.32600000000000001</v>
      </c>
      <c r="F5" s="22">
        <v>0.32700000000000001</v>
      </c>
      <c r="G5" s="22">
        <v>0.32200000000000001</v>
      </c>
      <c r="H5" s="39">
        <v>0.34399999999999997</v>
      </c>
      <c r="I5" s="88">
        <v>0.35699999999999998</v>
      </c>
      <c r="J5" s="31">
        <v>0.35899999999999999</v>
      </c>
      <c r="K5" s="22">
        <v>0.33100000000000002</v>
      </c>
      <c r="L5" s="22">
        <v>0.32800000000000001</v>
      </c>
      <c r="M5" s="39">
        <v>0.28199999999999997</v>
      </c>
      <c r="N5" s="42">
        <v>0.28100000000000003</v>
      </c>
      <c r="O5" s="31">
        <v>0.35099999999999998</v>
      </c>
      <c r="P5" s="22">
        <v>0.28799999999999998</v>
      </c>
      <c r="Q5" s="22">
        <v>0.32100000000000001</v>
      </c>
      <c r="R5" s="39">
        <v>0.307</v>
      </c>
      <c r="S5" s="42">
        <v>0.30199999999999999</v>
      </c>
      <c r="T5" s="22">
        <v>0.309</v>
      </c>
      <c r="U5" s="22">
        <v>0.29299999999999998</v>
      </c>
      <c r="V5" s="22">
        <v>0.29499999999999998</v>
      </c>
      <c r="W5" s="39">
        <v>0.313</v>
      </c>
      <c r="X5" s="42">
        <v>0.32100000000000001</v>
      </c>
      <c r="Y5" s="22">
        <v>0.32300000000000001</v>
      </c>
      <c r="Z5" s="22">
        <v>0.29599999999999999</v>
      </c>
      <c r="AA5" s="22">
        <v>0.33300000000000002</v>
      </c>
      <c r="AB5" s="39">
        <v>0.32600000000000001</v>
      </c>
      <c r="AC5" s="42">
        <v>0.316</v>
      </c>
      <c r="AD5" s="22">
        <v>0.313</v>
      </c>
      <c r="AE5" s="31">
        <v>0.35299999999999998</v>
      </c>
      <c r="AF5" s="22">
        <v>0.308</v>
      </c>
      <c r="AG5" s="39">
        <v>0.27900000000000003</v>
      </c>
      <c r="AH5" s="42">
        <v>0.312</v>
      </c>
      <c r="AI5" s="22">
        <v>0.30199999999999999</v>
      </c>
      <c r="AJ5" s="22">
        <v>0.29399999999999998</v>
      </c>
      <c r="AK5" s="22">
        <v>0.32500000000000001</v>
      </c>
      <c r="AL5" s="39">
        <v>0.30099999999999999</v>
      </c>
      <c r="AM5" s="42">
        <v>0.30599999999999999</v>
      </c>
      <c r="AN5" s="31">
        <v>0.33200000000000002</v>
      </c>
      <c r="AO5" s="22">
        <v>0.28699999999999998</v>
      </c>
      <c r="AP5" s="31">
        <v>0.36199999999999999</v>
      </c>
      <c r="AQ5" s="66">
        <v>0.32700000000000001</v>
      </c>
      <c r="AR5" s="42">
        <v>0.28799999999999998</v>
      </c>
      <c r="AS5" s="22">
        <v>0.29699999999999999</v>
      </c>
      <c r="AT5" s="22">
        <v>0.28899999999999998</v>
      </c>
      <c r="AU5" s="22">
        <v>0.30199999999999999</v>
      </c>
      <c r="AV5" s="66">
        <v>0.36299999999999999</v>
      </c>
      <c r="AW5" s="67">
        <v>0.33400000000000002</v>
      </c>
      <c r="AX5" s="22">
        <v>0.32100000000000001</v>
      </c>
      <c r="AY5" s="31">
        <v>0.33500000000000002</v>
      </c>
      <c r="AZ5" s="22">
        <v>0.313</v>
      </c>
      <c r="BA5" s="39">
        <v>0.30299999999999999</v>
      </c>
      <c r="BB5" s="42">
        <v>0.32400000000000001</v>
      </c>
      <c r="BC5" s="22">
        <v>0.308</v>
      </c>
      <c r="BD5" s="22">
        <v>0.30399999999999999</v>
      </c>
      <c r="BE5" s="31">
        <v>0.35499999999999998</v>
      </c>
      <c r="BF5" s="39">
        <v>0.32900000000000001</v>
      </c>
      <c r="BG5" s="42">
        <v>0.33700000000000002</v>
      </c>
      <c r="BH5" s="22">
        <v>0.33800000000000002</v>
      </c>
      <c r="BI5" s="31">
        <v>0.39500000000000002</v>
      </c>
      <c r="BJ5" s="22">
        <v>0.33800000000000002</v>
      </c>
      <c r="BK5" s="66">
        <v>0.32600000000000001</v>
      </c>
      <c r="BL5" s="42">
        <v>0.35699999999999998</v>
      </c>
      <c r="BM5" s="39">
        <v>0.32700000000000001</v>
      </c>
      <c r="BN5" s="142">
        <f t="shared" si="0"/>
        <v>0.31499999999999972</v>
      </c>
      <c r="BO5" s="142">
        <f t="shared" si="1"/>
        <v>0.24099999999999999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40"/>
      <c r="B6" s="8"/>
      <c r="C6" s="12" t="s">
        <v>12</v>
      </c>
      <c r="D6" s="59">
        <v>0.39300000000000002</v>
      </c>
      <c r="E6" s="60">
        <v>0.38500000000000001</v>
      </c>
      <c r="F6" s="36">
        <v>0.32200000000000001</v>
      </c>
      <c r="G6" s="36">
        <v>0.313</v>
      </c>
      <c r="H6" s="61">
        <v>0.36199999999999999</v>
      </c>
      <c r="I6" s="41">
        <v>0.34899999999999998</v>
      </c>
      <c r="J6" s="60">
        <v>0.35899999999999999</v>
      </c>
      <c r="K6" s="36">
        <v>0.33400000000000002</v>
      </c>
      <c r="L6" s="36">
        <v>0.311</v>
      </c>
      <c r="M6" s="37">
        <v>0.33</v>
      </c>
      <c r="N6" s="65">
        <v>0.35599999999999998</v>
      </c>
      <c r="O6" s="60">
        <v>0.35199999999999998</v>
      </c>
      <c r="P6" s="36">
        <v>0.308</v>
      </c>
      <c r="Q6" s="60">
        <v>0.34300000000000003</v>
      </c>
      <c r="R6" s="37">
        <v>0.28999999999999998</v>
      </c>
      <c r="S6" s="41">
        <v>0.28799999999999998</v>
      </c>
      <c r="T6" s="60">
        <v>0.35699999999999998</v>
      </c>
      <c r="U6" s="89">
        <v>0.34699999999999998</v>
      </c>
      <c r="V6" s="36">
        <v>0.312</v>
      </c>
      <c r="W6" s="61">
        <v>0.35499999999999998</v>
      </c>
      <c r="X6" s="41">
        <v>0.28699999999999998</v>
      </c>
      <c r="Y6" s="36">
        <v>0.32500000000000001</v>
      </c>
      <c r="Z6" s="36">
        <v>0.33300000000000002</v>
      </c>
      <c r="AA6" s="60">
        <v>0.33700000000000002</v>
      </c>
      <c r="AB6" s="37">
        <v>0.32500000000000001</v>
      </c>
      <c r="AC6" s="41">
        <v>0.33</v>
      </c>
      <c r="AD6" s="36">
        <v>0.32300000000000001</v>
      </c>
      <c r="AE6" s="36">
        <v>0.307</v>
      </c>
      <c r="AF6" s="36">
        <v>0.33300000000000002</v>
      </c>
      <c r="AG6" s="37">
        <v>0.3</v>
      </c>
      <c r="AH6" s="41">
        <v>0.317</v>
      </c>
      <c r="AI6" s="60">
        <v>0.35799999999999998</v>
      </c>
      <c r="AJ6" s="36">
        <v>0.33800000000000002</v>
      </c>
      <c r="AK6" s="36">
        <v>0.30299999999999999</v>
      </c>
      <c r="AL6" s="61">
        <v>0.33700000000000002</v>
      </c>
      <c r="AM6" s="41">
        <v>0.317</v>
      </c>
      <c r="AN6" s="60">
        <v>0.34899999999999998</v>
      </c>
      <c r="AO6" s="36">
        <v>0.30399999999999999</v>
      </c>
      <c r="AP6" s="60">
        <v>0.33600000000000002</v>
      </c>
      <c r="AQ6" s="37">
        <v>0.33</v>
      </c>
      <c r="AR6" s="41">
        <v>0.318</v>
      </c>
      <c r="AS6" s="36">
        <v>0.29099999999999998</v>
      </c>
      <c r="AT6" s="36">
        <v>0.314</v>
      </c>
      <c r="AU6" s="36">
        <v>0.28999999999999998</v>
      </c>
      <c r="AV6" s="61">
        <v>0.35199999999999998</v>
      </c>
      <c r="AW6" s="41">
        <v>0.32800000000000001</v>
      </c>
      <c r="AX6" s="36">
        <v>0.317</v>
      </c>
      <c r="AY6" s="36">
        <v>0.33200000000000002</v>
      </c>
      <c r="AZ6" s="36">
        <v>0.314</v>
      </c>
      <c r="BA6" s="37">
        <v>0.31900000000000001</v>
      </c>
      <c r="BB6" s="41">
        <v>0.314</v>
      </c>
      <c r="BC6" s="36">
        <v>0.27700000000000002</v>
      </c>
      <c r="BD6" s="36">
        <v>0.34300000000000003</v>
      </c>
      <c r="BE6" s="36">
        <v>0.312</v>
      </c>
      <c r="BF6" s="61">
        <v>0.39100000000000001</v>
      </c>
      <c r="BG6" s="41">
        <v>0.35</v>
      </c>
      <c r="BH6" s="36">
        <v>0.33100000000000002</v>
      </c>
      <c r="BI6" s="60">
        <v>0.39800000000000002</v>
      </c>
      <c r="BJ6" s="60">
        <v>0.373</v>
      </c>
      <c r="BK6" s="61">
        <v>0.36699999999999999</v>
      </c>
      <c r="BL6" s="41">
        <v>0.32</v>
      </c>
      <c r="BM6" s="37">
        <v>0.32700000000000001</v>
      </c>
      <c r="BN6" s="143">
        <f t="shared" si="0"/>
        <v>0.30579999999999985</v>
      </c>
      <c r="BO6" s="143">
        <f t="shared" si="1"/>
        <v>0.24099999999999999</v>
      </c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11" t="s">
        <v>9</v>
      </c>
      <c r="D7" s="32">
        <v>0.32200000000000001</v>
      </c>
      <c r="E7" s="63" t="s">
        <v>13</v>
      </c>
      <c r="F7" s="33">
        <v>0.309</v>
      </c>
      <c r="G7" s="63">
        <v>0.35899999999999999</v>
      </c>
      <c r="H7" s="34">
        <v>0.314</v>
      </c>
      <c r="I7" s="40">
        <v>0.32100000000000001</v>
      </c>
      <c r="J7" s="33">
        <v>0.309</v>
      </c>
      <c r="K7" s="33">
        <v>0.28799999999999998</v>
      </c>
      <c r="L7" s="33">
        <v>0.317</v>
      </c>
      <c r="M7" s="34">
        <v>0.26600000000000001</v>
      </c>
      <c r="N7" s="40">
        <v>0.28999999999999998</v>
      </c>
      <c r="O7" s="33">
        <v>0.252</v>
      </c>
      <c r="P7" s="33">
        <v>0.28000000000000003</v>
      </c>
      <c r="Q7" s="33">
        <v>0.28199999999999997</v>
      </c>
      <c r="R7" s="34">
        <v>0.30199999999999999</v>
      </c>
      <c r="S7" s="40">
        <v>0.27300000000000002</v>
      </c>
      <c r="T7" s="33">
        <v>0.28899999999999998</v>
      </c>
      <c r="U7" s="33">
        <v>0.28799999999999998</v>
      </c>
      <c r="V7" s="33">
        <v>0.29499999999999998</v>
      </c>
      <c r="W7" s="34">
        <v>0.28299999999999997</v>
      </c>
      <c r="X7" s="40">
        <v>0.29699999999999999</v>
      </c>
      <c r="Y7" s="33">
        <v>0.31</v>
      </c>
      <c r="Z7" s="33">
        <v>0.29099999999999998</v>
      </c>
      <c r="AA7" s="33">
        <v>0.317</v>
      </c>
      <c r="AB7" s="34">
        <v>0.29499999999999998</v>
      </c>
      <c r="AC7" s="69">
        <v>0.33300000000000002</v>
      </c>
      <c r="AD7" s="63">
        <v>0.33800000000000002</v>
      </c>
      <c r="AE7" s="33">
        <v>0.309</v>
      </c>
      <c r="AF7" s="33">
        <v>0.28699999999999998</v>
      </c>
      <c r="AG7" s="34">
        <v>0.29699999999999999</v>
      </c>
      <c r="AH7" s="40">
        <v>0.28699999999999998</v>
      </c>
      <c r="AI7" s="63">
        <v>0.32400000000000001</v>
      </c>
      <c r="AJ7" s="33">
        <v>0.28999999999999998</v>
      </c>
      <c r="AK7" s="33">
        <v>0.29699999999999999</v>
      </c>
      <c r="AL7" s="90">
        <v>0.32300000000000001</v>
      </c>
      <c r="AM7" s="40">
        <v>0.30099999999999999</v>
      </c>
      <c r="AN7" s="33">
        <v>0.28399999999999997</v>
      </c>
      <c r="AO7" s="33">
        <v>0.28799999999999998</v>
      </c>
      <c r="AP7" s="33">
        <v>0.27200000000000002</v>
      </c>
      <c r="AQ7" s="34">
        <v>0.29399999999999998</v>
      </c>
      <c r="AR7" s="40">
        <v>0.28399999999999997</v>
      </c>
      <c r="AS7" s="33">
        <v>0.29399999999999998</v>
      </c>
      <c r="AT7" s="33">
        <v>0.28499999999999998</v>
      </c>
      <c r="AU7" s="33">
        <v>0.27800000000000002</v>
      </c>
      <c r="AV7" s="34">
        <v>0.27700000000000002</v>
      </c>
      <c r="AW7" s="40">
        <v>0.29299999999999998</v>
      </c>
      <c r="AX7" s="33">
        <v>0.26500000000000001</v>
      </c>
      <c r="AY7" s="33">
        <v>0.28499999999999998</v>
      </c>
      <c r="AZ7" s="33">
        <v>0.25700000000000001</v>
      </c>
      <c r="BA7" s="34">
        <v>0.27</v>
      </c>
      <c r="BB7" s="40">
        <v>0.25600000000000001</v>
      </c>
      <c r="BC7" s="33">
        <v>0.28799999999999998</v>
      </c>
      <c r="BD7" s="33">
        <v>0.28599999999999998</v>
      </c>
      <c r="BE7" s="33">
        <v>0.26900000000000002</v>
      </c>
      <c r="BF7" s="34">
        <v>0.28899999999999998</v>
      </c>
      <c r="BG7" s="40">
        <v>0.29099999999999998</v>
      </c>
      <c r="BH7" s="33">
        <v>0.28100000000000003</v>
      </c>
      <c r="BI7" s="33">
        <v>0.27800000000000002</v>
      </c>
      <c r="BJ7" s="33">
        <v>0.32100000000000001</v>
      </c>
      <c r="BK7" s="34">
        <v>0.317</v>
      </c>
      <c r="BL7" s="40">
        <v>0.24099999999999999</v>
      </c>
      <c r="BM7" s="34">
        <v>0.27700000000000002</v>
      </c>
      <c r="BN7" s="141">
        <f t="shared" ref="BN7:BN9" si="2">IFERROR(AVERAGE(D7:BM9),0)</f>
        <v>0.29438378378378383</v>
      </c>
      <c r="BO7" s="141">
        <f t="shared" ref="BO7:BO9" si="3">MIN(D7:BM9)</f>
        <v>0.24099999999999999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40">
        <v>8.3000000000000004E-2</v>
      </c>
      <c r="B8" s="7" t="s">
        <v>14</v>
      </c>
      <c r="C8" s="11" t="s">
        <v>11</v>
      </c>
      <c r="D8" s="38">
        <v>0.308</v>
      </c>
      <c r="E8" s="22">
        <v>0.29199999999999998</v>
      </c>
      <c r="F8" s="22">
        <v>0.30199999999999999</v>
      </c>
      <c r="G8" s="31">
        <v>0.36099999999999999</v>
      </c>
      <c r="H8" s="39">
        <v>0.29199999999999998</v>
      </c>
      <c r="I8" s="42">
        <v>0.30099999999999999</v>
      </c>
      <c r="J8" s="22">
        <v>0.318</v>
      </c>
      <c r="K8" s="22">
        <v>0.3</v>
      </c>
      <c r="L8" s="22">
        <v>0.28399999999999997</v>
      </c>
      <c r="M8" s="39">
        <v>0.28499999999999998</v>
      </c>
      <c r="N8" s="42">
        <v>0.26300000000000001</v>
      </c>
      <c r="O8" s="22">
        <v>0.28699999999999998</v>
      </c>
      <c r="P8" s="22">
        <v>0.26</v>
      </c>
      <c r="Q8" s="22">
        <v>0.29499999999999998</v>
      </c>
      <c r="R8" s="39">
        <v>0.315</v>
      </c>
      <c r="S8" s="42">
        <v>0.316</v>
      </c>
      <c r="T8" s="22">
        <v>0.309</v>
      </c>
      <c r="U8" s="22">
        <v>0.27700000000000002</v>
      </c>
      <c r="V8" s="22">
        <v>0.28699999999999998</v>
      </c>
      <c r="W8" s="39">
        <v>0.27</v>
      </c>
      <c r="X8" s="42">
        <v>0.29699999999999999</v>
      </c>
      <c r="Y8" s="22">
        <v>0.29599999999999999</v>
      </c>
      <c r="Z8" s="22">
        <v>0.29899999999999999</v>
      </c>
      <c r="AA8" s="22">
        <v>0.30199999999999999</v>
      </c>
      <c r="AB8" s="39">
        <v>0.29499999999999998</v>
      </c>
      <c r="AC8" s="42">
        <v>0.30599999999999999</v>
      </c>
      <c r="AD8" s="31">
        <v>0.34100000000000003</v>
      </c>
      <c r="AE8" s="22">
        <v>0.32200000000000001</v>
      </c>
      <c r="AF8" s="22">
        <v>0.27900000000000003</v>
      </c>
      <c r="AG8" s="39">
        <v>0.27900000000000003</v>
      </c>
      <c r="AH8" s="42">
        <v>0.312</v>
      </c>
      <c r="AI8" s="22">
        <v>0.28999999999999998</v>
      </c>
      <c r="AJ8" s="22">
        <v>0.27300000000000002</v>
      </c>
      <c r="AK8" s="22">
        <v>0.30499999999999999</v>
      </c>
      <c r="AL8" s="39">
        <v>0.307</v>
      </c>
      <c r="AM8" s="42">
        <v>0.30599999999999999</v>
      </c>
      <c r="AN8" s="22">
        <v>0.29199999999999998</v>
      </c>
      <c r="AO8" s="22">
        <v>0.28499999999999998</v>
      </c>
      <c r="AP8" s="31">
        <v>0.31900000000000001</v>
      </c>
      <c r="AQ8" s="39">
        <v>0.3</v>
      </c>
      <c r="AR8" s="42">
        <v>0.3</v>
      </c>
      <c r="AS8" s="22">
        <v>0.29599999999999999</v>
      </c>
      <c r="AT8" s="22">
        <v>0.28199999999999997</v>
      </c>
      <c r="AU8" s="22">
        <v>0.3</v>
      </c>
      <c r="AV8" s="39">
        <v>0.27700000000000002</v>
      </c>
      <c r="AW8" s="42">
        <v>0.28499999999999998</v>
      </c>
      <c r="AX8" s="22">
        <v>0.26700000000000002</v>
      </c>
      <c r="AY8" s="22">
        <v>0.27400000000000002</v>
      </c>
      <c r="AZ8" s="22">
        <v>0.28399999999999997</v>
      </c>
      <c r="BA8" s="39">
        <v>0.26600000000000001</v>
      </c>
      <c r="BB8" s="42">
        <v>0.29599999999999999</v>
      </c>
      <c r="BC8" s="22">
        <v>0.29199999999999998</v>
      </c>
      <c r="BD8" s="22">
        <v>0.28799999999999998</v>
      </c>
      <c r="BE8" s="22">
        <v>0.26400000000000001</v>
      </c>
      <c r="BF8" s="39">
        <v>0.28000000000000003</v>
      </c>
      <c r="BG8" s="42">
        <v>0.28899999999999998</v>
      </c>
      <c r="BH8" s="22">
        <v>0.26900000000000002</v>
      </c>
      <c r="BI8" s="22">
        <v>0.30099999999999999</v>
      </c>
      <c r="BJ8" s="22">
        <v>0.315</v>
      </c>
      <c r="BK8" s="39">
        <v>0.315</v>
      </c>
      <c r="BL8" s="42">
        <v>0.25</v>
      </c>
      <c r="BM8" s="39">
        <v>0.26800000000000002</v>
      </c>
      <c r="BN8" s="142">
        <f t="shared" si="2"/>
        <v>0.29697282608695635</v>
      </c>
      <c r="BO8" s="142">
        <f t="shared" si="3"/>
        <v>0.245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40"/>
      <c r="B9" s="8"/>
      <c r="C9" s="12" t="s">
        <v>12</v>
      </c>
      <c r="D9" s="35">
        <v>0.33400000000000002</v>
      </c>
      <c r="E9" s="60">
        <v>0.33700000000000002</v>
      </c>
      <c r="F9" s="36">
        <v>0.314</v>
      </c>
      <c r="G9" s="36">
        <v>0.27800000000000002</v>
      </c>
      <c r="H9" s="37">
        <v>0.313</v>
      </c>
      <c r="I9" s="41">
        <v>0.30499999999999999</v>
      </c>
      <c r="J9" s="36">
        <v>0.312</v>
      </c>
      <c r="K9" s="36">
        <v>0.29299999999999998</v>
      </c>
      <c r="L9" s="36">
        <v>0.29799999999999999</v>
      </c>
      <c r="M9" s="37">
        <v>0.28699999999999998</v>
      </c>
      <c r="N9" s="41">
        <v>0.28299999999999997</v>
      </c>
      <c r="O9" s="36">
        <v>0.29299999999999998</v>
      </c>
      <c r="P9" s="36">
        <v>0.27500000000000002</v>
      </c>
      <c r="Q9" s="36">
        <v>0.28699999999999998</v>
      </c>
      <c r="R9" s="37">
        <v>0.27500000000000002</v>
      </c>
      <c r="S9" s="41">
        <v>0.315</v>
      </c>
      <c r="T9" s="36">
        <v>0.30099999999999999</v>
      </c>
      <c r="U9" s="36">
        <v>0.308</v>
      </c>
      <c r="V9" s="36">
        <v>0.28299999999999997</v>
      </c>
      <c r="W9" s="61">
        <v>0.31900000000000001</v>
      </c>
      <c r="X9" s="41">
        <v>0.31900000000000001</v>
      </c>
      <c r="Y9" s="36">
        <v>0.29599999999999999</v>
      </c>
      <c r="Z9" s="36">
        <v>0.28000000000000003</v>
      </c>
      <c r="AA9" s="36">
        <v>0.315</v>
      </c>
      <c r="AB9" s="37">
        <v>0.30499999999999999</v>
      </c>
      <c r="AC9" s="41">
        <v>0.309</v>
      </c>
      <c r="AD9" s="36">
        <v>0.32300000000000001</v>
      </c>
      <c r="AE9" s="36">
        <v>0.29399999999999998</v>
      </c>
      <c r="AF9" s="60">
        <v>0.35599999999999998</v>
      </c>
      <c r="AG9" s="37">
        <v>0.28699999999999998</v>
      </c>
      <c r="AH9" s="41">
        <v>0.29799999999999999</v>
      </c>
      <c r="AI9" s="36">
        <v>0.30099999999999999</v>
      </c>
      <c r="AJ9" s="36">
        <v>0.31</v>
      </c>
      <c r="AK9" s="36">
        <v>0.29199999999999998</v>
      </c>
      <c r="AL9" s="37">
        <v>0.30499999999999999</v>
      </c>
      <c r="AM9" s="41">
        <v>0.29299999999999998</v>
      </c>
      <c r="AN9" s="36">
        <v>0.27500000000000002</v>
      </c>
      <c r="AO9" s="36">
        <v>0.27700000000000002</v>
      </c>
      <c r="AP9" s="60">
        <v>0.35</v>
      </c>
      <c r="AQ9" s="37">
        <v>0.307</v>
      </c>
      <c r="AR9" s="41">
        <v>0.30199999999999999</v>
      </c>
      <c r="AS9" s="36">
        <v>0.28599999999999998</v>
      </c>
      <c r="AT9" s="36">
        <v>0.29499999999999998</v>
      </c>
      <c r="AU9" s="36">
        <v>0.29099999999999998</v>
      </c>
      <c r="AV9" s="37">
        <v>0.28799999999999998</v>
      </c>
      <c r="AW9" s="41">
        <v>0.309</v>
      </c>
      <c r="AX9" s="36">
        <v>0.25700000000000001</v>
      </c>
      <c r="AY9" s="36">
        <v>0.28699999999999998</v>
      </c>
      <c r="AZ9" s="36">
        <v>0.26600000000000001</v>
      </c>
      <c r="BA9" s="61">
        <v>0.33900000000000002</v>
      </c>
      <c r="BB9" s="41">
        <v>0.29599999999999999</v>
      </c>
      <c r="BC9" s="36">
        <v>0.27500000000000002</v>
      </c>
      <c r="BD9" s="36">
        <v>0.26800000000000002</v>
      </c>
      <c r="BE9" s="36">
        <v>0.27900000000000003</v>
      </c>
      <c r="BF9" s="37">
        <v>0.27700000000000002</v>
      </c>
      <c r="BG9" s="41">
        <v>0.28999999999999998</v>
      </c>
      <c r="BH9" s="36">
        <v>0.26500000000000001</v>
      </c>
      <c r="BI9" s="36">
        <v>0.28399999999999997</v>
      </c>
      <c r="BJ9" s="36">
        <v>0.29499999999999998</v>
      </c>
      <c r="BK9" s="37">
        <v>0.26300000000000001</v>
      </c>
      <c r="BL9" s="41">
        <v>0.27500000000000002</v>
      </c>
      <c r="BM9" s="37">
        <v>0.33200000000000002</v>
      </c>
      <c r="BN9" s="143">
        <f t="shared" si="2"/>
        <v>0.29727868852459027</v>
      </c>
      <c r="BO9" s="143">
        <f t="shared" si="3"/>
        <v>0.20599999999999999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11" t="s">
        <v>9</v>
      </c>
      <c r="D10" s="68" t="s">
        <v>13</v>
      </c>
      <c r="E10" s="63" t="s">
        <v>13</v>
      </c>
      <c r="F10" s="63">
        <v>0.28599999999999998</v>
      </c>
      <c r="G10" s="63">
        <v>0.29699999999999999</v>
      </c>
      <c r="H10" s="34">
        <v>0.316</v>
      </c>
      <c r="I10" s="40">
        <v>0.30099999999999999</v>
      </c>
      <c r="J10" s="63">
        <v>0.38900000000000001</v>
      </c>
      <c r="K10" s="63">
        <v>0.35499999999999998</v>
      </c>
      <c r="L10" s="33">
        <v>0.29899999999999999</v>
      </c>
      <c r="M10" s="34">
        <v>0.28999999999999998</v>
      </c>
      <c r="N10" s="40">
        <v>0.29799999999999999</v>
      </c>
      <c r="O10" s="33">
        <v>0.315</v>
      </c>
      <c r="P10" s="33">
        <v>0.29199999999999998</v>
      </c>
      <c r="Q10" s="33">
        <v>0.29699999999999999</v>
      </c>
      <c r="R10" s="34">
        <v>0.313</v>
      </c>
      <c r="S10" s="40">
        <v>0.26900000000000002</v>
      </c>
      <c r="T10" s="33">
        <v>0.29799999999999999</v>
      </c>
      <c r="U10" s="33">
        <v>0.32</v>
      </c>
      <c r="V10" s="33">
        <v>0.28899999999999998</v>
      </c>
      <c r="W10" s="34">
        <v>0.29699999999999999</v>
      </c>
      <c r="X10" s="69">
        <v>0.36</v>
      </c>
      <c r="Y10" s="63">
        <v>0.33</v>
      </c>
      <c r="Z10" s="33">
        <v>0.28299999999999997</v>
      </c>
      <c r="AA10" s="33">
        <v>0.28999999999999998</v>
      </c>
      <c r="AB10" s="34">
        <v>0.30599999999999999</v>
      </c>
      <c r="AC10" s="40">
        <v>0.29699999999999999</v>
      </c>
      <c r="AD10" s="33">
        <v>0.28999999999999998</v>
      </c>
      <c r="AE10" s="33">
        <v>0.29699999999999999</v>
      </c>
      <c r="AF10" s="33">
        <v>0.312</v>
      </c>
      <c r="AG10" s="34">
        <v>0.30199999999999999</v>
      </c>
      <c r="AH10" s="40">
        <v>0.307</v>
      </c>
      <c r="AI10" s="33">
        <v>0.29799999999999999</v>
      </c>
      <c r="AJ10" s="33">
        <v>0.28899999999999998</v>
      </c>
      <c r="AK10" s="33">
        <v>0.26900000000000002</v>
      </c>
      <c r="AL10" s="64">
        <v>0.35399999999999998</v>
      </c>
      <c r="AM10" s="40">
        <v>0.29899999999999999</v>
      </c>
      <c r="AN10" s="33">
        <v>0.29599999999999999</v>
      </c>
      <c r="AO10" s="33">
        <v>0.30499999999999999</v>
      </c>
      <c r="AP10" s="33">
        <v>0.28799999999999998</v>
      </c>
      <c r="AQ10" s="34">
        <v>0.31900000000000001</v>
      </c>
      <c r="AR10" s="40">
        <v>0.30399999999999999</v>
      </c>
      <c r="AS10" s="33">
        <v>0.31</v>
      </c>
      <c r="AT10" s="33">
        <v>0.29599999999999999</v>
      </c>
      <c r="AU10" s="33">
        <v>0.29699999999999999</v>
      </c>
      <c r="AV10" s="34">
        <v>0.29699999999999999</v>
      </c>
      <c r="AW10" s="40">
        <v>0.29599999999999999</v>
      </c>
      <c r="AX10" s="33">
        <v>0.27400000000000002</v>
      </c>
      <c r="AY10" s="33">
        <v>0.308</v>
      </c>
      <c r="AZ10" s="33">
        <v>0.29599999999999999</v>
      </c>
      <c r="BA10" s="34">
        <v>0.30599999999999999</v>
      </c>
      <c r="BB10" s="40">
        <v>0.27900000000000003</v>
      </c>
      <c r="BC10" s="33">
        <v>0.29699999999999999</v>
      </c>
      <c r="BD10" s="33">
        <v>0.29599999999999999</v>
      </c>
      <c r="BE10" s="33">
        <v>0.30399999999999999</v>
      </c>
      <c r="BF10" s="34">
        <v>0.28799999999999998</v>
      </c>
      <c r="BG10" s="40">
        <v>0.29799999999999999</v>
      </c>
      <c r="BH10" s="33">
        <v>0.26500000000000001</v>
      </c>
      <c r="BI10" s="33">
        <v>0.317</v>
      </c>
      <c r="BJ10" s="33">
        <v>0.28299999999999997</v>
      </c>
      <c r="BK10" s="34">
        <v>0.27200000000000002</v>
      </c>
      <c r="BL10" s="40">
        <v>0.29699999999999999</v>
      </c>
      <c r="BM10" s="34">
        <v>0.245</v>
      </c>
      <c r="BN10" s="141">
        <f t="shared" ref="BN10:BN12" si="4">IFERROR(AVERAGE(D10:BM12),0)</f>
        <v>0.29697814207650269</v>
      </c>
      <c r="BO10" s="141">
        <f t="shared" ref="BO10:BO12" si="5">MIN(D10:BM12)</f>
        <v>0.20599999999999999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40">
        <v>8.3000000000000004E-2</v>
      </c>
      <c r="B11" s="7" t="s">
        <v>15</v>
      </c>
      <c r="C11" s="11" t="s">
        <v>11</v>
      </c>
      <c r="D11" s="91" t="s">
        <v>13</v>
      </c>
      <c r="E11" s="31">
        <v>0.28799999999999998</v>
      </c>
      <c r="F11" s="31">
        <v>0.33700000000000002</v>
      </c>
      <c r="G11" s="31">
        <v>0.28599999999999998</v>
      </c>
      <c r="H11" s="66">
        <v>0.32300000000000001</v>
      </c>
      <c r="I11" s="67">
        <v>0.34799999999999998</v>
      </c>
      <c r="J11" s="31">
        <v>0.38100000000000001</v>
      </c>
      <c r="K11" s="22">
        <v>0.222</v>
      </c>
      <c r="L11" s="22">
        <v>0.26800000000000002</v>
      </c>
      <c r="M11" s="39">
        <v>0.29699999999999999</v>
      </c>
      <c r="N11" s="42">
        <v>0.29499999999999998</v>
      </c>
      <c r="O11" s="22">
        <v>0.316</v>
      </c>
      <c r="P11" s="22">
        <v>0.307</v>
      </c>
      <c r="Q11" s="22">
        <v>0.29399999999999998</v>
      </c>
      <c r="R11" s="39">
        <v>0.27800000000000002</v>
      </c>
      <c r="S11" s="42">
        <v>0.314</v>
      </c>
      <c r="T11" s="31">
        <v>0.33400000000000002</v>
      </c>
      <c r="U11" s="22">
        <v>0.30599999999999999</v>
      </c>
      <c r="V11" s="22">
        <v>0.30099999999999999</v>
      </c>
      <c r="W11" s="39">
        <v>0.28299999999999997</v>
      </c>
      <c r="X11" s="67">
        <v>0.33</v>
      </c>
      <c r="Y11" s="22">
        <v>0.27400000000000002</v>
      </c>
      <c r="Z11" s="22">
        <v>0.27</v>
      </c>
      <c r="AA11" s="22">
        <v>0.307</v>
      </c>
      <c r="AB11" s="39">
        <v>0.27900000000000003</v>
      </c>
      <c r="AC11" s="42">
        <v>0.29299999999999998</v>
      </c>
      <c r="AD11" s="22">
        <v>0.28999999999999998</v>
      </c>
      <c r="AE11" s="22">
        <v>0.30199999999999999</v>
      </c>
      <c r="AF11" s="22">
        <v>0.32200000000000001</v>
      </c>
      <c r="AG11" s="39">
        <v>0.30299999999999999</v>
      </c>
      <c r="AH11" s="42">
        <v>0.29799999999999999</v>
      </c>
      <c r="AI11" s="31">
        <v>0.33</v>
      </c>
      <c r="AJ11" s="22">
        <v>0.309</v>
      </c>
      <c r="AK11" s="22">
        <v>0.26800000000000002</v>
      </c>
      <c r="AL11" s="39">
        <v>0.29799999999999999</v>
      </c>
      <c r="AM11" s="42">
        <v>0.28599999999999998</v>
      </c>
      <c r="AN11" s="31">
        <v>0.31900000000000001</v>
      </c>
      <c r="AO11" s="22">
        <v>0.27400000000000002</v>
      </c>
      <c r="AP11" s="22">
        <v>0.307</v>
      </c>
      <c r="AQ11" s="66">
        <v>0.33400000000000002</v>
      </c>
      <c r="AR11" s="42">
        <v>0.32300000000000001</v>
      </c>
      <c r="AS11" s="22">
        <v>0.31</v>
      </c>
      <c r="AT11" s="22">
        <v>0.314</v>
      </c>
      <c r="AU11" s="22">
        <v>0.29599999999999999</v>
      </c>
      <c r="AV11" s="92">
        <v>0.32</v>
      </c>
      <c r="AW11" s="42">
        <v>0.25900000000000001</v>
      </c>
      <c r="AX11" s="22">
        <v>0.309</v>
      </c>
      <c r="AY11" s="22">
        <v>0.30099999999999999</v>
      </c>
      <c r="AZ11" s="22">
        <v>0.27500000000000002</v>
      </c>
      <c r="BA11" s="39">
        <v>0.29699999999999999</v>
      </c>
      <c r="BB11" s="42">
        <v>0.25800000000000001</v>
      </c>
      <c r="BC11" s="22">
        <v>0.253</v>
      </c>
      <c r="BD11" s="22">
        <v>0.26600000000000001</v>
      </c>
      <c r="BE11" s="22">
        <v>0.26100000000000001</v>
      </c>
      <c r="BF11" s="39">
        <v>0.24099999999999999</v>
      </c>
      <c r="BG11" s="42">
        <v>0.27900000000000003</v>
      </c>
      <c r="BH11" s="22">
        <v>0.30199999999999999</v>
      </c>
      <c r="BI11" s="22">
        <v>0.26600000000000001</v>
      </c>
      <c r="BJ11" s="22">
        <v>0.307</v>
      </c>
      <c r="BK11" s="39">
        <v>0.28599999999999998</v>
      </c>
      <c r="BL11" s="42">
        <v>0.24399999999999999</v>
      </c>
      <c r="BM11" s="39">
        <v>0.20599999999999999</v>
      </c>
      <c r="BN11" s="142">
        <f t="shared" si="4"/>
        <v>0.29221764705882347</v>
      </c>
      <c r="BO11" s="142">
        <f t="shared" si="5"/>
        <v>0.20399999999999999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40"/>
      <c r="B12" s="8"/>
      <c r="C12" s="12" t="s">
        <v>12</v>
      </c>
      <c r="D12" s="59">
        <v>0.31900000000000001</v>
      </c>
      <c r="E12" s="36">
        <v>0.318</v>
      </c>
      <c r="F12" s="36">
        <v>0.28000000000000003</v>
      </c>
      <c r="G12" s="36">
        <v>0.27</v>
      </c>
      <c r="H12" s="37">
        <v>0.32</v>
      </c>
      <c r="I12" s="65">
        <v>0.35299999999999998</v>
      </c>
      <c r="J12" s="60">
        <v>0.38300000000000001</v>
      </c>
      <c r="K12" s="60">
        <v>0.34499999999999997</v>
      </c>
      <c r="L12" s="36">
        <v>0.29099999999999998</v>
      </c>
      <c r="M12" s="37">
        <v>0.29899999999999999</v>
      </c>
      <c r="N12" s="41">
        <v>0.29399999999999998</v>
      </c>
      <c r="O12" s="36">
        <v>0.30399999999999999</v>
      </c>
      <c r="P12" s="36">
        <v>0.29699999999999999</v>
      </c>
      <c r="Q12" s="36">
        <v>0.29199999999999998</v>
      </c>
      <c r="R12" s="61">
        <v>0.32600000000000001</v>
      </c>
      <c r="S12" s="41">
        <v>0.29899999999999999</v>
      </c>
      <c r="T12" s="36">
        <v>0.312</v>
      </c>
      <c r="U12" s="36">
        <v>0.26400000000000001</v>
      </c>
      <c r="V12" s="36">
        <v>0.26700000000000002</v>
      </c>
      <c r="W12" s="37">
        <v>0.29099999999999998</v>
      </c>
      <c r="X12" s="41">
        <v>0.308</v>
      </c>
      <c r="Y12" s="36">
        <v>0.309</v>
      </c>
      <c r="Z12" s="36">
        <v>0.29099999999999998</v>
      </c>
      <c r="AA12" s="36">
        <v>0.27100000000000002</v>
      </c>
      <c r="AB12" s="37">
        <v>0.27</v>
      </c>
      <c r="AC12" s="41">
        <v>0.23599999999999999</v>
      </c>
      <c r="AD12" s="36">
        <v>0.25600000000000001</v>
      </c>
      <c r="AE12" s="36">
        <v>0.30099999999999999</v>
      </c>
      <c r="AF12" s="36">
        <v>0.314</v>
      </c>
      <c r="AG12" s="37">
        <v>0.3</v>
      </c>
      <c r="AH12" s="41">
        <v>0.313</v>
      </c>
      <c r="AI12" s="36">
        <v>0.32200000000000001</v>
      </c>
      <c r="AJ12" s="36">
        <v>0.30599999999999999</v>
      </c>
      <c r="AK12" s="60">
        <v>0.35499999999999998</v>
      </c>
      <c r="AL12" s="37">
        <v>0.26900000000000002</v>
      </c>
      <c r="AM12" s="41">
        <v>0.29199999999999998</v>
      </c>
      <c r="AN12" s="36">
        <v>0.309</v>
      </c>
      <c r="AO12" s="60">
        <v>0.38</v>
      </c>
      <c r="AP12" s="36">
        <v>0.27100000000000002</v>
      </c>
      <c r="AQ12" s="37">
        <v>0.312</v>
      </c>
      <c r="AR12" s="65">
        <v>0.33200000000000002</v>
      </c>
      <c r="AS12" s="36">
        <v>0.30199999999999999</v>
      </c>
      <c r="AT12" s="36">
        <v>0.29499999999999998</v>
      </c>
      <c r="AU12" s="60">
        <v>0.32100000000000001</v>
      </c>
      <c r="AV12" s="37">
        <v>0.29799999999999999</v>
      </c>
      <c r="AW12" s="41">
        <v>0.30299999999999999</v>
      </c>
      <c r="AX12" s="36">
        <v>0.28199999999999997</v>
      </c>
      <c r="AY12" s="36">
        <v>0.30399999999999999</v>
      </c>
      <c r="AZ12" s="36">
        <v>0.29399999999999998</v>
      </c>
      <c r="BA12" s="61">
        <v>0.32</v>
      </c>
      <c r="BB12" s="41">
        <v>0.27100000000000002</v>
      </c>
      <c r="BC12" s="36">
        <v>0.27700000000000002</v>
      </c>
      <c r="BD12" s="36">
        <v>0.26</v>
      </c>
      <c r="BE12" s="36">
        <v>0.28599999999999998</v>
      </c>
      <c r="BF12" s="37">
        <v>0.25</v>
      </c>
      <c r="BG12" s="41">
        <v>0.26700000000000002</v>
      </c>
      <c r="BH12" s="36">
        <v>0.26500000000000001</v>
      </c>
      <c r="BI12" s="36">
        <v>0.28699999999999998</v>
      </c>
      <c r="BJ12" s="36">
        <v>0.27</v>
      </c>
      <c r="BK12" s="37">
        <v>0.27500000000000002</v>
      </c>
      <c r="BL12" s="65">
        <v>0.27500000000000002</v>
      </c>
      <c r="BM12" s="37">
        <v>0.223</v>
      </c>
      <c r="BN12" s="143">
        <f t="shared" si="4"/>
        <v>0.28597419354838721</v>
      </c>
      <c r="BO12" s="143">
        <f t="shared" si="5"/>
        <v>0.17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11" t="s">
        <v>9</v>
      </c>
      <c r="D13" s="68">
        <v>0.24399999999999999</v>
      </c>
      <c r="E13" s="63">
        <v>0.22</v>
      </c>
      <c r="F13" s="63">
        <v>0.28599999999999998</v>
      </c>
      <c r="G13" s="63">
        <v>0.32500000000000001</v>
      </c>
      <c r="H13" s="64">
        <v>0.28199999999999997</v>
      </c>
      <c r="I13" s="69">
        <v>0.28499999999999998</v>
      </c>
      <c r="J13" s="63">
        <v>0.308</v>
      </c>
      <c r="K13" s="63">
        <v>0.32700000000000001</v>
      </c>
      <c r="L13" s="33">
        <v>0.29199999999999998</v>
      </c>
      <c r="M13" s="34">
        <v>0.26</v>
      </c>
      <c r="N13" s="69" t="s">
        <v>13</v>
      </c>
      <c r="O13" s="63">
        <v>0.20399999999999999</v>
      </c>
      <c r="P13" s="63">
        <v>0.27500000000000002</v>
      </c>
      <c r="Q13" s="63">
        <v>0.218</v>
      </c>
      <c r="R13" s="90" t="s">
        <v>13</v>
      </c>
      <c r="S13" s="40">
        <v>0.25800000000000001</v>
      </c>
      <c r="T13" s="63" t="s">
        <v>13</v>
      </c>
      <c r="U13" s="63">
        <v>0.3</v>
      </c>
      <c r="V13" s="63">
        <v>0.29499999999999998</v>
      </c>
      <c r="W13" s="64">
        <v>0.32700000000000001</v>
      </c>
      <c r="X13" s="93" t="s">
        <v>13</v>
      </c>
      <c r="Y13" s="63" t="s">
        <v>13</v>
      </c>
      <c r="Z13" s="33">
        <v>0.28399999999999997</v>
      </c>
      <c r="AA13" s="33">
        <v>0.29399999999999998</v>
      </c>
      <c r="AB13" s="34">
        <v>0.28799999999999998</v>
      </c>
      <c r="AC13" s="40">
        <v>0.32600000000000001</v>
      </c>
      <c r="AD13" s="94" t="s">
        <v>13</v>
      </c>
      <c r="AE13" s="63">
        <v>0.28599999999999998</v>
      </c>
      <c r="AF13" s="63" t="s">
        <v>13</v>
      </c>
      <c r="AG13" s="64">
        <v>0.314</v>
      </c>
      <c r="AH13" s="69" t="s">
        <v>13</v>
      </c>
      <c r="AI13" s="63" t="s">
        <v>13</v>
      </c>
      <c r="AJ13" s="63">
        <v>0.317</v>
      </c>
      <c r="AK13" s="63" t="s">
        <v>13</v>
      </c>
      <c r="AL13" s="34">
        <v>0.29299999999999998</v>
      </c>
      <c r="AM13" s="69">
        <v>0.29099999999999998</v>
      </c>
      <c r="AN13" s="63">
        <v>0.28000000000000003</v>
      </c>
      <c r="AO13" s="63">
        <v>0.30199999999999999</v>
      </c>
      <c r="AP13" s="63">
        <v>0.27800000000000002</v>
      </c>
      <c r="AQ13" s="34">
        <v>0.28699999999999998</v>
      </c>
      <c r="AR13" s="40">
        <v>0.28799999999999998</v>
      </c>
      <c r="AS13" s="33">
        <v>0.28799999999999998</v>
      </c>
      <c r="AT13" s="63">
        <v>0.29199999999999998</v>
      </c>
      <c r="AU13" s="33">
        <v>0.27700000000000002</v>
      </c>
      <c r="AV13" s="34">
        <v>0.25900000000000001</v>
      </c>
      <c r="AW13" s="69">
        <v>0.30199999999999999</v>
      </c>
      <c r="AX13" s="63">
        <v>0.29299999999999998</v>
      </c>
      <c r="AY13" s="33">
        <v>0.23400000000000001</v>
      </c>
      <c r="AZ13" s="63" t="s">
        <v>13</v>
      </c>
      <c r="BA13" s="34">
        <v>0.27400000000000002</v>
      </c>
      <c r="BB13" s="40">
        <v>0.29599999999999999</v>
      </c>
      <c r="BC13" s="33">
        <v>0.248</v>
      </c>
      <c r="BD13" s="63">
        <v>0.30199999999999999</v>
      </c>
      <c r="BE13" s="63" t="s">
        <v>13</v>
      </c>
      <c r="BF13" s="64">
        <v>0.28399999999999997</v>
      </c>
      <c r="BG13" s="69">
        <v>0.32600000000000001</v>
      </c>
      <c r="BH13" s="63">
        <v>0.32100000000000001</v>
      </c>
      <c r="BI13" s="33">
        <v>0.31</v>
      </c>
      <c r="BJ13" s="33">
        <v>0.22700000000000001</v>
      </c>
      <c r="BK13" s="64" t="s">
        <v>13</v>
      </c>
      <c r="BL13" s="69" t="s">
        <v>13</v>
      </c>
      <c r="BM13" s="64" t="s">
        <v>13</v>
      </c>
      <c r="BN13" s="141">
        <f t="shared" ref="BN13:BN15" si="6">IFERROR(AVERAGE(D13:BM15),0)</f>
        <v>0.2806827586206897</v>
      </c>
      <c r="BO13" s="141">
        <f t="shared" ref="BO13:BO15" si="7">MIN(D13:BM15)</f>
        <v>0.17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40">
        <v>8.3000000000000004E-2</v>
      </c>
      <c r="B14" s="7" t="s">
        <v>16</v>
      </c>
      <c r="C14" s="11" t="s">
        <v>11</v>
      </c>
      <c r="D14" s="62">
        <v>0.251</v>
      </c>
      <c r="E14" s="31">
        <v>0.221</v>
      </c>
      <c r="F14" s="31">
        <v>0.311</v>
      </c>
      <c r="G14" s="31">
        <v>0.32100000000000001</v>
      </c>
      <c r="H14" s="39">
        <v>0.27700000000000002</v>
      </c>
      <c r="I14" s="42">
        <v>0.254</v>
      </c>
      <c r="J14" s="31" t="s">
        <v>13</v>
      </c>
      <c r="K14" s="22">
        <v>0.27400000000000002</v>
      </c>
      <c r="L14" s="22">
        <v>0.27600000000000002</v>
      </c>
      <c r="M14" s="39">
        <v>0.27900000000000003</v>
      </c>
      <c r="N14" s="42">
        <v>0.315</v>
      </c>
      <c r="O14" s="31">
        <v>0.20799999999999999</v>
      </c>
      <c r="P14" s="31">
        <v>0.23499999999999999</v>
      </c>
      <c r="Q14" s="31">
        <v>0.218</v>
      </c>
      <c r="R14" s="39">
        <v>0.28100000000000003</v>
      </c>
      <c r="S14" s="42">
        <v>0.29699999999999999</v>
      </c>
      <c r="T14" s="31" t="s">
        <v>13</v>
      </c>
      <c r="U14" s="22">
        <v>0.307</v>
      </c>
      <c r="V14" s="95" t="s">
        <v>13</v>
      </c>
      <c r="W14" s="39">
        <v>0.30499999999999999</v>
      </c>
      <c r="X14" s="67" t="s">
        <v>13</v>
      </c>
      <c r="Y14" s="22">
        <v>0.28000000000000003</v>
      </c>
      <c r="Z14" s="31" t="s">
        <v>13</v>
      </c>
      <c r="AA14" s="31">
        <v>0.30199999999999999</v>
      </c>
      <c r="AB14" s="66" t="s">
        <v>13</v>
      </c>
      <c r="AC14" s="42">
        <v>0.29499999999999998</v>
      </c>
      <c r="AD14" s="22">
        <v>0.32800000000000001</v>
      </c>
      <c r="AE14" s="22">
        <v>0.33400000000000002</v>
      </c>
      <c r="AF14" s="31" t="s">
        <v>13</v>
      </c>
      <c r="AG14" s="39">
        <v>0.29899999999999999</v>
      </c>
      <c r="AH14" s="67" t="s">
        <v>13</v>
      </c>
      <c r="AI14" s="31" t="s">
        <v>13</v>
      </c>
      <c r="AJ14" s="31" t="s">
        <v>13</v>
      </c>
      <c r="AK14" s="31" t="s">
        <v>13</v>
      </c>
      <c r="AL14" s="66">
        <v>0.28799999999999998</v>
      </c>
      <c r="AM14" s="67" t="s">
        <v>13</v>
      </c>
      <c r="AN14" s="31">
        <v>0.29899999999999999</v>
      </c>
      <c r="AO14" s="31">
        <v>0.28100000000000003</v>
      </c>
      <c r="AP14" s="31">
        <v>0.28199999999999997</v>
      </c>
      <c r="AQ14" s="66" t="s">
        <v>13</v>
      </c>
      <c r="AR14" s="42">
        <v>0.30399999999999999</v>
      </c>
      <c r="AS14" s="31" t="s">
        <v>13</v>
      </c>
      <c r="AT14" s="31">
        <v>0.28799999999999998</v>
      </c>
      <c r="AU14" s="22">
        <v>0.251</v>
      </c>
      <c r="AV14" s="66">
        <v>0.28599999999999998</v>
      </c>
      <c r="AW14" s="67">
        <v>0.314</v>
      </c>
      <c r="AX14" s="22">
        <v>0.247</v>
      </c>
      <c r="AY14" s="22">
        <v>0.30499999999999999</v>
      </c>
      <c r="AZ14" s="22">
        <v>0.28399999999999997</v>
      </c>
      <c r="BA14" s="39">
        <v>0.248</v>
      </c>
      <c r="BB14" s="42">
        <v>0.27</v>
      </c>
      <c r="BC14" s="22">
        <v>0.17</v>
      </c>
      <c r="BD14" s="31">
        <v>0.29599999999999999</v>
      </c>
      <c r="BE14" s="31">
        <v>0.23100000000000001</v>
      </c>
      <c r="BF14" s="66">
        <v>0.21</v>
      </c>
      <c r="BG14" s="67">
        <v>0.23400000000000001</v>
      </c>
      <c r="BH14" s="31">
        <v>0.252</v>
      </c>
      <c r="BI14" s="22">
        <v>0.27</v>
      </c>
      <c r="BJ14" s="22">
        <v>0.21199999999999999</v>
      </c>
      <c r="BK14" s="66">
        <v>0.30299999999999999</v>
      </c>
      <c r="BL14" s="67" t="s">
        <v>13</v>
      </c>
      <c r="BM14" s="66" t="s">
        <v>13</v>
      </c>
      <c r="BN14" s="142">
        <f t="shared" si="6"/>
        <v>12.377075</v>
      </c>
      <c r="BO14" s="142">
        <f t="shared" si="7"/>
        <v>0.17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40"/>
      <c r="B15" s="8"/>
      <c r="C15" s="12" t="s">
        <v>12</v>
      </c>
      <c r="D15" s="59" t="s">
        <v>13</v>
      </c>
      <c r="E15" s="60">
        <v>0.23599999999999999</v>
      </c>
      <c r="F15" s="60">
        <v>0.32400000000000001</v>
      </c>
      <c r="G15" s="60">
        <v>0.33200000000000002</v>
      </c>
      <c r="H15" s="37">
        <v>0.29199999999999998</v>
      </c>
      <c r="I15" s="65">
        <v>0.28799999999999998</v>
      </c>
      <c r="J15" s="60">
        <v>0.27300000000000002</v>
      </c>
      <c r="K15" s="60">
        <v>0.28599999999999998</v>
      </c>
      <c r="L15" s="36">
        <v>0.24299999999999999</v>
      </c>
      <c r="M15" s="61">
        <v>0.28199999999999997</v>
      </c>
      <c r="N15" s="41">
        <v>0.251</v>
      </c>
      <c r="O15" s="60">
        <v>0.26400000000000001</v>
      </c>
      <c r="P15" s="60">
        <v>0.246</v>
      </c>
      <c r="Q15" s="60">
        <v>0.26</v>
      </c>
      <c r="R15" s="37">
        <v>0.309</v>
      </c>
      <c r="S15" s="65">
        <v>0.29599999999999999</v>
      </c>
      <c r="T15" s="60" t="s">
        <v>13</v>
      </c>
      <c r="U15" s="36">
        <v>0.27100000000000002</v>
      </c>
      <c r="V15" s="60">
        <v>0.30099999999999999</v>
      </c>
      <c r="W15" s="37">
        <v>0.27500000000000002</v>
      </c>
      <c r="X15" s="41">
        <v>0.26600000000000001</v>
      </c>
      <c r="Y15" s="60">
        <v>0.29099999999999998</v>
      </c>
      <c r="Z15" s="60">
        <v>0.30599999999999999</v>
      </c>
      <c r="AA15" s="36">
        <v>0.32</v>
      </c>
      <c r="AB15" s="37">
        <v>0.31</v>
      </c>
      <c r="AC15" s="41">
        <v>0.28599999999999998</v>
      </c>
      <c r="AD15" s="36">
        <v>0.32800000000000001</v>
      </c>
      <c r="AE15" s="36">
        <v>0.26700000000000002</v>
      </c>
      <c r="AF15" s="36">
        <v>0.28799999999999998</v>
      </c>
      <c r="AG15" s="61" t="s">
        <v>13</v>
      </c>
      <c r="AH15" s="65" t="s">
        <v>13</v>
      </c>
      <c r="AI15" s="60">
        <v>0.26200000000000001</v>
      </c>
      <c r="AJ15" s="60">
        <v>0.311</v>
      </c>
      <c r="AK15" s="60">
        <v>0.32900000000000001</v>
      </c>
      <c r="AL15" s="96" t="s">
        <v>13</v>
      </c>
      <c r="AM15" s="41">
        <v>0.29699999999999999</v>
      </c>
      <c r="AN15" s="60">
        <v>0.27800000000000002</v>
      </c>
      <c r="AO15" s="60">
        <v>0.26600000000000001</v>
      </c>
      <c r="AP15" s="60">
        <v>0.25700000000000001</v>
      </c>
      <c r="AQ15" s="96" t="s">
        <v>13</v>
      </c>
      <c r="AR15" s="65" t="s">
        <v>13</v>
      </c>
      <c r="AS15" s="60">
        <v>0.3</v>
      </c>
      <c r="AT15" s="60">
        <v>0.29799999999999999</v>
      </c>
      <c r="AU15" s="36">
        <v>0.247</v>
      </c>
      <c r="AV15" s="37">
        <v>0.29499999999999998</v>
      </c>
      <c r="AW15" s="65">
        <v>0.29299999999999998</v>
      </c>
      <c r="AX15" s="60">
        <v>0.27200000000000002</v>
      </c>
      <c r="AY15" s="36">
        <v>0.27500000000000002</v>
      </c>
      <c r="AZ15" s="36">
        <v>0.307</v>
      </c>
      <c r="BA15" s="37">
        <v>0.27100000000000002</v>
      </c>
      <c r="BB15" s="41">
        <v>0.28799999999999998</v>
      </c>
      <c r="BC15" s="36">
        <v>0.26400000000000001</v>
      </c>
      <c r="BD15" s="60">
        <v>0.29199999999999998</v>
      </c>
      <c r="BE15" s="60">
        <v>0.28699999999999998</v>
      </c>
      <c r="BF15" s="61">
        <v>0.251</v>
      </c>
      <c r="BG15" s="65">
        <v>0.26700000000000002</v>
      </c>
      <c r="BH15" s="60">
        <v>0.30299999999999999</v>
      </c>
      <c r="BI15" s="36">
        <v>0.29799999999999999</v>
      </c>
      <c r="BJ15" s="36">
        <v>0.24</v>
      </c>
      <c r="BK15" s="61" t="s">
        <v>13</v>
      </c>
      <c r="BL15" s="65" t="s">
        <v>13</v>
      </c>
      <c r="BM15" s="61" t="s">
        <v>13</v>
      </c>
      <c r="BN15" s="143">
        <f t="shared" si="6"/>
        <v>17.260868421052631</v>
      </c>
      <c r="BO15" s="143">
        <f t="shared" si="7"/>
        <v>0.23599999999999999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customHeight="1" x14ac:dyDescent="0.2">
      <c r="A16" s="144" t="s">
        <v>4</v>
      </c>
      <c r="B16" s="145"/>
      <c r="C16" s="18" t="s">
        <v>5</v>
      </c>
      <c r="D16" s="85">
        <v>1</v>
      </c>
      <c r="E16" s="86">
        <v>2</v>
      </c>
      <c r="F16" s="86">
        <v>3</v>
      </c>
      <c r="G16" s="86">
        <v>4</v>
      </c>
      <c r="H16" s="86">
        <v>5</v>
      </c>
      <c r="I16" s="86">
        <v>6</v>
      </c>
      <c r="J16" s="86">
        <v>7</v>
      </c>
      <c r="K16" s="86">
        <v>8</v>
      </c>
      <c r="L16" s="86">
        <v>9</v>
      </c>
      <c r="M16" s="86">
        <v>10</v>
      </c>
      <c r="N16" s="86">
        <v>11</v>
      </c>
      <c r="O16" s="86">
        <v>12</v>
      </c>
      <c r="P16" s="86">
        <v>13</v>
      </c>
      <c r="Q16" s="86">
        <v>14</v>
      </c>
      <c r="R16" s="86">
        <v>15</v>
      </c>
      <c r="S16" s="86">
        <v>16</v>
      </c>
      <c r="T16" s="86">
        <v>17</v>
      </c>
      <c r="U16" s="86">
        <v>18</v>
      </c>
      <c r="V16" s="86">
        <v>19</v>
      </c>
      <c r="W16" s="86">
        <v>20</v>
      </c>
      <c r="X16" s="86">
        <v>21</v>
      </c>
      <c r="Y16" s="86">
        <v>22</v>
      </c>
      <c r="Z16" s="86">
        <v>23</v>
      </c>
      <c r="AA16" s="86">
        <v>24</v>
      </c>
      <c r="AB16" s="86">
        <v>25</v>
      </c>
      <c r="AC16" s="86">
        <v>26</v>
      </c>
      <c r="AD16" s="86">
        <v>27</v>
      </c>
      <c r="AE16" s="86">
        <v>28</v>
      </c>
      <c r="AF16" s="86">
        <v>29</v>
      </c>
      <c r="AG16" s="86">
        <v>30</v>
      </c>
      <c r="AH16" s="86">
        <v>31</v>
      </c>
      <c r="AI16" s="86">
        <v>32</v>
      </c>
      <c r="AJ16" s="86">
        <v>33</v>
      </c>
      <c r="AK16" s="86">
        <v>34</v>
      </c>
      <c r="AL16" s="86">
        <v>35</v>
      </c>
      <c r="AM16" s="86">
        <v>36</v>
      </c>
      <c r="AN16" s="86">
        <v>37</v>
      </c>
      <c r="AO16" s="86">
        <v>38</v>
      </c>
      <c r="AP16" s="86">
        <v>39</v>
      </c>
      <c r="AQ16" s="86">
        <v>40</v>
      </c>
      <c r="AR16" s="86">
        <v>41</v>
      </c>
      <c r="AS16" s="86">
        <v>42</v>
      </c>
      <c r="AT16" s="86">
        <v>43</v>
      </c>
      <c r="AU16" s="86">
        <v>44</v>
      </c>
      <c r="AV16" s="86">
        <v>45</v>
      </c>
      <c r="AW16" s="86">
        <v>46</v>
      </c>
      <c r="AX16" s="86">
        <v>47</v>
      </c>
      <c r="AY16" s="86">
        <v>48</v>
      </c>
      <c r="AZ16" s="86">
        <v>49</v>
      </c>
      <c r="BA16" s="86">
        <v>50</v>
      </c>
      <c r="BB16" s="86">
        <v>51</v>
      </c>
      <c r="BC16" s="86">
        <v>52</v>
      </c>
      <c r="BD16" s="86">
        <v>53</v>
      </c>
      <c r="BE16" s="86">
        <v>54</v>
      </c>
      <c r="BF16" s="86">
        <v>55</v>
      </c>
      <c r="BG16" s="86">
        <v>56</v>
      </c>
      <c r="BH16" s="86">
        <v>57</v>
      </c>
      <c r="BI16" s="86">
        <v>58</v>
      </c>
      <c r="BJ16" s="86">
        <v>59</v>
      </c>
      <c r="BK16" s="86">
        <v>60</v>
      </c>
      <c r="BL16" s="86">
        <v>61</v>
      </c>
      <c r="BM16" s="87">
        <v>62</v>
      </c>
      <c r="BN16" s="29" t="s">
        <v>6</v>
      </c>
      <c r="BO16" s="30" t="s">
        <v>7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hidden="1" customHeight="1" x14ac:dyDescent="0.2">
      <c r="A68" s="13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hidden="1" customHeight="1" x14ac:dyDescent="0.2">
      <c r="A69" s="13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hidden="1" customHeight="1" x14ac:dyDescent="0.2">
      <c r="A70" s="13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hidden="1" customHeight="1" x14ac:dyDescent="0.2">
      <c r="A71" s="13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hidden="1" customHeight="1" x14ac:dyDescent="0.2">
      <c r="A72" s="13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hidden="1" customHeight="1" x14ac:dyDescent="0.2">
      <c r="A73" s="1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hidden="1" customHeight="1" x14ac:dyDescent="0.2">
      <c r="A74" s="13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hidden="1" customHeight="1" x14ac:dyDescent="0.2">
      <c r="A75" s="13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hidden="1" customHeight="1" x14ac:dyDescent="0.2">
      <c r="A76" s="13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 t="s">
        <v>8</v>
      </c>
      <c r="B97" s="79" t="s">
        <v>17</v>
      </c>
      <c r="C97" s="146" t="s">
        <v>18</v>
      </c>
      <c r="D97" s="147"/>
      <c r="E97" s="147"/>
      <c r="F97" s="147"/>
      <c r="G97" s="147"/>
      <c r="H97" s="147"/>
      <c r="I97" s="147"/>
      <c r="J97" s="147"/>
      <c r="K97" s="147"/>
      <c r="L97" s="147"/>
      <c r="M97" s="148" t="s">
        <v>19</v>
      </c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50">
        <v>3</v>
      </c>
      <c r="AA97" s="150"/>
      <c r="AB97" s="150"/>
      <c r="AC97" s="150"/>
      <c r="AD97" s="150"/>
      <c r="AE97" s="150"/>
      <c r="AF97" s="151"/>
      <c r="AG97" s="188" t="s">
        <v>67</v>
      </c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90"/>
      <c r="AW97" s="182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74" t="s">
        <v>21</v>
      </c>
      <c r="BS97" s="174"/>
      <c r="BT97" s="174"/>
      <c r="BU97" s="174"/>
      <c r="BV97" s="174"/>
      <c r="BW97" s="174"/>
      <c r="BX97" s="174"/>
      <c r="BY97" s="174"/>
      <c r="BZ97" s="174"/>
      <c r="CA97" s="174"/>
      <c r="CB97" s="174"/>
      <c r="CC97" s="174"/>
      <c r="CD97" s="174"/>
      <c r="CE97" s="174"/>
      <c r="CF97" s="174"/>
      <c r="CG97" s="174"/>
      <c r="CH97" s="174"/>
      <c r="CI97" s="174"/>
      <c r="CJ97" s="174"/>
      <c r="CK97" s="175"/>
      <c r="CL97" s="299" t="str">
        <f>Thickness!CL97</f>
        <v xml:space="preserve">INTERNATIONAL PAPER </v>
      </c>
      <c r="CM97" s="300"/>
      <c r="CN97" s="300"/>
      <c r="CO97" s="300"/>
      <c r="CP97" s="300"/>
      <c r="CQ97" s="300"/>
      <c r="CR97" s="300"/>
      <c r="CS97" s="300"/>
      <c r="CT97" s="300"/>
      <c r="CU97" s="300"/>
      <c r="CV97" s="300"/>
      <c r="CW97" s="300"/>
      <c r="CX97" s="300"/>
      <c r="CY97" s="300"/>
      <c r="CZ97" s="300"/>
      <c r="DA97" s="300"/>
      <c r="DB97" s="300"/>
      <c r="DC97" s="300"/>
      <c r="DD97" s="300"/>
      <c r="DE97" s="300"/>
      <c r="DF97" s="300"/>
      <c r="DG97" s="300"/>
      <c r="DH97" s="300"/>
      <c r="DI97" s="300"/>
      <c r="DJ97" s="300"/>
      <c r="DK97" s="300"/>
      <c r="DL97" s="300"/>
      <c r="DM97" s="300"/>
      <c r="DN97" s="300"/>
      <c r="DO97" s="300"/>
      <c r="DP97" s="300"/>
      <c r="DQ97" s="300"/>
      <c r="DR97" s="300"/>
      <c r="DS97" s="300"/>
      <c r="DT97" s="300"/>
      <c r="DU97" s="300"/>
      <c r="DV97" s="300"/>
      <c r="DW97" s="300"/>
      <c r="DX97" s="300"/>
      <c r="DY97" s="300"/>
      <c r="DZ97" s="301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91" t="s">
        <v>23</v>
      </c>
      <c r="B98" s="80" t="s">
        <v>24</v>
      </c>
      <c r="C98" s="192" t="s">
        <v>25</v>
      </c>
      <c r="D98" s="193"/>
      <c r="E98" s="193"/>
      <c r="F98" s="193"/>
      <c r="G98" s="193"/>
      <c r="H98" s="193"/>
      <c r="I98" s="193"/>
      <c r="J98" s="193"/>
      <c r="K98" s="193"/>
      <c r="L98" s="193"/>
      <c r="M98" s="194" t="s">
        <v>26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6" t="s">
        <v>27</v>
      </c>
      <c r="AA98" s="196"/>
      <c r="AB98" s="196"/>
      <c r="AC98" s="196"/>
      <c r="AD98" s="196"/>
      <c r="AE98" s="196"/>
      <c r="AF98" s="196"/>
      <c r="AG98" s="197">
        <f>TRUNC(MAX(D4:BM6,D7:BM9,D10:BM12,D13:BM15),3)</f>
        <v>0.39800000000000002</v>
      </c>
      <c r="AH98" s="198"/>
      <c r="AI98" s="198"/>
      <c r="AJ98" s="198"/>
      <c r="AK98" s="198"/>
      <c r="AL98" s="199" t="s">
        <v>28</v>
      </c>
      <c r="AM98" s="200"/>
      <c r="AN98" s="200"/>
      <c r="AO98" s="200"/>
      <c r="AP98" s="200"/>
      <c r="AQ98" s="200"/>
      <c r="AR98" s="200"/>
      <c r="AS98" s="200"/>
      <c r="AT98" s="200"/>
      <c r="AU98" s="200"/>
      <c r="AV98" s="201"/>
      <c r="AW98" s="184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 s="185"/>
      <c r="BO98" s="185"/>
      <c r="BP98" s="185"/>
      <c r="BQ98" s="185"/>
      <c r="BR98" s="176"/>
      <c r="BS98" s="176"/>
      <c r="BT98" s="176"/>
      <c r="BU98" s="176"/>
      <c r="BV98" s="176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7"/>
      <c r="CL98" s="302" t="str">
        <f>Thickness!CL98</f>
        <v>RIVERDALE MILL</v>
      </c>
      <c r="CM98" s="303"/>
      <c r="CN98" s="303"/>
      <c r="CO98" s="303"/>
      <c r="CP98" s="303"/>
      <c r="CQ98" s="303"/>
      <c r="CR98" s="303"/>
      <c r="CS98" s="303"/>
      <c r="CT98" s="303"/>
      <c r="CU98" s="303"/>
      <c r="CV98" s="303"/>
      <c r="CW98" s="303"/>
      <c r="CX98" s="303"/>
      <c r="CY98" s="303"/>
      <c r="CZ98" s="303"/>
      <c r="DA98" s="303"/>
      <c r="DB98" s="303"/>
      <c r="DC98" s="303"/>
      <c r="DD98" s="303"/>
      <c r="DE98" s="303"/>
      <c r="DF98" s="303"/>
      <c r="DG98" s="303"/>
      <c r="DH98" s="303"/>
      <c r="DI98" s="303"/>
      <c r="DJ98" s="303"/>
      <c r="DK98" s="303"/>
      <c r="DL98" s="303"/>
      <c r="DM98" s="303"/>
      <c r="DN98" s="303"/>
      <c r="DO98" s="303"/>
      <c r="DP98" s="303"/>
      <c r="DQ98" s="303"/>
      <c r="DR98" s="303"/>
      <c r="DS98" s="303"/>
      <c r="DT98" s="303"/>
      <c r="DU98" s="303"/>
      <c r="DV98" s="303"/>
      <c r="DW98" s="303"/>
      <c r="DX98" s="303"/>
      <c r="DY98" s="303"/>
      <c r="DZ98" s="304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91"/>
      <c r="B99" s="81" t="s">
        <v>30</v>
      </c>
      <c r="C99" s="202" t="s">
        <v>31</v>
      </c>
      <c r="D99" s="203"/>
      <c r="E99" s="203"/>
      <c r="F99" s="203"/>
      <c r="G99" s="203"/>
      <c r="H99" s="203"/>
      <c r="I99" s="203"/>
      <c r="J99" s="203"/>
      <c r="K99" s="203"/>
      <c r="L99" s="203"/>
      <c r="M99" s="194" t="s">
        <v>32</v>
      </c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204">
        <v>0.3</v>
      </c>
      <c r="AA99" s="204"/>
      <c r="AB99" s="204"/>
      <c r="AC99" s="204"/>
      <c r="AD99" s="204"/>
      <c r="AE99" s="204"/>
      <c r="AF99" s="204"/>
      <c r="AG99" s="205">
        <f>TRUNC(AVERAGE(D4:BM6,D7:BM9,D10:BM12,D13:BM15),3)</f>
        <v>0.3</v>
      </c>
      <c r="AH99" s="206"/>
      <c r="AI99" s="206"/>
      <c r="AJ99" s="206"/>
      <c r="AK99" s="206"/>
      <c r="AL99" s="207" t="s">
        <v>33</v>
      </c>
      <c r="AM99" s="208"/>
      <c r="AN99" s="208"/>
      <c r="AO99" s="208"/>
      <c r="AP99" s="208"/>
      <c r="AQ99" s="208"/>
      <c r="AR99" s="208"/>
      <c r="AS99" s="208"/>
      <c r="AT99" s="208"/>
      <c r="AU99" s="208"/>
      <c r="AV99" s="209"/>
      <c r="AW99" s="184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5"/>
      <c r="BN99" s="185"/>
      <c r="BO99" s="185"/>
      <c r="BP99" s="185"/>
      <c r="BQ99" s="185"/>
      <c r="BR99" s="176"/>
      <c r="BS99" s="176"/>
      <c r="BT99" s="176"/>
      <c r="BU99" s="176"/>
      <c r="BV99" s="176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7"/>
      <c r="CL99" s="305" t="s">
        <v>68</v>
      </c>
      <c r="CM99" s="306"/>
      <c r="CN99" s="306"/>
      <c r="CO99" s="306"/>
      <c r="CP99" s="306"/>
      <c r="CQ99" s="306"/>
      <c r="CR99" s="306"/>
      <c r="CS99" s="306"/>
      <c r="CT99" s="306"/>
      <c r="CU99" s="306"/>
      <c r="CV99" s="306"/>
      <c r="CW99" s="306"/>
      <c r="CX99" s="306"/>
      <c r="CY99" s="306"/>
      <c r="CZ99" s="306"/>
      <c r="DA99" s="306"/>
      <c r="DB99" s="306"/>
      <c r="DC99" s="306"/>
      <c r="DD99" s="306"/>
      <c r="DE99" s="306"/>
      <c r="DF99" s="306"/>
      <c r="DG99" s="306"/>
      <c r="DH99" s="306"/>
      <c r="DI99" s="306"/>
      <c r="DJ99" s="306"/>
      <c r="DK99" s="306"/>
      <c r="DL99" s="306"/>
      <c r="DM99" s="306"/>
      <c r="DN99" s="306"/>
      <c r="DO99" s="306"/>
      <c r="DP99" s="306"/>
      <c r="DQ99" s="306"/>
      <c r="DR99" s="306"/>
      <c r="DS99" s="306"/>
      <c r="DT99" s="306"/>
      <c r="DU99" s="306"/>
      <c r="DV99" s="306"/>
      <c r="DW99" s="306"/>
      <c r="DX99" s="306"/>
      <c r="DY99" s="306"/>
      <c r="DZ99" s="307"/>
    </row>
    <row r="100" spans="1:182" ht="36" customHeight="1" x14ac:dyDescent="0.2">
      <c r="A100" s="191"/>
      <c r="B100" s="82" t="s">
        <v>35</v>
      </c>
      <c r="C100" s="210" t="s">
        <v>36</v>
      </c>
      <c r="D100" s="211"/>
      <c r="E100" s="211"/>
      <c r="F100" s="211"/>
      <c r="G100" s="211"/>
      <c r="H100" s="211"/>
      <c r="I100" s="211"/>
      <c r="J100" s="211"/>
      <c r="K100" s="211"/>
      <c r="L100" s="211"/>
      <c r="M100" s="194" t="s">
        <v>37</v>
      </c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212">
        <v>8.3000000000000004E-2</v>
      </c>
      <c r="AA100" s="212"/>
      <c r="AB100" s="212"/>
      <c r="AC100" s="212"/>
      <c r="AD100" s="212"/>
      <c r="AE100" s="212"/>
      <c r="AF100" s="212"/>
      <c r="AG100" s="213">
        <f>TRUNC(MIN(D4:BM6,D7:BM9,D10:BM12,D13:BM15),3)</f>
        <v>0.17</v>
      </c>
      <c r="AH100" s="206"/>
      <c r="AI100" s="206"/>
      <c r="AJ100" s="206"/>
      <c r="AK100" s="206"/>
      <c r="AL100" s="207" t="s">
        <v>38</v>
      </c>
      <c r="AM100" s="208"/>
      <c r="AN100" s="208"/>
      <c r="AO100" s="208"/>
      <c r="AP100" s="208"/>
      <c r="AQ100" s="208"/>
      <c r="AR100" s="208"/>
      <c r="AS100" s="208"/>
      <c r="AT100" s="208"/>
      <c r="AU100" s="208"/>
      <c r="AV100" s="209"/>
      <c r="AW100" s="186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7"/>
      <c r="BO100" s="187"/>
      <c r="BP100" s="187"/>
      <c r="BQ100" s="187"/>
      <c r="BR100" s="178"/>
      <c r="BS100" s="178"/>
      <c r="BT100" s="178"/>
      <c r="BU100" s="178"/>
      <c r="BV100" s="178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9"/>
      <c r="CL100" s="293" t="str">
        <f>Thickness!CL100</f>
        <v>NO. 1 RECOVERY BOILER</v>
      </c>
      <c r="CM100" s="294"/>
      <c r="CN100" s="294"/>
      <c r="CO100" s="294"/>
      <c r="CP100" s="294"/>
      <c r="CQ100" s="294"/>
      <c r="CR100" s="294"/>
      <c r="CS100" s="294"/>
      <c r="CT100" s="294"/>
      <c r="CU100" s="294"/>
      <c r="CV100" s="294"/>
      <c r="CW100" s="294"/>
      <c r="CX100" s="294"/>
      <c r="CY100" s="294"/>
      <c r="CZ100" s="294"/>
      <c r="DA100" s="294"/>
      <c r="DB100" s="294"/>
      <c r="DC100" s="294"/>
      <c r="DD100" s="294"/>
      <c r="DE100" s="294"/>
      <c r="DF100" s="294"/>
      <c r="DG100" s="294"/>
      <c r="DH100" s="294"/>
      <c r="DI100" s="294"/>
      <c r="DJ100" s="294"/>
      <c r="DK100" s="294"/>
      <c r="DL100" s="294"/>
      <c r="DM100" s="294"/>
      <c r="DN100" s="294"/>
      <c r="DO100" s="294"/>
      <c r="DP100" s="294"/>
      <c r="DQ100" s="294"/>
      <c r="DR100" s="294"/>
      <c r="DS100" s="294"/>
      <c r="DT100" s="294"/>
      <c r="DU100" s="294"/>
      <c r="DV100" s="294"/>
      <c r="DW100" s="294"/>
      <c r="DX100" s="294"/>
      <c r="DY100" s="294"/>
      <c r="DZ100" s="295"/>
    </row>
    <row r="101" spans="1:182" ht="36" customHeight="1" x14ac:dyDescent="0.2">
      <c r="A101" s="191"/>
      <c r="B101" s="83" t="s">
        <v>40</v>
      </c>
      <c r="C101" s="214" t="s">
        <v>41</v>
      </c>
      <c r="D101" s="211"/>
      <c r="E101" s="211"/>
      <c r="F101" s="211"/>
      <c r="G101" s="211"/>
      <c r="H101" s="211"/>
      <c r="I101" s="211"/>
      <c r="J101" s="211"/>
      <c r="K101" s="211"/>
      <c r="L101" s="211"/>
      <c r="M101" s="215" t="s">
        <v>42</v>
      </c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7">
        <v>0.2</v>
      </c>
      <c r="AA101" s="217"/>
      <c r="AB101" s="217"/>
      <c r="AC101" s="217"/>
      <c r="AD101" s="217"/>
      <c r="AE101" s="217"/>
      <c r="AF101" s="217"/>
      <c r="AG101" s="218">
        <f>STDEV(D4:BM6,D7:BM9,D10:BM12,D13:BM15)</f>
        <v>3.0625762213880896E-2</v>
      </c>
      <c r="AH101" s="219"/>
      <c r="AI101" s="219"/>
      <c r="AJ101" s="219"/>
      <c r="AK101" s="219"/>
      <c r="AL101" s="220" t="s">
        <v>43</v>
      </c>
      <c r="AM101" s="221"/>
      <c r="AN101" s="221"/>
      <c r="AO101" s="221"/>
      <c r="AP101" s="221"/>
      <c r="AQ101" s="221"/>
      <c r="AR101" s="221"/>
      <c r="AS101" s="221"/>
      <c r="AT101" s="221"/>
      <c r="AU101" s="221"/>
      <c r="AV101" s="222"/>
      <c r="AW101" s="180" t="str">
        <f>Thickness!AW101</f>
        <v>Job #  H449364  P.O. #  0018342455 W.O. #  N/A   Date:  5/05/2025</v>
      </c>
      <c r="AX101" s="275"/>
      <c r="AY101" s="275"/>
      <c r="AZ101" s="275"/>
      <c r="BA101" s="275"/>
      <c r="BB101" s="275"/>
      <c r="BC101" s="275"/>
      <c r="BD101" s="275"/>
      <c r="BE101" s="275"/>
      <c r="BF101" s="275"/>
      <c r="BG101" s="275"/>
      <c r="BH101" s="275"/>
      <c r="BI101" s="275"/>
      <c r="BJ101" s="275"/>
      <c r="BK101" s="275"/>
      <c r="BL101" s="275"/>
      <c r="BM101" s="275"/>
      <c r="BN101" s="275"/>
      <c r="BO101" s="275"/>
      <c r="BP101" s="275"/>
      <c r="BQ101" s="275"/>
      <c r="BR101" s="275"/>
      <c r="BS101" s="275"/>
      <c r="BT101" s="275"/>
      <c r="BU101" s="275"/>
      <c r="BV101" s="275"/>
      <c r="BW101" s="275"/>
      <c r="BX101" s="275"/>
      <c r="BY101" s="275"/>
      <c r="BZ101" s="275"/>
      <c r="CA101" s="275"/>
      <c r="CB101" s="275"/>
      <c r="CC101" s="275"/>
      <c r="CD101" s="275"/>
      <c r="CE101" s="275"/>
      <c r="CF101" s="275"/>
      <c r="CG101" s="275"/>
      <c r="CH101" s="275"/>
      <c r="CI101" s="275"/>
      <c r="CJ101" s="275"/>
      <c r="CK101" s="276"/>
      <c r="CL101" s="296" t="str">
        <f>Thickness!CL101</f>
        <v>01 FLOOR</v>
      </c>
      <c r="CM101" s="297"/>
      <c r="CN101" s="297"/>
      <c r="CO101" s="297"/>
      <c r="CP101" s="297"/>
      <c r="CQ101" s="297"/>
      <c r="CR101" s="297"/>
      <c r="CS101" s="297"/>
      <c r="CT101" s="297"/>
      <c r="CU101" s="297"/>
      <c r="CV101" s="297"/>
      <c r="CW101" s="297"/>
      <c r="CX101" s="297"/>
      <c r="CY101" s="297"/>
      <c r="CZ101" s="297"/>
      <c r="DA101" s="297"/>
      <c r="DB101" s="297"/>
      <c r="DC101" s="297"/>
      <c r="DD101" s="297"/>
      <c r="DE101" s="297"/>
      <c r="DF101" s="297"/>
      <c r="DG101" s="297"/>
      <c r="DH101" s="297"/>
      <c r="DI101" s="297"/>
      <c r="DJ101" s="297"/>
      <c r="DK101" s="297"/>
      <c r="DL101" s="297"/>
      <c r="DM101" s="297"/>
      <c r="DN101" s="297"/>
      <c r="DO101" s="297"/>
      <c r="DP101" s="297"/>
      <c r="DQ101" s="297"/>
      <c r="DR101" s="297"/>
      <c r="DS101" s="297"/>
      <c r="DT101" s="297"/>
      <c r="DU101" s="297"/>
      <c r="DV101" s="297"/>
      <c r="DW101" s="297"/>
      <c r="DX101" s="297"/>
      <c r="DY101" s="297"/>
      <c r="DZ101" s="298"/>
    </row>
    <row r="102" spans="1:182" ht="36" customHeight="1" x14ac:dyDescent="0.35">
      <c r="B102" s="16" t="s">
        <v>69</v>
      </c>
    </row>
    <row r="103" spans="1:182" ht="36" customHeight="1" x14ac:dyDescent="0.2"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174" t="s">
        <v>21</v>
      </c>
      <c r="BS105" s="174"/>
      <c r="BT105" s="174"/>
      <c r="BU105" s="174"/>
      <c r="BV105" s="174"/>
      <c r="BW105" s="174"/>
      <c r="BX105" s="174"/>
      <c r="BY105" s="174"/>
      <c r="BZ105" s="174"/>
      <c r="CA105" s="174"/>
      <c r="CB105" s="174"/>
      <c r="CC105" s="174"/>
      <c r="CD105" s="174"/>
      <c r="CE105" s="174"/>
      <c r="CF105" s="174"/>
      <c r="CG105" s="174"/>
      <c r="CH105" s="174"/>
      <c r="CI105" s="174"/>
      <c r="CJ105" s="174"/>
      <c r="CK105" s="175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176"/>
      <c r="BS106" s="176"/>
      <c r="BT106" s="176"/>
      <c r="BU106" s="176"/>
      <c r="BV106" s="176"/>
      <c r="BW106" s="176"/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7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176"/>
      <c r="BS107" s="176"/>
      <c r="BT107" s="176"/>
      <c r="BU107" s="176"/>
      <c r="BV107" s="176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7"/>
    </row>
    <row r="108" spans="1:182" x14ac:dyDescent="0.2">
      <c r="BR108" s="178"/>
      <c r="BS108" s="178"/>
      <c r="BT108" s="178"/>
      <c r="BU108" s="178"/>
      <c r="BV108" s="178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9"/>
    </row>
    <row r="110" spans="1:182" x14ac:dyDescent="0.2">
      <c r="BR110" s="174" t="s">
        <v>47</v>
      </c>
      <c r="BS110" s="174"/>
      <c r="BT110" s="174"/>
      <c r="BU110" s="174"/>
      <c r="BV110" s="174"/>
      <c r="BW110" s="174"/>
      <c r="BX110" s="174"/>
      <c r="BY110" s="174"/>
      <c r="BZ110" s="174"/>
      <c r="CA110" s="174"/>
      <c r="CB110" s="174"/>
      <c r="CC110" s="174"/>
      <c r="CD110" s="174"/>
      <c r="CE110" s="174"/>
      <c r="CF110" s="174"/>
      <c r="CG110" s="174"/>
      <c r="CH110" s="174"/>
      <c r="CI110" s="174"/>
      <c r="CJ110" s="174"/>
      <c r="CK110" s="175"/>
    </row>
    <row r="111" spans="1:182" x14ac:dyDescent="0.2">
      <c r="BR111" s="176"/>
      <c r="BS111" s="176"/>
      <c r="BT111" s="176"/>
      <c r="BU111" s="176"/>
      <c r="BV111" s="176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7"/>
    </row>
    <row r="112" spans="1:182" x14ac:dyDescent="0.2">
      <c r="BR112" s="176"/>
      <c r="BS112" s="176"/>
      <c r="BT112" s="176"/>
      <c r="BU112" s="176"/>
      <c r="BV112" s="176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7"/>
    </row>
    <row r="113" spans="70:89" x14ac:dyDescent="0.2">
      <c r="BR113" s="178"/>
      <c r="BS113" s="178"/>
      <c r="BT113" s="178"/>
      <c r="BU113" s="178"/>
      <c r="BV113" s="178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9"/>
    </row>
    <row r="115" spans="70:89" x14ac:dyDescent="0.2">
      <c r="BR115" s="174" t="s">
        <v>48</v>
      </c>
      <c r="BS115" s="174"/>
      <c r="BT115" s="174"/>
      <c r="BU115" s="174"/>
      <c r="BV115" s="174"/>
      <c r="BW115" s="174"/>
      <c r="BX115" s="174"/>
      <c r="BY115" s="174"/>
      <c r="BZ115" s="174"/>
      <c r="CA115" s="174"/>
      <c r="CB115" s="174"/>
      <c r="CC115" s="174"/>
      <c r="CD115" s="174"/>
      <c r="CE115" s="174"/>
      <c r="CF115" s="174"/>
      <c r="CG115" s="174"/>
      <c r="CH115" s="174"/>
      <c r="CI115" s="174"/>
      <c r="CJ115" s="174"/>
      <c r="CK115" s="175"/>
    </row>
    <row r="116" spans="70:89" x14ac:dyDescent="0.2">
      <c r="BR116" s="176"/>
      <c r="BS116" s="176"/>
      <c r="BT116" s="176"/>
      <c r="BU116" s="176"/>
      <c r="BV116" s="176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7"/>
    </row>
    <row r="117" spans="70:89" x14ac:dyDescent="0.2">
      <c r="BR117" s="176"/>
      <c r="BS117" s="176"/>
      <c r="BT117" s="176"/>
      <c r="BU117" s="176"/>
      <c r="BV117" s="176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7"/>
    </row>
    <row r="118" spans="70:89" x14ac:dyDescent="0.2">
      <c r="BR118" s="178"/>
      <c r="BS118" s="178"/>
      <c r="BT118" s="178"/>
      <c r="BU118" s="178"/>
      <c r="BV118" s="178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9"/>
    </row>
  </sheetData>
  <mergeCells count="55">
    <mergeCell ref="C99:L99"/>
    <mergeCell ref="AL101:AV101"/>
    <mergeCell ref="A16:B16"/>
    <mergeCell ref="M100:Y100"/>
    <mergeCell ref="Z100:AF100"/>
    <mergeCell ref="AG100:AK100"/>
    <mergeCell ref="AL100:AV100"/>
    <mergeCell ref="C97:L97"/>
    <mergeCell ref="M97:Y97"/>
    <mergeCell ref="Z97:AF97"/>
    <mergeCell ref="AG97:AV97"/>
    <mergeCell ref="A98:A101"/>
    <mergeCell ref="C98:L98"/>
    <mergeCell ref="M98:Y98"/>
    <mergeCell ref="Z98:AF98"/>
    <mergeCell ref="AG98:AK98"/>
    <mergeCell ref="AL98:AV98"/>
    <mergeCell ref="C100:L100"/>
    <mergeCell ref="C101:L101"/>
    <mergeCell ref="M101:Y101"/>
    <mergeCell ref="Z101:AF101"/>
    <mergeCell ref="AG101:AK101"/>
    <mergeCell ref="BO13:BO15"/>
    <mergeCell ref="M99:Y99"/>
    <mergeCell ref="Z99:AF99"/>
    <mergeCell ref="AG99:AK99"/>
    <mergeCell ref="AL99:AV99"/>
    <mergeCell ref="BR105:CK108"/>
    <mergeCell ref="BR110:CK113"/>
    <mergeCell ref="BR115:CK118"/>
    <mergeCell ref="AW97:BQ100"/>
    <mergeCell ref="BR97:CK100"/>
    <mergeCell ref="CL100:DZ100"/>
    <mergeCell ref="AW101:CK101"/>
    <mergeCell ref="CL101:DZ101"/>
    <mergeCell ref="CL97:DZ97"/>
    <mergeCell ref="CL98:DZ98"/>
    <mergeCell ref="CL99:DZ99"/>
    <mergeCell ref="A1:B2"/>
    <mergeCell ref="C1:DP1"/>
    <mergeCell ref="DQ1:DZ1"/>
    <mergeCell ref="C2:DP2"/>
    <mergeCell ref="DQ2:DZ2"/>
    <mergeCell ref="BO4:BO6"/>
    <mergeCell ref="A11:A12"/>
    <mergeCell ref="BN7:BN9"/>
    <mergeCell ref="BO7:BO9"/>
    <mergeCell ref="A3:B3"/>
    <mergeCell ref="BO10:BO12"/>
    <mergeCell ref="A14:A15"/>
    <mergeCell ref="BN10:BN12"/>
    <mergeCell ref="A5:A6"/>
    <mergeCell ref="A8:A9"/>
    <mergeCell ref="BN4:BN6"/>
    <mergeCell ref="BN13:BN15"/>
  </mergeCells>
  <conditionalFormatting sqref="D4:BM15 AG98:AG100">
    <cfRule type="cellIs" dxfId="21" priority="1" operator="between">
      <formula>0.001</formula>
      <formula>0.083</formula>
    </cfRule>
    <cfRule type="cellIs" dxfId="20" priority="2" operator="between">
      <formula>0.084</formula>
      <formula>0.113</formula>
    </cfRule>
    <cfRule type="cellIs" dxfId="19" priority="3" operator="between">
      <formula>0.114</formula>
      <formula>0.143</formula>
    </cfRule>
    <cfRule type="cellIs" dxfId="18" priority="4" operator="between">
      <formula>0.144</formula>
      <formula>0.173</formula>
    </cfRule>
    <cfRule type="cellIs" dxfId="17" priority="5" operator="between">
      <formula>0.174</formula>
      <formula>0.203</formula>
    </cfRule>
    <cfRule type="cellIs" dxfId="16" priority="6" operator="between">
      <formula>0.204</formula>
      <formula>0.233</formula>
    </cfRule>
    <cfRule type="cellIs" dxfId="15" priority="7" operator="between">
      <formula>0.234</formula>
      <formula>0.263</formula>
    </cfRule>
    <cfRule type="cellIs" dxfId="14" priority="8" operator="between">
      <formula>0.264</formula>
      <formula>0.293</formula>
    </cfRule>
    <cfRule type="cellIs" dxfId="13" priority="9" operator="between">
      <formula>0.294</formula>
      <formula>0.323</formula>
    </cfRule>
    <cfRule type="cellIs" dxfId="12" priority="10" operator="between">
      <formula>0.324</formula>
      <formula>0.999</formula>
    </cfRule>
    <cfRule type="containsText" dxfId="11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scale="35" pageOrder="overThenDown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79F3-BCDB-45CC-8542-805B6776DD6C}">
  <sheetPr>
    <pageSetUpPr fitToPage="1"/>
  </sheetPr>
  <dimension ref="A1:IK118"/>
  <sheetViews>
    <sheetView tabSelected="1" zoomScale="25" zoomScaleNormal="25" workbookViewId="0">
      <selection sqref="A1:B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317">
        <f>Thickness!A1</f>
        <v>2025</v>
      </c>
      <c r="B1" s="318"/>
      <c r="C1" s="286" t="str">
        <f>IF(ISBLANK(Thickness!C1),"",(Thickness!C1))</f>
        <v xml:space="preserve">NC - NOT CLEAN; </v>
      </c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7"/>
      <c r="BE1" s="287"/>
      <c r="BF1" s="287"/>
      <c r="BG1" s="287"/>
      <c r="BH1" s="287"/>
      <c r="BI1" s="287"/>
      <c r="BJ1" s="287"/>
      <c r="BK1" s="287"/>
      <c r="BL1" s="287"/>
      <c r="BM1" s="287"/>
      <c r="BN1" s="287"/>
      <c r="BO1" s="287"/>
      <c r="BP1" s="287"/>
      <c r="BQ1" s="287"/>
      <c r="BR1" s="287"/>
      <c r="BS1" s="287"/>
      <c r="BT1" s="287"/>
      <c r="BU1" s="287"/>
      <c r="BV1" s="287"/>
      <c r="BW1" s="287"/>
      <c r="BX1" s="287"/>
      <c r="BY1" s="287"/>
      <c r="BZ1" s="287"/>
      <c r="CA1" s="287"/>
      <c r="CB1" s="287"/>
      <c r="CC1" s="287"/>
      <c r="CD1" s="287"/>
      <c r="CE1" s="287"/>
      <c r="CF1" s="287"/>
      <c r="CG1" s="287"/>
      <c r="CH1" s="287"/>
      <c r="CI1" s="287"/>
      <c r="CJ1" s="287"/>
      <c r="CK1" s="287"/>
      <c r="CL1" s="287"/>
      <c r="CM1" s="287"/>
      <c r="CN1" s="287"/>
      <c r="CO1" s="287"/>
      <c r="CP1" s="287"/>
      <c r="CQ1" s="287"/>
      <c r="CR1" s="287"/>
      <c r="CS1" s="287"/>
      <c r="CT1" s="287"/>
      <c r="CU1" s="287"/>
      <c r="CV1" s="287"/>
      <c r="CW1" s="287"/>
      <c r="CX1" s="287"/>
      <c r="CY1" s="287"/>
      <c r="CZ1" s="287"/>
      <c r="DA1" s="287"/>
      <c r="DB1" s="287"/>
      <c r="DC1" s="287"/>
      <c r="DD1" s="287"/>
      <c r="DE1" s="287"/>
      <c r="DF1" s="287"/>
      <c r="DG1" s="287"/>
      <c r="DH1" s="287"/>
      <c r="DI1" s="287"/>
      <c r="DJ1" s="287"/>
      <c r="DK1" s="287"/>
      <c r="DL1" s="287"/>
      <c r="DM1" s="287"/>
      <c r="DN1" s="287"/>
      <c r="DO1" s="287"/>
      <c r="DP1" s="288"/>
      <c r="DQ1" s="162" t="s">
        <v>1</v>
      </c>
      <c r="DR1" s="163"/>
      <c r="DS1" s="163"/>
      <c r="DT1" s="163"/>
      <c r="DU1" s="163"/>
      <c r="DV1" s="163"/>
      <c r="DW1" s="163"/>
      <c r="DX1" s="163"/>
      <c r="DY1" s="163"/>
      <c r="DZ1" s="164"/>
    </row>
    <row r="2" spans="1:182" s="5" customFormat="1" ht="36" customHeight="1" x14ac:dyDescent="0.2">
      <c r="A2" s="319"/>
      <c r="B2" s="320"/>
      <c r="C2" s="159" t="s">
        <v>70</v>
      </c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0"/>
      <c r="BO2" s="160"/>
      <c r="BP2" s="160"/>
      <c r="BQ2" s="160"/>
      <c r="BR2" s="160"/>
      <c r="BS2" s="160"/>
      <c r="BT2" s="160"/>
      <c r="BU2" s="160"/>
      <c r="BV2" s="160"/>
      <c r="BW2" s="160"/>
      <c r="BX2" s="160"/>
      <c r="BY2" s="160"/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60"/>
      <c r="CL2" s="160"/>
      <c r="CM2" s="160"/>
      <c r="CN2" s="160"/>
      <c r="CO2" s="160"/>
      <c r="CP2" s="160"/>
      <c r="CQ2" s="160"/>
      <c r="CR2" s="160"/>
      <c r="CS2" s="160"/>
      <c r="CT2" s="160"/>
      <c r="CU2" s="160"/>
      <c r="CV2" s="160"/>
      <c r="CW2" s="160"/>
      <c r="CX2" s="160"/>
      <c r="CY2" s="160"/>
      <c r="CZ2" s="160"/>
      <c r="DA2" s="160"/>
      <c r="DB2" s="160"/>
      <c r="DC2" s="160"/>
      <c r="DD2" s="160"/>
      <c r="DE2" s="160"/>
      <c r="DF2" s="160"/>
      <c r="DG2" s="160"/>
      <c r="DH2" s="160"/>
      <c r="DI2" s="160"/>
      <c r="DJ2" s="160"/>
      <c r="DK2" s="160"/>
      <c r="DL2" s="160"/>
      <c r="DM2" s="160"/>
      <c r="DN2" s="160"/>
      <c r="DO2" s="160"/>
      <c r="DP2" s="161"/>
      <c r="DQ2" s="162" t="s">
        <v>3</v>
      </c>
      <c r="DR2" s="163"/>
      <c r="DS2" s="163"/>
      <c r="DT2" s="163"/>
      <c r="DU2" s="163"/>
      <c r="DV2" s="163"/>
      <c r="DW2" s="163"/>
      <c r="DX2" s="163"/>
      <c r="DY2" s="163"/>
      <c r="DZ2" s="164"/>
      <c r="EA2" s="4"/>
    </row>
    <row r="3" spans="1:182" s="5" customFormat="1" ht="36" customHeight="1" x14ac:dyDescent="0.2">
      <c r="A3" s="144" t="s">
        <v>4</v>
      </c>
      <c r="B3" s="145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84">
        <v>62</v>
      </c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322" t="s">
        <v>71</v>
      </c>
      <c r="D4" s="324" t="s">
        <v>72</v>
      </c>
      <c r="E4" s="308" t="s">
        <v>72</v>
      </c>
      <c r="F4" s="308" t="s">
        <v>72</v>
      </c>
      <c r="G4" s="308" t="s">
        <v>72</v>
      </c>
      <c r="H4" s="311" t="s">
        <v>72</v>
      </c>
      <c r="I4" s="314" t="s">
        <v>72</v>
      </c>
      <c r="J4" s="308" t="s">
        <v>51</v>
      </c>
      <c r="K4" s="308" t="s">
        <v>72</v>
      </c>
      <c r="L4" s="308" t="s">
        <v>72</v>
      </c>
      <c r="M4" s="311" t="s">
        <v>73</v>
      </c>
      <c r="N4" s="314" t="s">
        <v>72</v>
      </c>
      <c r="O4" s="308" t="s">
        <v>51</v>
      </c>
      <c r="P4" s="308" t="s">
        <v>72</v>
      </c>
      <c r="Q4" s="308" t="s">
        <v>72</v>
      </c>
      <c r="R4" s="311" t="s">
        <v>72</v>
      </c>
      <c r="S4" s="314" t="s">
        <v>72</v>
      </c>
      <c r="T4" s="308" t="s">
        <v>74</v>
      </c>
      <c r="U4" s="308" t="s">
        <v>72</v>
      </c>
      <c r="V4" s="308" t="s">
        <v>72</v>
      </c>
      <c r="W4" s="311" t="s">
        <v>72</v>
      </c>
      <c r="X4" s="314" t="s">
        <v>72</v>
      </c>
      <c r="Y4" s="308" t="s">
        <v>72</v>
      </c>
      <c r="Z4" s="308" t="s">
        <v>72</v>
      </c>
      <c r="AA4" s="308" t="s">
        <v>72</v>
      </c>
      <c r="AB4" s="311" t="s">
        <v>72</v>
      </c>
      <c r="AC4" s="314" t="s">
        <v>72</v>
      </c>
      <c r="AD4" s="308" t="s">
        <v>72</v>
      </c>
      <c r="AE4" s="308" t="s">
        <v>72</v>
      </c>
      <c r="AF4" s="308" t="s">
        <v>72</v>
      </c>
      <c r="AG4" s="311" t="s">
        <v>72</v>
      </c>
      <c r="AH4" s="314" t="s">
        <v>72</v>
      </c>
      <c r="AI4" s="308" t="s">
        <v>72</v>
      </c>
      <c r="AJ4" s="308" t="s">
        <v>72</v>
      </c>
      <c r="AK4" s="308" t="s">
        <v>72</v>
      </c>
      <c r="AL4" s="311" t="s">
        <v>72</v>
      </c>
      <c r="AM4" s="314" t="s">
        <v>72</v>
      </c>
      <c r="AN4" s="308" t="s">
        <v>72</v>
      </c>
      <c r="AO4" s="308" t="s">
        <v>72</v>
      </c>
      <c r="AP4" s="308" t="s">
        <v>75</v>
      </c>
      <c r="AQ4" s="311" t="s">
        <v>72</v>
      </c>
      <c r="AR4" s="314" t="s">
        <v>72</v>
      </c>
      <c r="AS4" s="308" t="s">
        <v>72</v>
      </c>
      <c r="AT4" s="308" t="s">
        <v>72</v>
      </c>
      <c r="AU4" s="308" t="s">
        <v>72</v>
      </c>
      <c r="AV4" s="311" t="s">
        <v>51</v>
      </c>
      <c r="AW4" s="314" t="s">
        <v>72</v>
      </c>
      <c r="AX4" s="308" t="s">
        <v>72</v>
      </c>
      <c r="AY4" s="308" t="s">
        <v>72</v>
      </c>
      <c r="AZ4" s="308" t="s">
        <v>72</v>
      </c>
      <c r="BA4" s="311" t="s">
        <v>72</v>
      </c>
      <c r="BB4" s="314" t="s">
        <v>72</v>
      </c>
      <c r="BC4" s="308" t="s">
        <v>76</v>
      </c>
      <c r="BD4" s="308" t="s">
        <v>72</v>
      </c>
      <c r="BE4" s="308" t="s">
        <v>72</v>
      </c>
      <c r="BF4" s="311" t="s">
        <v>72</v>
      </c>
      <c r="BG4" s="314" t="s">
        <v>72</v>
      </c>
      <c r="BH4" s="308" t="s">
        <v>72</v>
      </c>
      <c r="BI4" s="308" t="s">
        <v>72</v>
      </c>
      <c r="BJ4" s="308" t="s">
        <v>72</v>
      </c>
      <c r="BK4" s="311" t="s">
        <v>72</v>
      </c>
      <c r="BL4" s="314" t="s">
        <v>72</v>
      </c>
      <c r="BM4" s="311" t="s">
        <v>72</v>
      </c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40" t="s">
        <v>52</v>
      </c>
      <c r="B5" s="7" t="s">
        <v>10</v>
      </c>
      <c r="C5" s="323"/>
      <c r="D5" s="325" t="s">
        <v>72</v>
      </c>
      <c r="E5" s="309" t="s">
        <v>72</v>
      </c>
      <c r="F5" s="309" t="s">
        <v>72</v>
      </c>
      <c r="G5" s="309" t="s">
        <v>72</v>
      </c>
      <c r="H5" s="312" t="s">
        <v>72</v>
      </c>
      <c r="I5" s="315" t="s">
        <v>72</v>
      </c>
      <c r="J5" s="309" t="s">
        <v>51</v>
      </c>
      <c r="K5" s="309" t="s">
        <v>72</v>
      </c>
      <c r="L5" s="309" t="s">
        <v>72</v>
      </c>
      <c r="M5" s="312" t="s">
        <v>73</v>
      </c>
      <c r="N5" s="315" t="s">
        <v>72</v>
      </c>
      <c r="O5" s="309" t="s">
        <v>51</v>
      </c>
      <c r="P5" s="309" t="s">
        <v>72</v>
      </c>
      <c r="Q5" s="309" t="s">
        <v>72</v>
      </c>
      <c r="R5" s="312" t="s">
        <v>72</v>
      </c>
      <c r="S5" s="315" t="s">
        <v>72</v>
      </c>
      <c r="T5" s="309" t="s">
        <v>74</v>
      </c>
      <c r="U5" s="309" t="s">
        <v>72</v>
      </c>
      <c r="V5" s="309" t="s">
        <v>72</v>
      </c>
      <c r="W5" s="312" t="s">
        <v>72</v>
      </c>
      <c r="X5" s="315" t="s">
        <v>72</v>
      </c>
      <c r="Y5" s="309" t="s">
        <v>72</v>
      </c>
      <c r="Z5" s="309" t="s">
        <v>72</v>
      </c>
      <c r="AA5" s="309" t="s">
        <v>72</v>
      </c>
      <c r="AB5" s="312" t="s">
        <v>72</v>
      </c>
      <c r="AC5" s="315" t="s">
        <v>72</v>
      </c>
      <c r="AD5" s="309" t="s">
        <v>72</v>
      </c>
      <c r="AE5" s="309" t="s">
        <v>72</v>
      </c>
      <c r="AF5" s="309" t="s">
        <v>72</v>
      </c>
      <c r="AG5" s="312" t="s">
        <v>72</v>
      </c>
      <c r="AH5" s="315" t="s">
        <v>72</v>
      </c>
      <c r="AI5" s="309" t="s">
        <v>72</v>
      </c>
      <c r="AJ5" s="309" t="s">
        <v>72</v>
      </c>
      <c r="AK5" s="309" t="s">
        <v>72</v>
      </c>
      <c r="AL5" s="312" t="s">
        <v>72</v>
      </c>
      <c r="AM5" s="315" t="s">
        <v>72</v>
      </c>
      <c r="AN5" s="309" t="s">
        <v>72</v>
      </c>
      <c r="AO5" s="309" t="s">
        <v>72</v>
      </c>
      <c r="AP5" s="309" t="s">
        <v>75</v>
      </c>
      <c r="AQ5" s="312" t="s">
        <v>72</v>
      </c>
      <c r="AR5" s="315" t="s">
        <v>72</v>
      </c>
      <c r="AS5" s="309" t="s">
        <v>72</v>
      </c>
      <c r="AT5" s="309" t="s">
        <v>72</v>
      </c>
      <c r="AU5" s="309" t="s">
        <v>72</v>
      </c>
      <c r="AV5" s="312" t="s">
        <v>51</v>
      </c>
      <c r="AW5" s="315" t="s">
        <v>72</v>
      </c>
      <c r="AX5" s="309" t="s">
        <v>72</v>
      </c>
      <c r="AY5" s="309" t="s">
        <v>72</v>
      </c>
      <c r="AZ5" s="309" t="s">
        <v>72</v>
      </c>
      <c r="BA5" s="312" t="s">
        <v>72</v>
      </c>
      <c r="BB5" s="315" t="s">
        <v>72</v>
      </c>
      <c r="BC5" s="309" t="s">
        <v>76</v>
      </c>
      <c r="BD5" s="309" t="s">
        <v>72</v>
      </c>
      <c r="BE5" s="309" t="s">
        <v>72</v>
      </c>
      <c r="BF5" s="312" t="s">
        <v>72</v>
      </c>
      <c r="BG5" s="315" t="s">
        <v>72</v>
      </c>
      <c r="BH5" s="309" t="s">
        <v>72</v>
      </c>
      <c r="BI5" s="309" t="s">
        <v>72</v>
      </c>
      <c r="BJ5" s="309" t="s">
        <v>72</v>
      </c>
      <c r="BK5" s="312" t="s">
        <v>72</v>
      </c>
      <c r="BL5" s="315" t="s">
        <v>72</v>
      </c>
      <c r="BM5" s="312" t="s">
        <v>72</v>
      </c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40"/>
      <c r="B6" s="8"/>
      <c r="C6" s="323"/>
      <c r="D6" s="326" t="s">
        <v>72</v>
      </c>
      <c r="E6" s="310" t="s">
        <v>72</v>
      </c>
      <c r="F6" s="310" t="s">
        <v>72</v>
      </c>
      <c r="G6" s="310" t="s">
        <v>72</v>
      </c>
      <c r="H6" s="313" t="s">
        <v>72</v>
      </c>
      <c r="I6" s="316" t="s">
        <v>72</v>
      </c>
      <c r="J6" s="310" t="s">
        <v>51</v>
      </c>
      <c r="K6" s="310" t="s">
        <v>72</v>
      </c>
      <c r="L6" s="310" t="s">
        <v>72</v>
      </c>
      <c r="M6" s="313" t="s">
        <v>73</v>
      </c>
      <c r="N6" s="316" t="s">
        <v>72</v>
      </c>
      <c r="O6" s="310" t="s">
        <v>51</v>
      </c>
      <c r="P6" s="310" t="s">
        <v>72</v>
      </c>
      <c r="Q6" s="310" t="s">
        <v>72</v>
      </c>
      <c r="R6" s="313" t="s">
        <v>72</v>
      </c>
      <c r="S6" s="316" t="s">
        <v>72</v>
      </c>
      <c r="T6" s="310" t="s">
        <v>74</v>
      </c>
      <c r="U6" s="310" t="s">
        <v>72</v>
      </c>
      <c r="V6" s="310" t="s">
        <v>72</v>
      </c>
      <c r="W6" s="313" t="s">
        <v>72</v>
      </c>
      <c r="X6" s="316" t="s">
        <v>72</v>
      </c>
      <c r="Y6" s="310" t="s">
        <v>72</v>
      </c>
      <c r="Z6" s="310" t="s">
        <v>72</v>
      </c>
      <c r="AA6" s="310" t="s">
        <v>72</v>
      </c>
      <c r="AB6" s="313" t="s">
        <v>72</v>
      </c>
      <c r="AC6" s="316" t="s">
        <v>72</v>
      </c>
      <c r="AD6" s="310" t="s">
        <v>72</v>
      </c>
      <c r="AE6" s="310" t="s">
        <v>72</v>
      </c>
      <c r="AF6" s="310" t="s">
        <v>72</v>
      </c>
      <c r="AG6" s="313" t="s">
        <v>72</v>
      </c>
      <c r="AH6" s="316" t="s">
        <v>72</v>
      </c>
      <c r="AI6" s="310" t="s">
        <v>72</v>
      </c>
      <c r="AJ6" s="310" t="s">
        <v>72</v>
      </c>
      <c r="AK6" s="310" t="s">
        <v>72</v>
      </c>
      <c r="AL6" s="313" t="s">
        <v>72</v>
      </c>
      <c r="AM6" s="316" t="s">
        <v>72</v>
      </c>
      <c r="AN6" s="310" t="s">
        <v>72</v>
      </c>
      <c r="AO6" s="310" t="s">
        <v>72</v>
      </c>
      <c r="AP6" s="310" t="s">
        <v>75</v>
      </c>
      <c r="AQ6" s="313" t="s">
        <v>72</v>
      </c>
      <c r="AR6" s="316" t="s">
        <v>72</v>
      </c>
      <c r="AS6" s="310" t="s">
        <v>72</v>
      </c>
      <c r="AT6" s="310" t="s">
        <v>72</v>
      </c>
      <c r="AU6" s="310" t="s">
        <v>72</v>
      </c>
      <c r="AV6" s="313" t="s">
        <v>51</v>
      </c>
      <c r="AW6" s="316" t="s">
        <v>72</v>
      </c>
      <c r="AX6" s="310" t="s">
        <v>72</v>
      </c>
      <c r="AY6" s="310" t="s">
        <v>72</v>
      </c>
      <c r="AZ6" s="310" t="s">
        <v>72</v>
      </c>
      <c r="BA6" s="313" t="s">
        <v>72</v>
      </c>
      <c r="BB6" s="316" t="s">
        <v>72</v>
      </c>
      <c r="BC6" s="310" t="s">
        <v>76</v>
      </c>
      <c r="BD6" s="310" t="s">
        <v>72</v>
      </c>
      <c r="BE6" s="310" t="s">
        <v>72</v>
      </c>
      <c r="BF6" s="313" t="s">
        <v>72</v>
      </c>
      <c r="BG6" s="316" t="s">
        <v>72</v>
      </c>
      <c r="BH6" s="310" t="s">
        <v>72</v>
      </c>
      <c r="BI6" s="310" t="s">
        <v>72</v>
      </c>
      <c r="BJ6" s="310" t="s">
        <v>72</v>
      </c>
      <c r="BK6" s="313" t="s">
        <v>72</v>
      </c>
      <c r="BL6" s="316" t="s">
        <v>72</v>
      </c>
      <c r="BM6" s="313" t="s">
        <v>72</v>
      </c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322" t="s">
        <v>71</v>
      </c>
      <c r="D7" s="324" t="s">
        <v>72</v>
      </c>
      <c r="E7" s="308" t="s">
        <v>72</v>
      </c>
      <c r="F7" s="308" t="s">
        <v>72</v>
      </c>
      <c r="G7" s="308" t="s">
        <v>72</v>
      </c>
      <c r="H7" s="311" t="s">
        <v>72</v>
      </c>
      <c r="I7" s="314" t="s">
        <v>72</v>
      </c>
      <c r="J7" s="308" t="s">
        <v>72</v>
      </c>
      <c r="K7" s="308" t="s">
        <v>72</v>
      </c>
      <c r="L7" s="308" t="s">
        <v>72</v>
      </c>
      <c r="M7" s="311" t="s">
        <v>72</v>
      </c>
      <c r="N7" s="314" t="s">
        <v>72</v>
      </c>
      <c r="O7" s="308" t="s">
        <v>77</v>
      </c>
      <c r="P7" s="308" t="s">
        <v>72</v>
      </c>
      <c r="Q7" s="308" t="s">
        <v>72</v>
      </c>
      <c r="R7" s="311" t="s">
        <v>72</v>
      </c>
      <c r="S7" s="314" t="s">
        <v>72</v>
      </c>
      <c r="T7" s="308" t="s">
        <v>72</v>
      </c>
      <c r="U7" s="308" t="s">
        <v>72</v>
      </c>
      <c r="V7" s="308" t="s">
        <v>72</v>
      </c>
      <c r="W7" s="311" t="s">
        <v>72</v>
      </c>
      <c r="X7" s="314" t="s">
        <v>72</v>
      </c>
      <c r="Y7" s="308" t="s">
        <v>72</v>
      </c>
      <c r="Z7" s="308" t="s">
        <v>72</v>
      </c>
      <c r="AA7" s="308" t="s">
        <v>72</v>
      </c>
      <c r="AB7" s="311" t="s">
        <v>72</v>
      </c>
      <c r="AC7" s="314" t="s">
        <v>72</v>
      </c>
      <c r="AD7" s="308" t="s">
        <v>72</v>
      </c>
      <c r="AE7" s="308" t="s">
        <v>72</v>
      </c>
      <c r="AF7" s="308" t="s">
        <v>72</v>
      </c>
      <c r="AG7" s="311" t="s">
        <v>72</v>
      </c>
      <c r="AH7" s="314" t="s">
        <v>72</v>
      </c>
      <c r="AI7" s="308" t="s">
        <v>72</v>
      </c>
      <c r="AJ7" s="308" t="s">
        <v>72</v>
      </c>
      <c r="AK7" s="308" t="s">
        <v>72</v>
      </c>
      <c r="AL7" s="311" t="s">
        <v>72</v>
      </c>
      <c r="AM7" s="314" t="s">
        <v>72</v>
      </c>
      <c r="AN7" s="308" t="s">
        <v>72</v>
      </c>
      <c r="AO7" s="308" t="s">
        <v>72</v>
      </c>
      <c r="AP7" s="308" t="s">
        <v>72</v>
      </c>
      <c r="AQ7" s="311" t="s">
        <v>72</v>
      </c>
      <c r="AR7" s="314" t="s">
        <v>72</v>
      </c>
      <c r="AS7" s="308" t="s">
        <v>72</v>
      </c>
      <c r="AT7" s="308" t="s">
        <v>72</v>
      </c>
      <c r="AU7" s="308" t="s">
        <v>72</v>
      </c>
      <c r="AV7" s="311" t="s">
        <v>72</v>
      </c>
      <c r="AW7" s="314" t="s">
        <v>72</v>
      </c>
      <c r="AX7" s="308" t="s">
        <v>78</v>
      </c>
      <c r="AY7" s="308" t="s">
        <v>72</v>
      </c>
      <c r="AZ7" s="308" t="s">
        <v>72</v>
      </c>
      <c r="BA7" s="311" t="s">
        <v>72</v>
      </c>
      <c r="BB7" s="314" t="s">
        <v>73</v>
      </c>
      <c r="BC7" s="308" t="s">
        <v>72</v>
      </c>
      <c r="BD7" s="308" t="s">
        <v>72</v>
      </c>
      <c r="BE7" s="308" t="s">
        <v>79</v>
      </c>
      <c r="BF7" s="311" t="s">
        <v>72</v>
      </c>
      <c r="BG7" s="314" t="s">
        <v>72</v>
      </c>
      <c r="BH7" s="308" t="s">
        <v>80</v>
      </c>
      <c r="BI7" s="308" t="s">
        <v>79</v>
      </c>
      <c r="BJ7" s="308" t="s">
        <v>72</v>
      </c>
      <c r="BK7" s="311" t="s">
        <v>81</v>
      </c>
      <c r="BL7" s="314" t="s">
        <v>82</v>
      </c>
      <c r="BM7" s="311" t="s">
        <v>83</v>
      </c>
      <c r="BN7" s="22"/>
      <c r="BO7" s="22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40" t="s">
        <v>52</v>
      </c>
      <c r="B8" s="7" t="s">
        <v>14</v>
      </c>
      <c r="C8" s="323"/>
      <c r="D8" s="325" t="s">
        <v>72</v>
      </c>
      <c r="E8" s="309" t="s">
        <v>72</v>
      </c>
      <c r="F8" s="309" t="s">
        <v>72</v>
      </c>
      <c r="G8" s="309" t="s">
        <v>72</v>
      </c>
      <c r="H8" s="312" t="s">
        <v>72</v>
      </c>
      <c r="I8" s="315" t="s">
        <v>72</v>
      </c>
      <c r="J8" s="309" t="s">
        <v>72</v>
      </c>
      <c r="K8" s="309" t="s">
        <v>72</v>
      </c>
      <c r="L8" s="309" t="s">
        <v>72</v>
      </c>
      <c r="M8" s="312" t="s">
        <v>72</v>
      </c>
      <c r="N8" s="315" t="s">
        <v>72</v>
      </c>
      <c r="O8" s="309" t="s">
        <v>77</v>
      </c>
      <c r="P8" s="309" t="s">
        <v>72</v>
      </c>
      <c r="Q8" s="309" t="s">
        <v>72</v>
      </c>
      <c r="R8" s="312" t="s">
        <v>72</v>
      </c>
      <c r="S8" s="315" t="s">
        <v>72</v>
      </c>
      <c r="T8" s="309" t="s">
        <v>72</v>
      </c>
      <c r="U8" s="309" t="s">
        <v>72</v>
      </c>
      <c r="V8" s="309" t="s">
        <v>72</v>
      </c>
      <c r="W8" s="312" t="s">
        <v>72</v>
      </c>
      <c r="X8" s="315" t="s">
        <v>72</v>
      </c>
      <c r="Y8" s="309" t="s">
        <v>72</v>
      </c>
      <c r="Z8" s="309" t="s">
        <v>72</v>
      </c>
      <c r="AA8" s="309" t="s">
        <v>72</v>
      </c>
      <c r="AB8" s="312" t="s">
        <v>72</v>
      </c>
      <c r="AC8" s="315" t="s">
        <v>72</v>
      </c>
      <c r="AD8" s="309" t="s">
        <v>72</v>
      </c>
      <c r="AE8" s="309" t="s">
        <v>72</v>
      </c>
      <c r="AF8" s="309" t="s">
        <v>72</v>
      </c>
      <c r="AG8" s="312" t="s">
        <v>72</v>
      </c>
      <c r="AH8" s="315" t="s">
        <v>72</v>
      </c>
      <c r="AI8" s="309" t="s">
        <v>72</v>
      </c>
      <c r="AJ8" s="309" t="s">
        <v>72</v>
      </c>
      <c r="AK8" s="309" t="s">
        <v>72</v>
      </c>
      <c r="AL8" s="312" t="s">
        <v>72</v>
      </c>
      <c r="AM8" s="315" t="s">
        <v>72</v>
      </c>
      <c r="AN8" s="309" t="s">
        <v>72</v>
      </c>
      <c r="AO8" s="309" t="s">
        <v>72</v>
      </c>
      <c r="AP8" s="309" t="s">
        <v>72</v>
      </c>
      <c r="AQ8" s="312" t="s">
        <v>72</v>
      </c>
      <c r="AR8" s="315" t="s">
        <v>72</v>
      </c>
      <c r="AS8" s="309" t="s">
        <v>72</v>
      </c>
      <c r="AT8" s="309" t="s">
        <v>72</v>
      </c>
      <c r="AU8" s="309" t="s">
        <v>72</v>
      </c>
      <c r="AV8" s="312" t="s">
        <v>72</v>
      </c>
      <c r="AW8" s="315" t="s">
        <v>72</v>
      </c>
      <c r="AX8" s="309" t="s">
        <v>78</v>
      </c>
      <c r="AY8" s="309" t="s">
        <v>72</v>
      </c>
      <c r="AZ8" s="309" t="s">
        <v>72</v>
      </c>
      <c r="BA8" s="312" t="s">
        <v>72</v>
      </c>
      <c r="BB8" s="315" t="s">
        <v>73</v>
      </c>
      <c r="BC8" s="309" t="s">
        <v>72</v>
      </c>
      <c r="BD8" s="309" t="s">
        <v>72</v>
      </c>
      <c r="BE8" s="309" t="s">
        <v>79</v>
      </c>
      <c r="BF8" s="312" t="s">
        <v>72</v>
      </c>
      <c r="BG8" s="315" t="s">
        <v>72</v>
      </c>
      <c r="BH8" s="309" t="s">
        <v>80</v>
      </c>
      <c r="BI8" s="309" t="s">
        <v>79</v>
      </c>
      <c r="BJ8" s="309" t="s">
        <v>72</v>
      </c>
      <c r="BK8" s="312" t="s">
        <v>81</v>
      </c>
      <c r="BL8" s="315" t="s">
        <v>82</v>
      </c>
      <c r="BM8" s="312" t="s">
        <v>83</v>
      </c>
      <c r="BN8" s="22"/>
      <c r="BO8" s="22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40"/>
      <c r="B9" s="8"/>
      <c r="C9" s="323"/>
      <c r="D9" s="326" t="s">
        <v>72</v>
      </c>
      <c r="E9" s="310" t="s">
        <v>72</v>
      </c>
      <c r="F9" s="310" t="s">
        <v>72</v>
      </c>
      <c r="G9" s="310" t="s">
        <v>72</v>
      </c>
      <c r="H9" s="313" t="s">
        <v>72</v>
      </c>
      <c r="I9" s="316" t="s">
        <v>72</v>
      </c>
      <c r="J9" s="310" t="s">
        <v>72</v>
      </c>
      <c r="K9" s="310" t="s">
        <v>72</v>
      </c>
      <c r="L9" s="310" t="s">
        <v>72</v>
      </c>
      <c r="M9" s="313" t="s">
        <v>72</v>
      </c>
      <c r="N9" s="316" t="s">
        <v>72</v>
      </c>
      <c r="O9" s="310" t="s">
        <v>77</v>
      </c>
      <c r="P9" s="310" t="s">
        <v>72</v>
      </c>
      <c r="Q9" s="310" t="s">
        <v>72</v>
      </c>
      <c r="R9" s="313" t="s">
        <v>72</v>
      </c>
      <c r="S9" s="316" t="s">
        <v>72</v>
      </c>
      <c r="T9" s="310" t="s">
        <v>72</v>
      </c>
      <c r="U9" s="310" t="s">
        <v>72</v>
      </c>
      <c r="V9" s="310" t="s">
        <v>72</v>
      </c>
      <c r="W9" s="313" t="s">
        <v>72</v>
      </c>
      <c r="X9" s="316" t="s">
        <v>72</v>
      </c>
      <c r="Y9" s="310" t="s">
        <v>72</v>
      </c>
      <c r="Z9" s="310" t="s">
        <v>72</v>
      </c>
      <c r="AA9" s="310" t="s">
        <v>72</v>
      </c>
      <c r="AB9" s="313" t="s">
        <v>72</v>
      </c>
      <c r="AC9" s="316" t="s">
        <v>72</v>
      </c>
      <c r="AD9" s="310" t="s">
        <v>72</v>
      </c>
      <c r="AE9" s="310" t="s">
        <v>72</v>
      </c>
      <c r="AF9" s="310" t="s">
        <v>72</v>
      </c>
      <c r="AG9" s="313" t="s">
        <v>72</v>
      </c>
      <c r="AH9" s="316" t="s">
        <v>72</v>
      </c>
      <c r="AI9" s="310" t="s">
        <v>72</v>
      </c>
      <c r="AJ9" s="310" t="s">
        <v>72</v>
      </c>
      <c r="AK9" s="310" t="s">
        <v>72</v>
      </c>
      <c r="AL9" s="313" t="s">
        <v>72</v>
      </c>
      <c r="AM9" s="316" t="s">
        <v>72</v>
      </c>
      <c r="AN9" s="310" t="s">
        <v>72</v>
      </c>
      <c r="AO9" s="310" t="s">
        <v>72</v>
      </c>
      <c r="AP9" s="310" t="s">
        <v>72</v>
      </c>
      <c r="AQ9" s="313" t="s">
        <v>72</v>
      </c>
      <c r="AR9" s="316" t="s">
        <v>72</v>
      </c>
      <c r="AS9" s="310" t="s">
        <v>72</v>
      </c>
      <c r="AT9" s="310" t="s">
        <v>72</v>
      </c>
      <c r="AU9" s="310" t="s">
        <v>72</v>
      </c>
      <c r="AV9" s="313" t="s">
        <v>72</v>
      </c>
      <c r="AW9" s="316" t="s">
        <v>72</v>
      </c>
      <c r="AX9" s="310" t="s">
        <v>78</v>
      </c>
      <c r="AY9" s="310" t="s">
        <v>72</v>
      </c>
      <c r="AZ9" s="310" t="s">
        <v>72</v>
      </c>
      <c r="BA9" s="313" t="s">
        <v>72</v>
      </c>
      <c r="BB9" s="316" t="s">
        <v>73</v>
      </c>
      <c r="BC9" s="310" t="s">
        <v>72</v>
      </c>
      <c r="BD9" s="310" t="s">
        <v>72</v>
      </c>
      <c r="BE9" s="310" t="s">
        <v>79</v>
      </c>
      <c r="BF9" s="313" t="s">
        <v>72</v>
      </c>
      <c r="BG9" s="316" t="s">
        <v>72</v>
      </c>
      <c r="BH9" s="310" t="s">
        <v>80</v>
      </c>
      <c r="BI9" s="310" t="s">
        <v>79</v>
      </c>
      <c r="BJ9" s="310" t="s">
        <v>72</v>
      </c>
      <c r="BK9" s="313" t="s">
        <v>81</v>
      </c>
      <c r="BL9" s="316" t="s">
        <v>82</v>
      </c>
      <c r="BM9" s="313" t="s">
        <v>83</v>
      </c>
      <c r="BN9" s="22"/>
      <c r="BO9" s="22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322" t="s">
        <v>71</v>
      </c>
      <c r="D10" s="324" t="s">
        <v>72</v>
      </c>
      <c r="E10" s="308" t="s">
        <v>72</v>
      </c>
      <c r="F10" s="308" t="s">
        <v>72</v>
      </c>
      <c r="G10" s="308" t="s">
        <v>72</v>
      </c>
      <c r="H10" s="311" t="s">
        <v>72</v>
      </c>
      <c r="I10" s="314" t="s">
        <v>72</v>
      </c>
      <c r="J10" s="308" t="s">
        <v>51</v>
      </c>
      <c r="K10" s="308" t="s">
        <v>84</v>
      </c>
      <c r="L10" s="308" t="s">
        <v>85</v>
      </c>
      <c r="M10" s="311" t="s">
        <v>72</v>
      </c>
      <c r="N10" s="314" t="s">
        <v>72</v>
      </c>
      <c r="O10" s="308" t="s">
        <v>72</v>
      </c>
      <c r="P10" s="308" t="s">
        <v>72</v>
      </c>
      <c r="Q10" s="308" t="s">
        <v>72</v>
      </c>
      <c r="R10" s="311" t="s">
        <v>72</v>
      </c>
      <c r="S10" s="314" t="s">
        <v>72</v>
      </c>
      <c r="T10" s="308" t="s">
        <v>72</v>
      </c>
      <c r="U10" s="308" t="s">
        <v>86</v>
      </c>
      <c r="V10" s="308" t="s">
        <v>72</v>
      </c>
      <c r="W10" s="311" t="s">
        <v>72</v>
      </c>
      <c r="X10" s="314" t="s">
        <v>72</v>
      </c>
      <c r="Y10" s="308" t="s">
        <v>72</v>
      </c>
      <c r="Z10" s="308" t="s">
        <v>72</v>
      </c>
      <c r="AA10" s="308" t="s">
        <v>72</v>
      </c>
      <c r="AB10" s="311" t="s">
        <v>72</v>
      </c>
      <c r="AC10" s="314" t="s">
        <v>87</v>
      </c>
      <c r="AD10" s="308" t="s">
        <v>88</v>
      </c>
      <c r="AE10" s="308" t="s">
        <v>72</v>
      </c>
      <c r="AF10" s="308" t="s">
        <v>72</v>
      </c>
      <c r="AG10" s="311" t="s">
        <v>72</v>
      </c>
      <c r="AH10" s="314" t="s">
        <v>72</v>
      </c>
      <c r="AI10" s="308" t="s">
        <v>72</v>
      </c>
      <c r="AJ10" s="308" t="s">
        <v>72</v>
      </c>
      <c r="AK10" s="308" t="s">
        <v>89</v>
      </c>
      <c r="AL10" s="311" t="s">
        <v>90</v>
      </c>
      <c r="AM10" s="314" t="s">
        <v>72</v>
      </c>
      <c r="AN10" s="308" t="s">
        <v>72</v>
      </c>
      <c r="AO10" s="308" t="s">
        <v>72</v>
      </c>
      <c r="AP10" s="308" t="s">
        <v>72</v>
      </c>
      <c r="AQ10" s="311" t="s">
        <v>72</v>
      </c>
      <c r="AR10" s="314" t="s">
        <v>72</v>
      </c>
      <c r="AS10" s="308" t="s">
        <v>72</v>
      </c>
      <c r="AT10" s="308" t="s">
        <v>72</v>
      </c>
      <c r="AU10" s="308" t="s">
        <v>72</v>
      </c>
      <c r="AV10" s="311" t="s">
        <v>72</v>
      </c>
      <c r="AW10" s="314" t="s">
        <v>91</v>
      </c>
      <c r="AX10" s="308" t="s">
        <v>72</v>
      </c>
      <c r="AY10" s="308" t="s">
        <v>72</v>
      </c>
      <c r="AZ10" s="308" t="s">
        <v>72</v>
      </c>
      <c r="BA10" s="311" t="s">
        <v>72</v>
      </c>
      <c r="BB10" s="314" t="s">
        <v>72</v>
      </c>
      <c r="BC10" s="308" t="s">
        <v>72</v>
      </c>
      <c r="BD10" s="308" t="s">
        <v>72</v>
      </c>
      <c r="BE10" s="308" t="s">
        <v>72</v>
      </c>
      <c r="BF10" s="311" t="s">
        <v>92</v>
      </c>
      <c r="BG10" s="314" t="s">
        <v>93</v>
      </c>
      <c r="BH10" s="308" t="s">
        <v>94</v>
      </c>
      <c r="BI10" s="308" t="s">
        <v>72</v>
      </c>
      <c r="BJ10" s="308" t="s">
        <v>72</v>
      </c>
      <c r="BK10" s="311" t="s">
        <v>72</v>
      </c>
      <c r="BL10" s="314" t="s">
        <v>95</v>
      </c>
      <c r="BM10" s="311" t="s">
        <v>96</v>
      </c>
      <c r="BN10" s="22"/>
      <c r="BO10" s="22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40" t="s">
        <v>52</v>
      </c>
      <c r="B11" s="7" t="s">
        <v>15</v>
      </c>
      <c r="C11" s="323"/>
      <c r="D11" s="325" t="s">
        <v>72</v>
      </c>
      <c r="E11" s="309" t="s">
        <v>72</v>
      </c>
      <c r="F11" s="309" t="s">
        <v>72</v>
      </c>
      <c r="G11" s="309" t="s">
        <v>72</v>
      </c>
      <c r="H11" s="312" t="s">
        <v>72</v>
      </c>
      <c r="I11" s="315" t="s">
        <v>72</v>
      </c>
      <c r="J11" s="309" t="s">
        <v>51</v>
      </c>
      <c r="K11" s="309" t="s">
        <v>84</v>
      </c>
      <c r="L11" s="309" t="s">
        <v>85</v>
      </c>
      <c r="M11" s="312" t="s">
        <v>72</v>
      </c>
      <c r="N11" s="315" t="s">
        <v>72</v>
      </c>
      <c r="O11" s="309" t="s">
        <v>72</v>
      </c>
      <c r="P11" s="309" t="s">
        <v>72</v>
      </c>
      <c r="Q11" s="309" t="s">
        <v>72</v>
      </c>
      <c r="R11" s="312" t="s">
        <v>72</v>
      </c>
      <c r="S11" s="315" t="s">
        <v>72</v>
      </c>
      <c r="T11" s="309" t="s">
        <v>72</v>
      </c>
      <c r="U11" s="309" t="s">
        <v>86</v>
      </c>
      <c r="V11" s="309" t="s">
        <v>72</v>
      </c>
      <c r="W11" s="312" t="s">
        <v>72</v>
      </c>
      <c r="X11" s="315" t="s">
        <v>72</v>
      </c>
      <c r="Y11" s="309" t="s">
        <v>72</v>
      </c>
      <c r="Z11" s="309" t="s">
        <v>72</v>
      </c>
      <c r="AA11" s="309" t="s">
        <v>72</v>
      </c>
      <c r="AB11" s="312" t="s">
        <v>72</v>
      </c>
      <c r="AC11" s="315" t="s">
        <v>87</v>
      </c>
      <c r="AD11" s="309" t="s">
        <v>88</v>
      </c>
      <c r="AE11" s="309" t="s">
        <v>72</v>
      </c>
      <c r="AF11" s="309" t="s">
        <v>72</v>
      </c>
      <c r="AG11" s="312" t="s">
        <v>72</v>
      </c>
      <c r="AH11" s="315" t="s">
        <v>72</v>
      </c>
      <c r="AI11" s="309" t="s">
        <v>72</v>
      </c>
      <c r="AJ11" s="309" t="s">
        <v>72</v>
      </c>
      <c r="AK11" s="309" t="s">
        <v>89</v>
      </c>
      <c r="AL11" s="312" t="s">
        <v>90</v>
      </c>
      <c r="AM11" s="315" t="s">
        <v>72</v>
      </c>
      <c r="AN11" s="309" t="s">
        <v>72</v>
      </c>
      <c r="AO11" s="309" t="s">
        <v>72</v>
      </c>
      <c r="AP11" s="309" t="s">
        <v>72</v>
      </c>
      <c r="AQ11" s="312" t="s">
        <v>72</v>
      </c>
      <c r="AR11" s="315" t="s">
        <v>72</v>
      </c>
      <c r="AS11" s="309" t="s">
        <v>72</v>
      </c>
      <c r="AT11" s="309" t="s">
        <v>72</v>
      </c>
      <c r="AU11" s="309" t="s">
        <v>72</v>
      </c>
      <c r="AV11" s="312" t="s">
        <v>72</v>
      </c>
      <c r="AW11" s="315" t="s">
        <v>91</v>
      </c>
      <c r="AX11" s="309" t="s">
        <v>72</v>
      </c>
      <c r="AY11" s="309" t="s">
        <v>72</v>
      </c>
      <c r="AZ11" s="309" t="s">
        <v>72</v>
      </c>
      <c r="BA11" s="312" t="s">
        <v>72</v>
      </c>
      <c r="BB11" s="315" t="s">
        <v>72</v>
      </c>
      <c r="BC11" s="309" t="s">
        <v>72</v>
      </c>
      <c r="BD11" s="309" t="s">
        <v>72</v>
      </c>
      <c r="BE11" s="309" t="s">
        <v>72</v>
      </c>
      <c r="BF11" s="312" t="s">
        <v>92</v>
      </c>
      <c r="BG11" s="315" t="s">
        <v>93</v>
      </c>
      <c r="BH11" s="309" t="s">
        <v>94</v>
      </c>
      <c r="BI11" s="309" t="s">
        <v>72</v>
      </c>
      <c r="BJ11" s="309" t="s">
        <v>72</v>
      </c>
      <c r="BK11" s="312" t="s">
        <v>72</v>
      </c>
      <c r="BL11" s="315" t="s">
        <v>95</v>
      </c>
      <c r="BM11" s="312" t="s">
        <v>96</v>
      </c>
      <c r="BN11" s="22"/>
      <c r="BO11" s="22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40"/>
      <c r="B12" s="8"/>
      <c r="C12" s="323"/>
      <c r="D12" s="326" t="s">
        <v>72</v>
      </c>
      <c r="E12" s="310" t="s">
        <v>72</v>
      </c>
      <c r="F12" s="310" t="s">
        <v>72</v>
      </c>
      <c r="G12" s="310" t="s">
        <v>72</v>
      </c>
      <c r="H12" s="313" t="s">
        <v>72</v>
      </c>
      <c r="I12" s="316" t="s">
        <v>72</v>
      </c>
      <c r="J12" s="310" t="s">
        <v>51</v>
      </c>
      <c r="K12" s="310" t="s">
        <v>84</v>
      </c>
      <c r="L12" s="310" t="s">
        <v>85</v>
      </c>
      <c r="M12" s="313" t="s">
        <v>72</v>
      </c>
      <c r="N12" s="316" t="s">
        <v>72</v>
      </c>
      <c r="O12" s="310" t="s">
        <v>72</v>
      </c>
      <c r="P12" s="310" t="s">
        <v>72</v>
      </c>
      <c r="Q12" s="310" t="s">
        <v>72</v>
      </c>
      <c r="R12" s="313" t="s">
        <v>72</v>
      </c>
      <c r="S12" s="316" t="s">
        <v>72</v>
      </c>
      <c r="T12" s="310" t="s">
        <v>72</v>
      </c>
      <c r="U12" s="310" t="s">
        <v>86</v>
      </c>
      <c r="V12" s="310" t="s">
        <v>72</v>
      </c>
      <c r="W12" s="313" t="s">
        <v>72</v>
      </c>
      <c r="X12" s="316" t="s">
        <v>72</v>
      </c>
      <c r="Y12" s="310" t="s">
        <v>72</v>
      </c>
      <c r="Z12" s="310" t="s">
        <v>72</v>
      </c>
      <c r="AA12" s="310" t="s">
        <v>72</v>
      </c>
      <c r="AB12" s="313" t="s">
        <v>72</v>
      </c>
      <c r="AC12" s="316" t="s">
        <v>87</v>
      </c>
      <c r="AD12" s="310" t="s">
        <v>88</v>
      </c>
      <c r="AE12" s="310" t="s">
        <v>72</v>
      </c>
      <c r="AF12" s="310" t="s">
        <v>72</v>
      </c>
      <c r="AG12" s="313" t="s">
        <v>72</v>
      </c>
      <c r="AH12" s="316" t="s">
        <v>72</v>
      </c>
      <c r="AI12" s="310" t="s">
        <v>72</v>
      </c>
      <c r="AJ12" s="310" t="s">
        <v>72</v>
      </c>
      <c r="AK12" s="310" t="s">
        <v>89</v>
      </c>
      <c r="AL12" s="313" t="s">
        <v>90</v>
      </c>
      <c r="AM12" s="316" t="s">
        <v>72</v>
      </c>
      <c r="AN12" s="310" t="s">
        <v>72</v>
      </c>
      <c r="AO12" s="310" t="s">
        <v>72</v>
      </c>
      <c r="AP12" s="310" t="s">
        <v>72</v>
      </c>
      <c r="AQ12" s="313" t="s">
        <v>72</v>
      </c>
      <c r="AR12" s="316" t="s">
        <v>72</v>
      </c>
      <c r="AS12" s="310" t="s">
        <v>72</v>
      </c>
      <c r="AT12" s="310" t="s">
        <v>72</v>
      </c>
      <c r="AU12" s="310" t="s">
        <v>72</v>
      </c>
      <c r="AV12" s="313" t="s">
        <v>72</v>
      </c>
      <c r="AW12" s="316" t="s">
        <v>91</v>
      </c>
      <c r="AX12" s="310" t="s">
        <v>72</v>
      </c>
      <c r="AY12" s="310" t="s">
        <v>72</v>
      </c>
      <c r="AZ12" s="310" t="s">
        <v>72</v>
      </c>
      <c r="BA12" s="313" t="s">
        <v>72</v>
      </c>
      <c r="BB12" s="316" t="s">
        <v>72</v>
      </c>
      <c r="BC12" s="310" t="s">
        <v>72</v>
      </c>
      <c r="BD12" s="310" t="s">
        <v>72</v>
      </c>
      <c r="BE12" s="310" t="s">
        <v>72</v>
      </c>
      <c r="BF12" s="313" t="s">
        <v>92</v>
      </c>
      <c r="BG12" s="316" t="s">
        <v>93</v>
      </c>
      <c r="BH12" s="310" t="s">
        <v>94</v>
      </c>
      <c r="BI12" s="310" t="s">
        <v>72</v>
      </c>
      <c r="BJ12" s="310" t="s">
        <v>72</v>
      </c>
      <c r="BK12" s="313" t="s">
        <v>72</v>
      </c>
      <c r="BL12" s="316" t="s">
        <v>95</v>
      </c>
      <c r="BM12" s="313" t="s">
        <v>96</v>
      </c>
      <c r="BN12" s="22"/>
      <c r="BO12" s="22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322" t="s">
        <v>71</v>
      </c>
      <c r="D13" s="324" t="s">
        <v>97</v>
      </c>
      <c r="E13" s="308" t="s">
        <v>98</v>
      </c>
      <c r="F13" s="308" t="s">
        <v>72</v>
      </c>
      <c r="G13" s="308" t="s">
        <v>72</v>
      </c>
      <c r="H13" s="311" t="s">
        <v>72</v>
      </c>
      <c r="I13" s="314" t="s">
        <v>99</v>
      </c>
      <c r="J13" s="308" t="s">
        <v>72</v>
      </c>
      <c r="K13" s="308" t="s">
        <v>72</v>
      </c>
      <c r="L13" s="308" t="s">
        <v>100</v>
      </c>
      <c r="M13" s="311" t="s">
        <v>73</v>
      </c>
      <c r="N13" s="314" t="s">
        <v>101</v>
      </c>
      <c r="O13" s="308" t="s">
        <v>102</v>
      </c>
      <c r="P13" s="308" t="s">
        <v>103</v>
      </c>
      <c r="Q13" s="308" t="s">
        <v>104</v>
      </c>
      <c r="R13" s="311" t="s">
        <v>72</v>
      </c>
      <c r="S13" s="314" t="s">
        <v>91</v>
      </c>
      <c r="T13" s="308" t="s">
        <v>51</v>
      </c>
      <c r="U13" s="308" t="s">
        <v>105</v>
      </c>
      <c r="V13" s="308" t="s">
        <v>72</v>
      </c>
      <c r="W13" s="311" t="s">
        <v>72</v>
      </c>
      <c r="X13" s="314" t="s">
        <v>81</v>
      </c>
      <c r="Y13" s="308" t="s">
        <v>72</v>
      </c>
      <c r="Z13" s="308" t="s">
        <v>72</v>
      </c>
      <c r="AA13" s="308" t="s">
        <v>72</v>
      </c>
      <c r="AB13" s="311" t="s">
        <v>72</v>
      </c>
      <c r="AC13" s="314" t="s">
        <v>72</v>
      </c>
      <c r="AD13" s="308" t="s">
        <v>72</v>
      </c>
      <c r="AE13" s="308" t="s">
        <v>106</v>
      </c>
      <c r="AF13" s="308" t="s">
        <v>72</v>
      </c>
      <c r="AG13" s="311" t="s">
        <v>72</v>
      </c>
      <c r="AH13" s="314" t="s">
        <v>51</v>
      </c>
      <c r="AI13" s="308" t="s">
        <v>107</v>
      </c>
      <c r="AJ13" s="308" t="s">
        <v>72</v>
      </c>
      <c r="AK13" s="308" t="s">
        <v>72</v>
      </c>
      <c r="AL13" s="311" t="s">
        <v>72</v>
      </c>
      <c r="AM13" s="314" t="s">
        <v>72</v>
      </c>
      <c r="AN13" s="308" t="s">
        <v>72</v>
      </c>
      <c r="AO13" s="308" t="s">
        <v>72</v>
      </c>
      <c r="AP13" s="308" t="s">
        <v>108</v>
      </c>
      <c r="AQ13" s="311" t="s">
        <v>72</v>
      </c>
      <c r="AR13" s="314" t="s">
        <v>72</v>
      </c>
      <c r="AS13" s="308" t="s">
        <v>72</v>
      </c>
      <c r="AT13" s="308" t="s">
        <v>72</v>
      </c>
      <c r="AU13" s="308" t="s">
        <v>109</v>
      </c>
      <c r="AV13" s="311" t="s">
        <v>93</v>
      </c>
      <c r="AW13" s="314" t="s">
        <v>72</v>
      </c>
      <c r="AX13" s="308" t="s">
        <v>103</v>
      </c>
      <c r="AY13" s="308" t="s">
        <v>110</v>
      </c>
      <c r="AZ13" s="308" t="s">
        <v>72</v>
      </c>
      <c r="BA13" s="311" t="s">
        <v>111</v>
      </c>
      <c r="BB13" s="314" t="s">
        <v>72</v>
      </c>
      <c r="BC13" s="308" t="s">
        <v>112</v>
      </c>
      <c r="BD13" s="308" t="s">
        <v>72</v>
      </c>
      <c r="BE13" s="308" t="s">
        <v>113</v>
      </c>
      <c r="BF13" s="311" t="s">
        <v>114</v>
      </c>
      <c r="BG13" s="314" t="s">
        <v>115</v>
      </c>
      <c r="BH13" s="308" t="s">
        <v>116</v>
      </c>
      <c r="BI13" s="308" t="s">
        <v>72</v>
      </c>
      <c r="BJ13" s="308" t="s">
        <v>98</v>
      </c>
      <c r="BK13" s="311" t="s">
        <v>72</v>
      </c>
      <c r="BL13" s="314" t="s">
        <v>51</v>
      </c>
      <c r="BM13" s="311" t="s">
        <v>51</v>
      </c>
      <c r="BN13" s="22"/>
      <c r="BO13" s="22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40" t="s">
        <v>52</v>
      </c>
      <c r="B14" s="7" t="s">
        <v>16</v>
      </c>
      <c r="C14" s="323"/>
      <c r="D14" s="325" t="s">
        <v>97</v>
      </c>
      <c r="E14" s="309" t="s">
        <v>98</v>
      </c>
      <c r="F14" s="309" t="s">
        <v>72</v>
      </c>
      <c r="G14" s="309" t="s">
        <v>72</v>
      </c>
      <c r="H14" s="312" t="s">
        <v>72</v>
      </c>
      <c r="I14" s="315" t="s">
        <v>99</v>
      </c>
      <c r="J14" s="309" t="s">
        <v>72</v>
      </c>
      <c r="K14" s="309" t="s">
        <v>72</v>
      </c>
      <c r="L14" s="309" t="s">
        <v>100</v>
      </c>
      <c r="M14" s="312" t="s">
        <v>73</v>
      </c>
      <c r="N14" s="315" t="s">
        <v>101</v>
      </c>
      <c r="O14" s="309" t="s">
        <v>102</v>
      </c>
      <c r="P14" s="309" t="s">
        <v>103</v>
      </c>
      <c r="Q14" s="309" t="s">
        <v>104</v>
      </c>
      <c r="R14" s="312" t="s">
        <v>72</v>
      </c>
      <c r="S14" s="315" t="s">
        <v>91</v>
      </c>
      <c r="T14" s="309" t="s">
        <v>51</v>
      </c>
      <c r="U14" s="309" t="s">
        <v>105</v>
      </c>
      <c r="V14" s="309" t="s">
        <v>72</v>
      </c>
      <c r="W14" s="312" t="s">
        <v>72</v>
      </c>
      <c r="X14" s="315" t="s">
        <v>81</v>
      </c>
      <c r="Y14" s="309" t="s">
        <v>72</v>
      </c>
      <c r="Z14" s="309" t="s">
        <v>72</v>
      </c>
      <c r="AA14" s="309" t="s">
        <v>72</v>
      </c>
      <c r="AB14" s="312" t="s">
        <v>72</v>
      </c>
      <c r="AC14" s="315" t="s">
        <v>72</v>
      </c>
      <c r="AD14" s="309" t="s">
        <v>72</v>
      </c>
      <c r="AE14" s="309" t="s">
        <v>106</v>
      </c>
      <c r="AF14" s="309" t="s">
        <v>72</v>
      </c>
      <c r="AG14" s="312" t="s">
        <v>72</v>
      </c>
      <c r="AH14" s="315" t="s">
        <v>51</v>
      </c>
      <c r="AI14" s="309" t="s">
        <v>107</v>
      </c>
      <c r="AJ14" s="309" t="s">
        <v>72</v>
      </c>
      <c r="AK14" s="309" t="s">
        <v>72</v>
      </c>
      <c r="AL14" s="312" t="s">
        <v>72</v>
      </c>
      <c r="AM14" s="315" t="s">
        <v>72</v>
      </c>
      <c r="AN14" s="309" t="s">
        <v>72</v>
      </c>
      <c r="AO14" s="309" t="s">
        <v>72</v>
      </c>
      <c r="AP14" s="309" t="s">
        <v>108</v>
      </c>
      <c r="AQ14" s="312" t="s">
        <v>72</v>
      </c>
      <c r="AR14" s="315" t="s">
        <v>72</v>
      </c>
      <c r="AS14" s="309" t="s">
        <v>72</v>
      </c>
      <c r="AT14" s="309" t="s">
        <v>72</v>
      </c>
      <c r="AU14" s="309" t="s">
        <v>109</v>
      </c>
      <c r="AV14" s="312" t="s">
        <v>93</v>
      </c>
      <c r="AW14" s="315" t="s">
        <v>72</v>
      </c>
      <c r="AX14" s="309" t="s">
        <v>103</v>
      </c>
      <c r="AY14" s="309" t="s">
        <v>110</v>
      </c>
      <c r="AZ14" s="309" t="s">
        <v>72</v>
      </c>
      <c r="BA14" s="312" t="s">
        <v>111</v>
      </c>
      <c r="BB14" s="315" t="s">
        <v>72</v>
      </c>
      <c r="BC14" s="309" t="s">
        <v>112</v>
      </c>
      <c r="BD14" s="309" t="s">
        <v>72</v>
      </c>
      <c r="BE14" s="309" t="s">
        <v>113</v>
      </c>
      <c r="BF14" s="312" t="s">
        <v>114</v>
      </c>
      <c r="BG14" s="315" t="s">
        <v>115</v>
      </c>
      <c r="BH14" s="309" t="s">
        <v>116</v>
      </c>
      <c r="BI14" s="309" t="s">
        <v>72</v>
      </c>
      <c r="BJ14" s="309" t="s">
        <v>98</v>
      </c>
      <c r="BK14" s="312" t="s">
        <v>72</v>
      </c>
      <c r="BL14" s="315" t="s">
        <v>51</v>
      </c>
      <c r="BM14" s="312" t="s">
        <v>51</v>
      </c>
      <c r="BN14" s="22"/>
      <c r="BO14" s="22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40"/>
      <c r="B15" s="8"/>
      <c r="C15" s="323"/>
      <c r="D15" s="326" t="s">
        <v>97</v>
      </c>
      <c r="E15" s="310" t="s">
        <v>98</v>
      </c>
      <c r="F15" s="310" t="s">
        <v>72</v>
      </c>
      <c r="G15" s="310" t="s">
        <v>72</v>
      </c>
      <c r="H15" s="313" t="s">
        <v>72</v>
      </c>
      <c r="I15" s="316" t="s">
        <v>99</v>
      </c>
      <c r="J15" s="310" t="s">
        <v>72</v>
      </c>
      <c r="K15" s="310" t="s">
        <v>72</v>
      </c>
      <c r="L15" s="310" t="s">
        <v>100</v>
      </c>
      <c r="M15" s="313" t="s">
        <v>73</v>
      </c>
      <c r="N15" s="316" t="s">
        <v>101</v>
      </c>
      <c r="O15" s="310" t="s">
        <v>102</v>
      </c>
      <c r="P15" s="310" t="s">
        <v>103</v>
      </c>
      <c r="Q15" s="310" t="s">
        <v>104</v>
      </c>
      <c r="R15" s="313" t="s">
        <v>72</v>
      </c>
      <c r="S15" s="316" t="s">
        <v>91</v>
      </c>
      <c r="T15" s="310" t="s">
        <v>51</v>
      </c>
      <c r="U15" s="310" t="s">
        <v>105</v>
      </c>
      <c r="V15" s="310" t="s">
        <v>72</v>
      </c>
      <c r="W15" s="313" t="s">
        <v>72</v>
      </c>
      <c r="X15" s="316" t="s">
        <v>81</v>
      </c>
      <c r="Y15" s="310" t="s">
        <v>72</v>
      </c>
      <c r="Z15" s="310" t="s">
        <v>72</v>
      </c>
      <c r="AA15" s="310" t="s">
        <v>72</v>
      </c>
      <c r="AB15" s="313" t="s">
        <v>72</v>
      </c>
      <c r="AC15" s="316" t="s">
        <v>72</v>
      </c>
      <c r="AD15" s="310" t="s">
        <v>72</v>
      </c>
      <c r="AE15" s="310" t="s">
        <v>106</v>
      </c>
      <c r="AF15" s="310" t="s">
        <v>72</v>
      </c>
      <c r="AG15" s="313" t="s">
        <v>72</v>
      </c>
      <c r="AH15" s="316" t="s">
        <v>51</v>
      </c>
      <c r="AI15" s="310" t="s">
        <v>107</v>
      </c>
      <c r="AJ15" s="310" t="s">
        <v>72</v>
      </c>
      <c r="AK15" s="310" t="s">
        <v>72</v>
      </c>
      <c r="AL15" s="313" t="s">
        <v>72</v>
      </c>
      <c r="AM15" s="316" t="s">
        <v>72</v>
      </c>
      <c r="AN15" s="310" t="s">
        <v>72</v>
      </c>
      <c r="AO15" s="310" t="s">
        <v>72</v>
      </c>
      <c r="AP15" s="310" t="s">
        <v>108</v>
      </c>
      <c r="AQ15" s="313" t="s">
        <v>72</v>
      </c>
      <c r="AR15" s="316" t="s">
        <v>72</v>
      </c>
      <c r="AS15" s="310" t="s">
        <v>72</v>
      </c>
      <c r="AT15" s="310" t="s">
        <v>72</v>
      </c>
      <c r="AU15" s="310" t="s">
        <v>109</v>
      </c>
      <c r="AV15" s="313" t="s">
        <v>93</v>
      </c>
      <c r="AW15" s="316" t="s">
        <v>72</v>
      </c>
      <c r="AX15" s="310" t="s">
        <v>103</v>
      </c>
      <c r="AY15" s="310" t="s">
        <v>110</v>
      </c>
      <c r="AZ15" s="310" t="s">
        <v>72</v>
      </c>
      <c r="BA15" s="313" t="s">
        <v>111</v>
      </c>
      <c r="BB15" s="316" t="s">
        <v>72</v>
      </c>
      <c r="BC15" s="310" t="s">
        <v>112</v>
      </c>
      <c r="BD15" s="310" t="s">
        <v>72</v>
      </c>
      <c r="BE15" s="310" t="s">
        <v>113</v>
      </c>
      <c r="BF15" s="313" t="s">
        <v>114</v>
      </c>
      <c r="BG15" s="316" t="s">
        <v>115</v>
      </c>
      <c r="BH15" s="310" t="s">
        <v>116</v>
      </c>
      <c r="BI15" s="310" t="s">
        <v>72</v>
      </c>
      <c r="BJ15" s="310" t="s">
        <v>98</v>
      </c>
      <c r="BK15" s="313" t="s">
        <v>72</v>
      </c>
      <c r="BL15" s="316" t="s">
        <v>51</v>
      </c>
      <c r="BM15" s="313" t="s">
        <v>51</v>
      </c>
      <c r="BN15" s="22"/>
      <c r="BO15" s="22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customHeight="1" x14ac:dyDescent="0.2">
      <c r="A16" s="144" t="s">
        <v>4</v>
      </c>
      <c r="B16" s="145"/>
      <c r="C16" s="18" t="s">
        <v>5</v>
      </c>
      <c r="D16" s="85">
        <v>1</v>
      </c>
      <c r="E16" s="86">
        <v>2</v>
      </c>
      <c r="F16" s="86">
        <v>3</v>
      </c>
      <c r="G16" s="86">
        <v>4</v>
      </c>
      <c r="H16" s="86">
        <v>5</v>
      </c>
      <c r="I16" s="86">
        <v>6</v>
      </c>
      <c r="J16" s="86">
        <v>7</v>
      </c>
      <c r="K16" s="86">
        <v>8</v>
      </c>
      <c r="L16" s="86">
        <v>9</v>
      </c>
      <c r="M16" s="86">
        <v>10</v>
      </c>
      <c r="N16" s="86">
        <v>11</v>
      </c>
      <c r="O16" s="86">
        <v>12</v>
      </c>
      <c r="P16" s="86">
        <v>13</v>
      </c>
      <c r="Q16" s="86">
        <v>14</v>
      </c>
      <c r="R16" s="86">
        <v>15</v>
      </c>
      <c r="S16" s="86">
        <v>16</v>
      </c>
      <c r="T16" s="86">
        <v>17</v>
      </c>
      <c r="U16" s="86">
        <v>18</v>
      </c>
      <c r="V16" s="86">
        <v>19</v>
      </c>
      <c r="W16" s="86">
        <v>20</v>
      </c>
      <c r="X16" s="86">
        <v>21</v>
      </c>
      <c r="Y16" s="86">
        <v>22</v>
      </c>
      <c r="Z16" s="86">
        <v>23</v>
      </c>
      <c r="AA16" s="86">
        <v>24</v>
      </c>
      <c r="AB16" s="86">
        <v>25</v>
      </c>
      <c r="AC16" s="86">
        <v>26</v>
      </c>
      <c r="AD16" s="86">
        <v>27</v>
      </c>
      <c r="AE16" s="86">
        <v>28</v>
      </c>
      <c r="AF16" s="86">
        <v>29</v>
      </c>
      <c r="AG16" s="86">
        <v>30</v>
      </c>
      <c r="AH16" s="86">
        <v>31</v>
      </c>
      <c r="AI16" s="86">
        <v>32</v>
      </c>
      <c r="AJ16" s="86">
        <v>33</v>
      </c>
      <c r="AK16" s="86">
        <v>34</v>
      </c>
      <c r="AL16" s="86">
        <v>35</v>
      </c>
      <c r="AM16" s="86">
        <v>36</v>
      </c>
      <c r="AN16" s="86">
        <v>37</v>
      </c>
      <c r="AO16" s="86">
        <v>38</v>
      </c>
      <c r="AP16" s="86">
        <v>39</v>
      </c>
      <c r="AQ16" s="86">
        <v>40</v>
      </c>
      <c r="AR16" s="86">
        <v>41</v>
      </c>
      <c r="AS16" s="86">
        <v>42</v>
      </c>
      <c r="AT16" s="86">
        <v>43</v>
      </c>
      <c r="AU16" s="86">
        <v>44</v>
      </c>
      <c r="AV16" s="86">
        <v>45</v>
      </c>
      <c r="AW16" s="86">
        <v>46</v>
      </c>
      <c r="AX16" s="86">
        <v>47</v>
      </c>
      <c r="AY16" s="86">
        <v>48</v>
      </c>
      <c r="AZ16" s="86">
        <v>49</v>
      </c>
      <c r="BA16" s="86">
        <v>50</v>
      </c>
      <c r="BB16" s="86">
        <v>51</v>
      </c>
      <c r="BC16" s="86">
        <v>52</v>
      </c>
      <c r="BD16" s="86">
        <v>53</v>
      </c>
      <c r="BE16" s="86">
        <v>54</v>
      </c>
      <c r="BF16" s="86">
        <v>55</v>
      </c>
      <c r="BG16" s="86">
        <v>56</v>
      </c>
      <c r="BH16" s="86">
        <v>57</v>
      </c>
      <c r="BI16" s="86">
        <v>58</v>
      </c>
      <c r="BJ16" s="86">
        <v>59</v>
      </c>
      <c r="BK16" s="86">
        <v>60</v>
      </c>
      <c r="BL16" s="86">
        <v>61</v>
      </c>
      <c r="BM16" s="87">
        <v>62</v>
      </c>
      <c r="BN16" s="19"/>
      <c r="BO16" s="19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hidden="1" customHeight="1" x14ac:dyDescent="0.2">
      <c r="A68" s="13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hidden="1" customHeight="1" x14ac:dyDescent="0.2">
      <c r="A69" s="13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hidden="1" customHeight="1" x14ac:dyDescent="0.2">
      <c r="A70" s="13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hidden="1" customHeight="1" x14ac:dyDescent="0.2">
      <c r="A71" s="13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hidden="1" customHeight="1" x14ac:dyDescent="0.2">
      <c r="A72" s="13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hidden="1" customHeight="1" x14ac:dyDescent="0.2">
      <c r="A73" s="1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hidden="1" customHeight="1" x14ac:dyDescent="0.2">
      <c r="A74" s="13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hidden="1" customHeight="1" x14ac:dyDescent="0.2">
      <c r="A75" s="13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hidden="1" customHeight="1" x14ac:dyDescent="0.2">
      <c r="A76" s="13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/>
      <c r="B97" s="233" t="s">
        <v>117</v>
      </c>
      <c r="C97" s="234"/>
      <c r="D97" s="234"/>
      <c r="E97" s="234"/>
      <c r="F97" s="234"/>
      <c r="G97" s="234"/>
      <c r="H97" s="234"/>
      <c r="I97" s="234"/>
      <c r="J97" s="234"/>
      <c r="K97" s="234"/>
      <c r="L97" s="235"/>
      <c r="M97" s="269" t="s">
        <v>118</v>
      </c>
      <c r="N97" s="270"/>
      <c r="O97" s="270"/>
      <c r="P97" s="270"/>
      <c r="Q97" s="270"/>
      <c r="R97" s="270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270"/>
      <c r="AD97" s="270"/>
      <c r="AE97" s="270"/>
      <c r="AF97" s="271"/>
      <c r="AG97" s="354" t="s">
        <v>119</v>
      </c>
      <c r="AH97" s="355"/>
      <c r="AI97" s="355"/>
      <c r="AJ97" s="355"/>
      <c r="AK97" s="355"/>
      <c r="AL97" s="355"/>
      <c r="AM97" s="355"/>
      <c r="AN97" s="355"/>
      <c r="AO97" s="355"/>
      <c r="AP97" s="355"/>
      <c r="AQ97" s="355"/>
      <c r="AR97" s="355"/>
      <c r="AS97" s="355"/>
      <c r="AT97" s="355"/>
      <c r="AU97" s="355"/>
      <c r="AV97" s="356"/>
      <c r="AW97" s="182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74" t="s">
        <v>21</v>
      </c>
      <c r="BS97" s="174"/>
      <c r="BT97" s="174"/>
      <c r="BU97" s="174"/>
      <c r="BV97" s="174"/>
      <c r="BW97" s="174"/>
      <c r="BX97" s="174"/>
      <c r="BY97" s="174"/>
      <c r="BZ97" s="174"/>
      <c r="CA97" s="174"/>
      <c r="CB97" s="174"/>
      <c r="CC97" s="174"/>
      <c r="CD97" s="174"/>
      <c r="CE97" s="174"/>
      <c r="CF97" s="174"/>
      <c r="CG97" s="174"/>
      <c r="CH97" s="174"/>
      <c r="CI97" s="174"/>
      <c r="CJ97" s="174"/>
      <c r="CK97" s="175"/>
      <c r="CL97" s="339" t="str">
        <f>Thickness!CL97</f>
        <v xml:space="preserve">INTERNATIONAL PAPER </v>
      </c>
      <c r="CM97" s="340"/>
      <c r="CN97" s="340"/>
      <c r="CO97" s="340"/>
      <c r="CP97" s="340"/>
      <c r="CQ97" s="340"/>
      <c r="CR97" s="340"/>
      <c r="CS97" s="340"/>
      <c r="CT97" s="340"/>
      <c r="CU97" s="340"/>
      <c r="CV97" s="340"/>
      <c r="CW97" s="340"/>
      <c r="CX97" s="340"/>
      <c r="CY97" s="340"/>
      <c r="CZ97" s="340"/>
      <c r="DA97" s="340"/>
      <c r="DB97" s="340"/>
      <c r="DC97" s="340"/>
      <c r="DD97" s="340"/>
      <c r="DE97" s="340"/>
      <c r="DF97" s="340"/>
      <c r="DG97" s="340"/>
      <c r="DH97" s="340"/>
      <c r="DI97" s="340"/>
      <c r="DJ97" s="340"/>
      <c r="DK97" s="340"/>
      <c r="DL97" s="340"/>
      <c r="DM97" s="340"/>
      <c r="DN97" s="340"/>
      <c r="DO97" s="340"/>
      <c r="DP97" s="340"/>
      <c r="DQ97" s="340"/>
      <c r="DR97" s="340"/>
      <c r="DS97" s="340"/>
      <c r="DT97" s="340"/>
      <c r="DU97" s="340"/>
      <c r="DV97" s="340"/>
      <c r="DW97" s="340"/>
      <c r="DX97" s="340"/>
      <c r="DY97" s="340"/>
      <c r="DZ97" s="341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91" t="s">
        <v>23</v>
      </c>
      <c r="B98" s="321" t="s">
        <v>120</v>
      </c>
      <c r="C98" s="237"/>
      <c r="D98" s="237"/>
      <c r="E98" s="237"/>
      <c r="F98" s="237"/>
      <c r="G98" s="237"/>
      <c r="H98" s="237"/>
      <c r="I98" s="237"/>
      <c r="J98" s="237"/>
      <c r="K98" s="237"/>
      <c r="L98" s="238"/>
      <c r="M98" s="272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3"/>
      <c r="Y98" s="273"/>
      <c r="Z98" s="273"/>
      <c r="AA98" s="273"/>
      <c r="AB98" s="273"/>
      <c r="AC98" s="273"/>
      <c r="AD98" s="273"/>
      <c r="AE98" s="273"/>
      <c r="AF98" s="274"/>
      <c r="AG98" s="357"/>
      <c r="AH98" s="358"/>
      <c r="AI98" s="358"/>
      <c r="AJ98" s="358"/>
      <c r="AK98" s="358"/>
      <c r="AL98" s="358"/>
      <c r="AM98" s="358"/>
      <c r="AN98" s="358"/>
      <c r="AO98" s="358"/>
      <c r="AP98" s="358"/>
      <c r="AQ98" s="358"/>
      <c r="AR98" s="358"/>
      <c r="AS98" s="358"/>
      <c r="AT98" s="358"/>
      <c r="AU98" s="358"/>
      <c r="AV98" s="359"/>
      <c r="AW98" s="184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 s="185"/>
      <c r="BO98" s="185"/>
      <c r="BP98" s="185"/>
      <c r="BQ98" s="185"/>
      <c r="BR98" s="176"/>
      <c r="BS98" s="176"/>
      <c r="BT98" s="176"/>
      <c r="BU98" s="176"/>
      <c r="BV98" s="176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7"/>
      <c r="CL98" s="342" t="str">
        <f>Thickness!CL98</f>
        <v>RIVERDALE MILL</v>
      </c>
      <c r="CM98" s="343"/>
      <c r="CN98" s="343"/>
      <c r="CO98" s="343"/>
      <c r="CP98" s="343"/>
      <c r="CQ98" s="343"/>
      <c r="CR98" s="343"/>
      <c r="CS98" s="343"/>
      <c r="CT98" s="343"/>
      <c r="CU98" s="343"/>
      <c r="CV98" s="343"/>
      <c r="CW98" s="343"/>
      <c r="CX98" s="343"/>
      <c r="CY98" s="343"/>
      <c r="CZ98" s="343"/>
      <c r="DA98" s="343"/>
      <c r="DB98" s="343"/>
      <c r="DC98" s="343"/>
      <c r="DD98" s="343"/>
      <c r="DE98" s="343"/>
      <c r="DF98" s="343"/>
      <c r="DG98" s="343"/>
      <c r="DH98" s="343"/>
      <c r="DI98" s="343"/>
      <c r="DJ98" s="343"/>
      <c r="DK98" s="343"/>
      <c r="DL98" s="343"/>
      <c r="DM98" s="343"/>
      <c r="DN98" s="343"/>
      <c r="DO98" s="343"/>
      <c r="DP98" s="343"/>
      <c r="DQ98" s="343"/>
      <c r="DR98" s="343"/>
      <c r="DS98" s="343"/>
      <c r="DT98" s="343"/>
      <c r="DU98" s="343"/>
      <c r="DV98" s="343"/>
      <c r="DW98" s="343"/>
      <c r="DX98" s="343"/>
      <c r="DY98" s="343"/>
      <c r="DZ98" s="344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91"/>
      <c r="B99" s="345" t="s">
        <v>121</v>
      </c>
      <c r="C99" s="346"/>
      <c r="D99" s="346"/>
      <c r="E99" s="346"/>
      <c r="F99" s="346"/>
      <c r="G99" s="346"/>
      <c r="H99" s="346"/>
      <c r="I99" s="346"/>
      <c r="J99" s="346"/>
      <c r="K99" s="346"/>
      <c r="L99" s="347"/>
      <c r="M99" s="254" t="s">
        <v>59</v>
      </c>
      <c r="N99" s="255"/>
      <c r="O99" s="255"/>
      <c r="P99" s="255"/>
      <c r="Q99" s="255"/>
      <c r="R99" s="255"/>
      <c r="S99" s="255"/>
      <c r="T99" s="255"/>
      <c r="U99" s="255"/>
      <c r="V99" s="255"/>
      <c r="W99" s="255"/>
      <c r="X99" s="255"/>
      <c r="Y99" s="255"/>
      <c r="Z99" s="255"/>
      <c r="AA99" s="255"/>
      <c r="AB99" s="255"/>
      <c r="AC99" s="255"/>
      <c r="AD99" s="255"/>
      <c r="AE99" s="255"/>
      <c r="AF99" s="256"/>
      <c r="AG99" s="357"/>
      <c r="AH99" s="358"/>
      <c r="AI99" s="358"/>
      <c r="AJ99" s="358"/>
      <c r="AK99" s="358"/>
      <c r="AL99" s="358"/>
      <c r="AM99" s="358"/>
      <c r="AN99" s="358"/>
      <c r="AO99" s="358"/>
      <c r="AP99" s="358"/>
      <c r="AQ99" s="358"/>
      <c r="AR99" s="358"/>
      <c r="AS99" s="358"/>
      <c r="AT99" s="358"/>
      <c r="AU99" s="358"/>
      <c r="AV99" s="359"/>
      <c r="AW99" s="184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5"/>
      <c r="BN99" s="185"/>
      <c r="BO99" s="185"/>
      <c r="BP99" s="185"/>
      <c r="BQ99" s="185"/>
      <c r="BR99" s="176"/>
      <c r="BS99" s="176"/>
      <c r="BT99" s="176"/>
      <c r="BU99" s="176"/>
      <c r="BV99" s="176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7"/>
      <c r="CL99" s="330" t="s">
        <v>122</v>
      </c>
      <c r="CM99" s="331"/>
      <c r="CN99" s="331"/>
      <c r="CO99" s="331"/>
      <c r="CP99" s="331"/>
      <c r="CQ99" s="331"/>
      <c r="CR99" s="331"/>
      <c r="CS99" s="331"/>
      <c r="CT99" s="331"/>
      <c r="CU99" s="331"/>
      <c r="CV99" s="331"/>
      <c r="CW99" s="331"/>
      <c r="CX99" s="331"/>
      <c r="CY99" s="331"/>
      <c r="CZ99" s="331"/>
      <c r="DA99" s="331"/>
      <c r="DB99" s="331"/>
      <c r="DC99" s="331"/>
      <c r="DD99" s="331"/>
      <c r="DE99" s="331"/>
      <c r="DF99" s="331"/>
      <c r="DG99" s="331"/>
      <c r="DH99" s="331"/>
      <c r="DI99" s="331"/>
      <c r="DJ99" s="331"/>
      <c r="DK99" s="331"/>
      <c r="DL99" s="331"/>
      <c r="DM99" s="331"/>
      <c r="DN99" s="331"/>
      <c r="DO99" s="331"/>
      <c r="DP99" s="331"/>
      <c r="DQ99" s="331"/>
      <c r="DR99" s="331"/>
      <c r="DS99" s="331"/>
      <c r="DT99" s="331"/>
      <c r="DU99" s="331"/>
      <c r="DV99" s="331"/>
      <c r="DW99" s="331"/>
      <c r="DX99" s="331"/>
      <c r="DY99" s="331"/>
      <c r="DZ99" s="332"/>
    </row>
    <row r="100" spans="1:182" ht="36" customHeight="1" x14ac:dyDescent="0.2">
      <c r="A100" s="191"/>
      <c r="B100" s="327" t="s">
        <v>123</v>
      </c>
      <c r="C100" s="328"/>
      <c r="D100" s="328"/>
      <c r="E100" s="328"/>
      <c r="F100" s="328"/>
      <c r="G100" s="328"/>
      <c r="H100" s="328"/>
      <c r="I100" s="328"/>
      <c r="J100" s="328"/>
      <c r="K100" s="328"/>
      <c r="L100" s="329"/>
      <c r="M100" s="257" t="s">
        <v>62</v>
      </c>
      <c r="N100" s="258"/>
      <c r="O100" s="258"/>
      <c r="P100" s="258"/>
      <c r="Q100" s="258"/>
      <c r="R100" s="258"/>
      <c r="S100" s="258"/>
      <c r="T100" s="258"/>
      <c r="U100" s="258"/>
      <c r="V100" s="258"/>
      <c r="W100" s="258"/>
      <c r="X100" s="258"/>
      <c r="Y100" s="258"/>
      <c r="Z100" s="258"/>
      <c r="AA100" s="258"/>
      <c r="AB100" s="258"/>
      <c r="AC100" s="258"/>
      <c r="AD100" s="258"/>
      <c r="AE100" s="258"/>
      <c r="AF100" s="259"/>
      <c r="AG100" s="348" t="s">
        <v>124</v>
      </c>
      <c r="AH100" s="349"/>
      <c r="AI100" s="349"/>
      <c r="AJ100" s="349"/>
      <c r="AK100" s="349"/>
      <c r="AL100" s="349"/>
      <c r="AM100" s="349"/>
      <c r="AN100" s="349"/>
      <c r="AO100" s="349"/>
      <c r="AP100" s="349"/>
      <c r="AQ100" s="349"/>
      <c r="AR100" s="349"/>
      <c r="AS100" s="349"/>
      <c r="AT100" s="349"/>
      <c r="AU100" s="349"/>
      <c r="AV100" s="350"/>
      <c r="AW100" s="186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7"/>
      <c r="BO100" s="187"/>
      <c r="BP100" s="187"/>
      <c r="BQ100" s="187"/>
      <c r="BR100" s="178"/>
      <c r="BS100" s="178"/>
      <c r="BT100" s="178"/>
      <c r="BU100" s="178"/>
      <c r="BV100" s="178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9"/>
      <c r="CL100" s="330" t="str">
        <f>Thickness!CL100</f>
        <v>NO. 1 RECOVERY BOILER</v>
      </c>
      <c r="CM100" s="331"/>
      <c r="CN100" s="331"/>
      <c r="CO100" s="331"/>
      <c r="CP100" s="331"/>
      <c r="CQ100" s="331"/>
      <c r="CR100" s="331"/>
      <c r="CS100" s="331"/>
      <c r="CT100" s="331"/>
      <c r="CU100" s="331"/>
      <c r="CV100" s="331"/>
      <c r="CW100" s="331"/>
      <c r="CX100" s="331"/>
      <c r="CY100" s="331"/>
      <c r="CZ100" s="331"/>
      <c r="DA100" s="331"/>
      <c r="DB100" s="331"/>
      <c r="DC100" s="331"/>
      <c r="DD100" s="331"/>
      <c r="DE100" s="331"/>
      <c r="DF100" s="331"/>
      <c r="DG100" s="331"/>
      <c r="DH100" s="331"/>
      <c r="DI100" s="331"/>
      <c r="DJ100" s="331"/>
      <c r="DK100" s="331"/>
      <c r="DL100" s="331"/>
      <c r="DM100" s="331"/>
      <c r="DN100" s="331"/>
      <c r="DO100" s="331"/>
      <c r="DP100" s="331"/>
      <c r="DQ100" s="331"/>
      <c r="DR100" s="331"/>
      <c r="DS100" s="331"/>
      <c r="DT100" s="331"/>
      <c r="DU100" s="331"/>
      <c r="DV100" s="331"/>
      <c r="DW100" s="331"/>
      <c r="DX100" s="331"/>
      <c r="DY100" s="331"/>
      <c r="DZ100" s="332"/>
    </row>
    <row r="101" spans="1:182" ht="36" customHeight="1" x14ac:dyDescent="0.2">
      <c r="A101" s="191"/>
      <c r="B101" s="333" t="s">
        <v>125</v>
      </c>
      <c r="C101" s="334"/>
      <c r="D101" s="334"/>
      <c r="E101" s="334"/>
      <c r="F101" s="334"/>
      <c r="G101" s="334"/>
      <c r="H101" s="334"/>
      <c r="I101" s="334"/>
      <c r="J101" s="334"/>
      <c r="K101" s="334"/>
      <c r="L101" s="335"/>
      <c r="M101" s="277" t="s">
        <v>51</v>
      </c>
      <c r="N101" s="278"/>
      <c r="O101" s="278"/>
      <c r="P101" s="278"/>
      <c r="Q101" s="279"/>
      <c r="R101" s="280" t="s">
        <v>64</v>
      </c>
      <c r="S101" s="280"/>
      <c r="T101" s="280"/>
      <c r="U101" s="280"/>
      <c r="V101" s="280"/>
      <c r="W101" s="280"/>
      <c r="X101" s="280"/>
      <c r="Y101" s="280"/>
      <c r="Z101" s="280"/>
      <c r="AA101" s="280"/>
      <c r="AB101" s="280"/>
      <c r="AC101" s="280"/>
      <c r="AD101" s="280"/>
      <c r="AE101" s="280"/>
      <c r="AF101" s="281"/>
      <c r="AG101" s="351"/>
      <c r="AH101" s="352"/>
      <c r="AI101" s="352"/>
      <c r="AJ101" s="352"/>
      <c r="AK101" s="352"/>
      <c r="AL101" s="352"/>
      <c r="AM101" s="352"/>
      <c r="AN101" s="352"/>
      <c r="AO101" s="352"/>
      <c r="AP101" s="352"/>
      <c r="AQ101" s="352"/>
      <c r="AR101" s="352"/>
      <c r="AS101" s="352"/>
      <c r="AT101" s="352"/>
      <c r="AU101" s="352"/>
      <c r="AV101" s="353"/>
      <c r="AW101" s="180" t="str">
        <f>Thickness!AW101</f>
        <v>Job #  H449364  P.O. #  0018342455 W.O. #  N/A   Date:  5/05/2025</v>
      </c>
      <c r="AX101" s="275"/>
      <c r="AY101" s="275"/>
      <c r="AZ101" s="275"/>
      <c r="BA101" s="275"/>
      <c r="BB101" s="275"/>
      <c r="BC101" s="275"/>
      <c r="BD101" s="275"/>
      <c r="BE101" s="275"/>
      <c r="BF101" s="275"/>
      <c r="BG101" s="275"/>
      <c r="BH101" s="275"/>
      <c r="BI101" s="275"/>
      <c r="BJ101" s="275"/>
      <c r="BK101" s="275"/>
      <c r="BL101" s="275"/>
      <c r="BM101" s="275"/>
      <c r="BN101" s="275"/>
      <c r="BO101" s="275"/>
      <c r="BP101" s="275"/>
      <c r="BQ101" s="275"/>
      <c r="BR101" s="275"/>
      <c r="BS101" s="275"/>
      <c r="BT101" s="275"/>
      <c r="BU101" s="275"/>
      <c r="BV101" s="275"/>
      <c r="BW101" s="275"/>
      <c r="BX101" s="275"/>
      <c r="BY101" s="275"/>
      <c r="BZ101" s="275"/>
      <c r="CA101" s="275"/>
      <c r="CB101" s="275"/>
      <c r="CC101" s="275"/>
      <c r="CD101" s="275"/>
      <c r="CE101" s="275"/>
      <c r="CF101" s="275"/>
      <c r="CG101" s="275"/>
      <c r="CH101" s="275"/>
      <c r="CI101" s="275"/>
      <c r="CJ101" s="275"/>
      <c r="CK101" s="276"/>
      <c r="CL101" s="336" t="str">
        <f>Thickness!CL101</f>
        <v>01 FLOOR</v>
      </c>
      <c r="CM101" s="337"/>
      <c r="CN101" s="337"/>
      <c r="CO101" s="337"/>
      <c r="CP101" s="337"/>
      <c r="CQ101" s="337"/>
      <c r="CR101" s="337"/>
      <c r="CS101" s="337"/>
      <c r="CT101" s="337"/>
      <c r="CU101" s="337"/>
      <c r="CV101" s="337"/>
      <c r="CW101" s="337"/>
      <c r="CX101" s="337"/>
      <c r="CY101" s="337"/>
      <c r="CZ101" s="337"/>
      <c r="DA101" s="337"/>
      <c r="DB101" s="337"/>
      <c r="DC101" s="337"/>
      <c r="DD101" s="337"/>
      <c r="DE101" s="337"/>
      <c r="DF101" s="337"/>
      <c r="DG101" s="337"/>
      <c r="DH101" s="337"/>
      <c r="DI101" s="337"/>
      <c r="DJ101" s="337"/>
      <c r="DK101" s="337"/>
      <c r="DL101" s="337"/>
      <c r="DM101" s="337"/>
      <c r="DN101" s="337"/>
      <c r="DO101" s="337"/>
      <c r="DP101" s="337"/>
      <c r="DQ101" s="337"/>
      <c r="DR101" s="337"/>
      <c r="DS101" s="337"/>
      <c r="DT101" s="337"/>
      <c r="DU101" s="337"/>
      <c r="DV101" s="337"/>
      <c r="DW101" s="337"/>
      <c r="DX101" s="337"/>
      <c r="DY101" s="337"/>
      <c r="DZ101" s="338"/>
    </row>
    <row r="102" spans="1:182" ht="36" customHeight="1" x14ac:dyDescent="0.35">
      <c r="B102" s="16" t="s">
        <v>126</v>
      </c>
    </row>
    <row r="103" spans="1:182" ht="36" customHeight="1" x14ac:dyDescent="0.2"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174" t="s">
        <v>21</v>
      </c>
      <c r="BS105" s="174"/>
      <c r="BT105" s="174"/>
      <c r="BU105" s="174"/>
      <c r="BV105" s="174"/>
      <c r="BW105" s="174"/>
      <c r="BX105" s="174"/>
      <c r="BY105" s="174"/>
      <c r="BZ105" s="174"/>
      <c r="CA105" s="174"/>
      <c r="CB105" s="174"/>
      <c r="CC105" s="174"/>
      <c r="CD105" s="174"/>
      <c r="CE105" s="174"/>
      <c r="CF105" s="174"/>
      <c r="CG105" s="174"/>
      <c r="CH105" s="174"/>
      <c r="CI105" s="174"/>
      <c r="CJ105" s="174"/>
      <c r="CK105" s="175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176"/>
      <c r="BS106" s="176"/>
      <c r="BT106" s="176"/>
      <c r="BU106" s="176"/>
      <c r="BV106" s="176"/>
      <c r="BW106" s="176"/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7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176"/>
      <c r="BS107" s="176"/>
      <c r="BT107" s="176"/>
      <c r="BU107" s="176"/>
      <c r="BV107" s="176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7"/>
    </row>
    <row r="108" spans="1:182" x14ac:dyDescent="0.2">
      <c r="BR108" s="178"/>
      <c r="BS108" s="178"/>
      <c r="BT108" s="178"/>
      <c r="BU108" s="178"/>
      <c r="BV108" s="178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9"/>
    </row>
    <row r="110" spans="1:182" x14ac:dyDescent="0.2">
      <c r="BR110" s="174" t="s">
        <v>47</v>
      </c>
      <c r="BS110" s="174"/>
      <c r="BT110" s="174"/>
      <c r="BU110" s="174"/>
      <c r="BV110" s="174"/>
      <c r="BW110" s="174"/>
      <c r="BX110" s="174"/>
      <c r="BY110" s="174"/>
      <c r="BZ110" s="174"/>
      <c r="CA110" s="174"/>
      <c r="CB110" s="174"/>
      <c r="CC110" s="174"/>
      <c r="CD110" s="174"/>
      <c r="CE110" s="174"/>
      <c r="CF110" s="174"/>
      <c r="CG110" s="174"/>
      <c r="CH110" s="174"/>
      <c r="CI110" s="174"/>
      <c r="CJ110" s="174"/>
      <c r="CK110" s="175"/>
    </row>
    <row r="111" spans="1:182" x14ac:dyDescent="0.2">
      <c r="BR111" s="176"/>
      <c r="BS111" s="176"/>
      <c r="BT111" s="176"/>
      <c r="BU111" s="176"/>
      <c r="BV111" s="176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7"/>
    </row>
    <row r="112" spans="1:182" x14ac:dyDescent="0.2">
      <c r="BR112" s="176"/>
      <c r="BS112" s="176"/>
      <c r="BT112" s="176"/>
      <c r="BU112" s="176"/>
      <c r="BV112" s="176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7"/>
    </row>
    <row r="113" spans="70:89" x14ac:dyDescent="0.2">
      <c r="BR113" s="178"/>
      <c r="BS113" s="178"/>
      <c r="BT113" s="178"/>
      <c r="BU113" s="178"/>
      <c r="BV113" s="178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9"/>
    </row>
    <row r="115" spans="70:89" x14ac:dyDescent="0.2">
      <c r="BR115" s="174" t="s">
        <v>48</v>
      </c>
      <c r="BS115" s="174"/>
      <c r="BT115" s="174"/>
      <c r="BU115" s="174"/>
      <c r="BV115" s="174"/>
      <c r="BW115" s="174"/>
      <c r="BX115" s="174"/>
      <c r="BY115" s="174"/>
      <c r="BZ115" s="174"/>
      <c r="CA115" s="174"/>
      <c r="CB115" s="174"/>
      <c r="CC115" s="174"/>
      <c r="CD115" s="174"/>
      <c r="CE115" s="174"/>
      <c r="CF115" s="174"/>
      <c r="CG115" s="174"/>
      <c r="CH115" s="174"/>
      <c r="CI115" s="174"/>
      <c r="CJ115" s="174"/>
      <c r="CK115" s="175"/>
    </row>
    <row r="116" spans="70:89" x14ac:dyDescent="0.2">
      <c r="BR116" s="176"/>
      <c r="BS116" s="176"/>
      <c r="BT116" s="176"/>
      <c r="BU116" s="176"/>
      <c r="BV116" s="176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7"/>
    </row>
    <row r="117" spans="70:89" x14ac:dyDescent="0.2">
      <c r="BR117" s="176"/>
      <c r="BS117" s="176"/>
      <c r="BT117" s="176"/>
      <c r="BU117" s="176"/>
      <c r="BV117" s="176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7"/>
    </row>
    <row r="118" spans="70:89" x14ac:dyDescent="0.2">
      <c r="BR118" s="178"/>
      <c r="BS118" s="178"/>
      <c r="BT118" s="178"/>
      <c r="BU118" s="178"/>
      <c r="BV118" s="178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9"/>
    </row>
  </sheetData>
  <mergeCells count="287">
    <mergeCell ref="BL13:BL15"/>
    <mergeCell ref="BM13:BM15"/>
    <mergeCell ref="BG13:BG15"/>
    <mergeCell ref="BH13:BH15"/>
    <mergeCell ref="BI13:BI15"/>
    <mergeCell ref="BJ13:BJ15"/>
    <mergeCell ref="BK13:BK15"/>
    <mergeCell ref="BB13:BB15"/>
    <mergeCell ref="BC13:BC15"/>
    <mergeCell ref="BD13:BD15"/>
    <mergeCell ref="BE13:BE15"/>
    <mergeCell ref="BF13:BF15"/>
    <mergeCell ref="AW13:AW15"/>
    <mergeCell ref="AX13:AX15"/>
    <mergeCell ref="AY13:AY15"/>
    <mergeCell ref="AZ13:AZ15"/>
    <mergeCell ref="BA13:BA15"/>
    <mergeCell ref="AR13:AR15"/>
    <mergeCell ref="AS13:AS15"/>
    <mergeCell ref="AT13:AT15"/>
    <mergeCell ref="AU13:AU15"/>
    <mergeCell ref="AV13:AV15"/>
    <mergeCell ref="AM13:AM15"/>
    <mergeCell ref="AN13:AN15"/>
    <mergeCell ref="AO13:AO15"/>
    <mergeCell ref="AP13:AP15"/>
    <mergeCell ref="AQ13:AQ15"/>
    <mergeCell ref="AH13:AH15"/>
    <mergeCell ref="AI13:AI15"/>
    <mergeCell ref="AJ13:AJ15"/>
    <mergeCell ref="AK13:AK15"/>
    <mergeCell ref="AL13:AL15"/>
    <mergeCell ref="AC13:AC15"/>
    <mergeCell ref="AD13:AD15"/>
    <mergeCell ref="AE13:AE15"/>
    <mergeCell ref="AF13:AF15"/>
    <mergeCell ref="AG13:AG15"/>
    <mergeCell ref="X13:X15"/>
    <mergeCell ref="Y13:Y15"/>
    <mergeCell ref="Z13:Z15"/>
    <mergeCell ref="AA13:AA15"/>
    <mergeCell ref="AB13:AB15"/>
    <mergeCell ref="S13:S15"/>
    <mergeCell ref="T13:T15"/>
    <mergeCell ref="U13:U15"/>
    <mergeCell ref="V13:V15"/>
    <mergeCell ref="W13:W15"/>
    <mergeCell ref="N13:N15"/>
    <mergeCell ref="O13:O15"/>
    <mergeCell ref="P13:P15"/>
    <mergeCell ref="Q13:Q15"/>
    <mergeCell ref="R13:R15"/>
    <mergeCell ref="I13:I15"/>
    <mergeCell ref="J13:J15"/>
    <mergeCell ref="K13:K15"/>
    <mergeCell ref="L13:L15"/>
    <mergeCell ref="M13:M15"/>
    <mergeCell ref="D13:D15"/>
    <mergeCell ref="E13:E15"/>
    <mergeCell ref="F13:F15"/>
    <mergeCell ref="G13:G15"/>
    <mergeCell ref="H13:H15"/>
    <mergeCell ref="BI10:BI12"/>
    <mergeCell ref="BJ10:BJ12"/>
    <mergeCell ref="BK10:BK12"/>
    <mergeCell ref="BL10:BL12"/>
    <mergeCell ref="BM10:BM12"/>
    <mergeCell ref="BD10:BD12"/>
    <mergeCell ref="BE10:BE12"/>
    <mergeCell ref="BF10:BF12"/>
    <mergeCell ref="BG10:BG12"/>
    <mergeCell ref="BH10:BH12"/>
    <mergeCell ref="AY10:AY12"/>
    <mergeCell ref="AZ10:AZ12"/>
    <mergeCell ref="BA10:BA12"/>
    <mergeCell ref="BB10:BB12"/>
    <mergeCell ref="BC10:BC12"/>
    <mergeCell ref="AT10:AT12"/>
    <mergeCell ref="AU10:AU12"/>
    <mergeCell ref="AV10:AV12"/>
    <mergeCell ref="AW10:AW12"/>
    <mergeCell ref="AX10:AX12"/>
    <mergeCell ref="AO10:AO12"/>
    <mergeCell ref="AP10:AP12"/>
    <mergeCell ref="AQ10:AQ12"/>
    <mergeCell ref="AR10:AR12"/>
    <mergeCell ref="AS10:AS12"/>
    <mergeCell ref="AJ10:AJ12"/>
    <mergeCell ref="AK10:AK12"/>
    <mergeCell ref="AL10:AL12"/>
    <mergeCell ref="AM10:AM12"/>
    <mergeCell ref="AN10:AN12"/>
    <mergeCell ref="AE10:AE12"/>
    <mergeCell ref="AF10:AF12"/>
    <mergeCell ref="AG10:AG12"/>
    <mergeCell ref="AH10:AH12"/>
    <mergeCell ref="AI10:AI12"/>
    <mergeCell ref="Z10:Z12"/>
    <mergeCell ref="AA10:AA12"/>
    <mergeCell ref="AB10:AB12"/>
    <mergeCell ref="AC10:AC12"/>
    <mergeCell ref="AD10:AD12"/>
    <mergeCell ref="U10:U12"/>
    <mergeCell ref="V10:V12"/>
    <mergeCell ref="W10:W12"/>
    <mergeCell ref="X10:X12"/>
    <mergeCell ref="Y10:Y12"/>
    <mergeCell ref="P10:P12"/>
    <mergeCell ref="Q10:Q12"/>
    <mergeCell ref="R10:R12"/>
    <mergeCell ref="S10:S12"/>
    <mergeCell ref="T10:T12"/>
    <mergeCell ref="BJ7:BJ9"/>
    <mergeCell ref="BK7:BK9"/>
    <mergeCell ref="BL7:BL9"/>
    <mergeCell ref="BM7:BM9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BE7:BE9"/>
    <mergeCell ref="BF7:BF9"/>
    <mergeCell ref="BG7:BG9"/>
    <mergeCell ref="BH7:BH9"/>
    <mergeCell ref="BI7:BI9"/>
    <mergeCell ref="AZ7:AZ9"/>
    <mergeCell ref="BA7:BA9"/>
    <mergeCell ref="BB7:BB9"/>
    <mergeCell ref="BC7:BC9"/>
    <mergeCell ref="BD7:BD9"/>
    <mergeCell ref="AU7:AU9"/>
    <mergeCell ref="AV7:AV9"/>
    <mergeCell ref="AW7:AW9"/>
    <mergeCell ref="AX7:AX9"/>
    <mergeCell ref="AY7:AY9"/>
    <mergeCell ref="AP7:AP9"/>
    <mergeCell ref="AQ7:AQ9"/>
    <mergeCell ref="AR7:AR9"/>
    <mergeCell ref="AS7:AS9"/>
    <mergeCell ref="AT7:AT9"/>
    <mergeCell ref="AK7:AK9"/>
    <mergeCell ref="AL7:AL9"/>
    <mergeCell ref="AM7:AM9"/>
    <mergeCell ref="AN7:AN9"/>
    <mergeCell ref="AO7:AO9"/>
    <mergeCell ref="AF7:AF9"/>
    <mergeCell ref="AG7:AG9"/>
    <mergeCell ref="AH7:AH9"/>
    <mergeCell ref="AI7:AI9"/>
    <mergeCell ref="AJ7:AJ9"/>
    <mergeCell ref="AA7:AA9"/>
    <mergeCell ref="AB7:AB9"/>
    <mergeCell ref="AC7:AC9"/>
    <mergeCell ref="AD7:AD9"/>
    <mergeCell ref="AE7:AE9"/>
    <mergeCell ref="V7:V9"/>
    <mergeCell ref="W7:W9"/>
    <mergeCell ref="X7:X9"/>
    <mergeCell ref="Y7:Y9"/>
    <mergeCell ref="Z7:Z9"/>
    <mergeCell ref="Q7:Q9"/>
    <mergeCell ref="R7:R9"/>
    <mergeCell ref="S7:S9"/>
    <mergeCell ref="T7:T9"/>
    <mergeCell ref="U7:U9"/>
    <mergeCell ref="BK4:BK6"/>
    <mergeCell ref="BL4:BL6"/>
    <mergeCell ref="BM4:BM6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BF4:BF6"/>
    <mergeCell ref="BG4:BG6"/>
    <mergeCell ref="BH4:BH6"/>
    <mergeCell ref="BI4:BI6"/>
    <mergeCell ref="BJ4:BJ6"/>
    <mergeCell ref="BA4:BA6"/>
    <mergeCell ref="BB4:BB6"/>
    <mergeCell ref="BC4:BC6"/>
    <mergeCell ref="BD4:BD6"/>
    <mergeCell ref="BE4:BE6"/>
    <mergeCell ref="AV4:AV6"/>
    <mergeCell ref="AW4:AW6"/>
    <mergeCell ref="AX4:AX6"/>
    <mergeCell ref="AY4:AY6"/>
    <mergeCell ref="AZ4:AZ6"/>
    <mergeCell ref="AQ4:AQ6"/>
    <mergeCell ref="AR4:AR6"/>
    <mergeCell ref="AS4:AS6"/>
    <mergeCell ref="AT4:AT6"/>
    <mergeCell ref="AU4:AU6"/>
    <mergeCell ref="AL4:AL6"/>
    <mergeCell ref="AM4:AM6"/>
    <mergeCell ref="AN4:AN6"/>
    <mergeCell ref="AO4:AO6"/>
    <mergeCell ref="AP4:AP6"/>
    <mergeCell ref="AG4:AG6"/>
    <mergeCell ref="AH4:AH6"/>
    <mergeCell ref="AI4:AI6"/>
    <mergeCell ref="AJ4:AJ6"/>
    <mergeCell ref="AK4:AK6"/>
    <mergeCell ref="AB4:AB6"/>
    <mergeCell ref="AC4:AC6"/>
    <mergeCell ref="AD4:AD6"/>
    <mergeCell ref="AE4:AE6"/>
    <mergeCell ref="AF4:AF6"/>
    <mergeCell ref="W4:W6"/>
    <mergeCell ref="X4:X6"/>
    <mergeCell ref="Y4:Y6"/>
    <mergeCell ref="Z4:Z6"/>
    <mergeCell ref="AA4:AA6"/>
    <mergeCell ref="R4:R6"/>
    <mergeCell ref="S4:S6"/>
    <mergeCell ref="T4:T6"/>
    <mergeCell ref="U4:U6"/>
    <mergeCell ref="V4:V6"/>
    <mergeCell ref="BR110:CK113"/>
    <mergeCell ref="BR115:CK118"/>
    <mergeCell ref="B100:L100"/>
    <mergeCell ref="CL100:DZ100"/>
    <mergeCell ref="B101:L101"/>
    <mergeCell ref="AW101:CK101"/>
    <mergeCell ref="CL101:DZ101"/>
    <mergeCell ref="BR105:CK108"/>
    <mergeCell ref="AW97:BQ100"/>
    <mergeCell ref="BR97:CK100"/>
    <mergeCell ref="CL97:DZ97"/>
    <mergeCell ref="CL98:DZ98"/>
    <mergeCell ref="B99:L99"/>
    <mergeCell ref="CL99:DZ99"/>
    <mergeCell ref="AG100:AV101"/>
    <mergeCell ref="AG97:AV99"/>
    <mergeCell ref="M99:AF99"/>
    <mergeCell ref="M100:AF100"/>
    <mergeCell ref="A1:B2"/>
    <mergeCell ref="C1:DP1"/>
    <mergeCell ref="DQ1:DZ1"/>
    <mergeCell ref="C2:DP2"/>
    <mergeCell ref="DQ2:DZ2"/>
    <mergeCell ref="M101:Q101"/>
    <mergeCell ref="R101:AF101"/>
    <mergeCell ref="A5:A6"/>
    <mergeCell ref="B97:L97"/>
    <mergeCell ref="A98:A101"/>
    <mergeCell ref="B98:L98"/>
    <mergeCell ref="C4:C6"/>
    <mergeCell ref="C7:C9"/>
    <mergeCell ref="A8:A9"/>
    <mergeCell ref="C10:C12"/>
    <mergeCell ref="A11:A12"/>
    <mergeCell ref="C13:C15"/>
    <mergeCell ref="A16:B16"/>
    <mergeCell ref="D4:D6"/>
    <mergeCell ref="E4:E6"/>
    <mergeCell ref="F4:F6"/>
    <mergeCell ref="A14:A15"/>
    <mergeCell ref="A3:B3"/>
    <mergeCell ref="M97:AF98"/>
    <mergeCell ref="P4:P6"/>
    <mergeCell ref="Q4:Q6"/>
    <mergeCell ref="G4:G6"/>
    <mergeCell ref="H4:H6"/>
    <mergeCell ref="I4:I6"/>
    <mergeCell ref="J4:J6"/>
    <mergeCell ref="K4:K6"/>
    <mergeCell ref="L4:L6"/>
    <mergeCell ref="M4:M6"/>
    <mergeCell ref="N4:N6"/>
    <mergeCell ref="O4:O6"/>
  </mergeCells>
  <printOptions horizontalCentered="1"/>
  <pageMargins left="0.25" right="0.25" top="0.75" bottom="0.25" header="0" footer="0"/>
  <pageSetup scale="35" pageOrder="overThenDown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13497-1681-4D2B-865A-85D751B414D3}">
  <sheetPr>
    <pageSetUpPr fitToPage="1"/>
  </sheetPr>
  <dimension ref="A1:IK118"/>
  <sheetViews>
    <sheetView zoomScale="25" zoomScaleNormal="25" workbookViewId="0">
      <selection activeCell="AW82" sqref="AW82"/>
    </sheetView>
  </sheetViews>
  <sheetFormatPr defaultColWidth="11.7109375" defaultRowHeight="12.75" x14ac:dyDescent="0.2"/>
  <cols>
    <col min="1" max="1" width="5.7109375" style="3" customWidth="1"/>
    <col min="2" max="2" width="30.7109375" style="1" customWidth="1"/>
    <col min="3" max="3" width="7.28515625" style="2" bestFit="1" customWidth="1"/>
    <col min="4" max="128" width="2.5703125" style="1" customWidth="1"/>
    <col min="129" max="130" width="2.7109375" style="1" customWidth="1"/>
    <col min="131" max="131" width="2.42578125" style="1" hidden="1" customWidth="1"/>
    <col min="132" max="132" width="8.7109375" style="2" hidden="1" customWidth="1"/>
    <col min="133" max="172" width="0" style="2" hidden="1" customWidth="1"/>
    <col min="173" max="173" width="11.5703125" style="3" hidden="1" customWidth="1"/>
    <col min="174" max="174" width="10.5703125" style="3" hidden="1" customWidth="1"/>
    <col min="175" max="175" width="10.85546875" style="3" hidden="1" customWidth="1"/>
    <col min="176" max="177" width="10.5703125" style="3" hidden="1" customWidth="1"/>
    <col min="178" max="178" width="10.85546875" style="3" hidden="1" customWidth="1"/>
    <col min="179" max="179" width="9.5703125" style="3" hidden="1" customWidth="1"/>
    <col min="180" max="245" width="11.7109375" style="3" hidden="1" customWidth="1"/>
    <col min="246" max="247" width="11.7109375" style="3" customWidth="1"/>
    <col min="248" max="16384" width="11.7109375" style="3"/>
  </cols>
  <sheetData>
    <row r="1" spans="1:182" ht="36" customHeight="1" x14ac:dyDescent="0.2">
      <c r="A1" s="369">
        <f>Thickness!A1</f>
        <v>2025</v>
      </c>
      <c r="B1" s="370"/>
      <c r="C1" s="286" t="str">
        <f>IF(ISBLANK(Thickness!C1),"",(Thickness!C1))</f>
        <v xml:space="preserve">NC - NOT CLEAN; </v>
      </c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7"/>
      <c r="BE1" s="287"/>
      <c r="BF1" s="287"/>
      <c r="BG1" s="287"/>
      <c r="BH1" s="287"/>
      <c r="BI1" s="287"/>
      <c r="BJ1" s="287"/>
      <c r="BK1" s="287"/>
      <c r="BL1" s="287"/>
      <c r="BM1" s="287"/>
      <c r="BN1" s="287"/>
      <c r="BO1" s="287"/>
      <c r="BP1" s="287"/>
      <c r="BQ1" s="287"/>
      <c r="BR1" s="287"/>
      <c r="BS1" s="287"/>
      <c r="BT1" s="287"/>
      <c r="BU1" s="287"/>
      <c r="BV1" s="287"/>
      <c r="BW1" s="287"/>
      <c r="BX1" s="287"/>
      <c r="BY1" s="287"/>
      <c r="BZ1" s="287"/>
      <c r="CA1" s="287"/>
      <c r="CB1" s="287"/>
      <c r="CC1" s="287"/>
      <c r="CD1" s="287"/>
      <c r="CE1" s="287"/>
      <c r="CF1" s="287"/>
      <c r="CG1" s="287"/>
      <c r="CH1" s="287"/>
      <c r="CI1" s="287"/>
      <c r="CJ1" s="287"/>
      <c r="CK1" s="287"/>
      <c r="CL1" s="287"/>
      <c r="CM1" s="287"/>
      <c r="CN1" s="287"/>
      <c r="CO1" s="287"/>
      <c r="CP1" s="287"/>
      <c r="CQ1" s="287"/>
      <c r="CR1" s="287"/>
      <c r="CS1" s="287"/>
      <c r="CT1" s="287"/>
      <c r="CU1" s="287"/>
      <c r="CV1" s="287"/>
      <c r="CW1" s="287"/>
      <c r="CX1" s="287"/>
      <c r="CY1" s="287"/>
      <c r="CZ1" s="287"/>
      <c r="DA1" s="287"/>
      <c r="DB1" s="287"/>
      <c r="DC1" s="287"/>
      <c r="DD1" s="287"/>
      <c r="DE1" s="287"/>
      <c r="DF1" s="287"/>
      <c r="DG1" s="287"/>
      <c r="DH1" s="287"/>
      <c r="DI1" s="287"/>
      <c r="DJ1" s="287"/>
      <c r="DK1" s="287"/>
      <c r="DL1" s="287"/>
      <c r="DM1" s="287"/>
      <c r="DN1" s="287"/>
      <c r="DO1" s="287"/>
      <c r="DP1" s="288"/>
      <c r="DQ1" s="162" t="s">
        <v>1</v>
      </c>
      <c r="DR1" s="163"/>
      <c r="DS1" s="163"/>
      <c r="DT1" s="163"/>
      <c r="DU1" s="163"/>
      <c r="DV1" s="163"/>
      <c r="DW1" s="163"/>
      <c r="DX1" s="163"/>
      <c r="DY1" s="163"/>
      <c r="DZ1" s="164"/>
    </row>
    <row r="2" spans="1:182" s="5" customFormat="1" ht="36" customHeight="1" x14ac:dyDescent="0.2">
      <c r="A2" s="371"/>
      <c r="B2" s="372"/>
      <c r="C2" s="286" t="s">
        <v>127</v>
      </c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7"/>
      <c r="BE2" s="287"/>
      <c r="BF2" s="287"/>
      <c r="BG2" s="287"/>
      <c r="BH2" s="287"/>
      <c r="BI2" s="287"/>
      <c r="BJ2" s="287"/>
      <c r="BK2" s="287"/>
      <c r="BL2" s="287"/>
      <c r="BM2" s="287"/>
      <c r="BN2" s="287"/>
      <c r="BO2" s="287"/>
      <c r="BP2" s="287"/>
      <c r="BQ2" s="287"/>
      <c r="BR2" s="287"/>
      <c r="BS2" s="287"/>
      <c r="BT2" s="287"/>
      <c r="BU2" s="287"/>
      <c r="BV2" s="287"/>
      <c r="BW2" s="287"/>
      <c r="BX2" s="287"/>
      <c r="BY2" s="287"/>
      <c r="BZ2" s="287"/>
      <c r="CA2" s="287"/>
      <c r="CB2" s="287"/>
      <c r="CC2" s="287"/>
      <c r="CD2" s="287"/>
      <c r="CE2" s="287"/>
      <c r="CF2" s="287"/>
      <c r="CG2" s="287"/>
      <c r="CH2" s="287"/>
      <c r="CI2" s="287"/>
      <c r="CJ2" s="287"/>
      <c r="CK2" s="287"/>
      <c r="CL2" s="287"/>
      <c r="CM2" s="287"/>
      <c r="CN2" s="287"/>
      <c r="CO2" s="287"/>
      <c r="CP2" s="287"/>
      <c r="CQ2" s="287"/>
      <c r="CR2" s="287"/>
      <c r="CS2" s="287"/>
      <c r="CT2" s="287"/>
      <c r="CU2" s="287"/>
      <c r="CV2" s="287"/>
      <c r="CW2" s="287"/>
      <c r="CX2" s="287"/>
      <c r="CY2" s="287"/>
      <c r="CZ2" s="287"/>
      <c r="DA2" s="287"/>
      <c r="DB2" s="287"/>
      <c r="DC2" s="287"/>
      <c r="DD2" s="287"/>
      <c r="DE2" s="287"/>
      <c r="DF2" s="287"/>
      <c r="DG2" s="287"/>
      <c r="DH2" s="287"/>
      <c r="DI2" s="287"/>
      <c r="DJ2" s="287"/>
      <c r="DK2" s="287"/>
      <c r="DL2" s="287"/>
      <c r="DM2" s="287"/>
      <c r="DN2" s="287"/>
      <c r="DO2" s="287"/>
      <c r="DP2" s="288"/>
      <c r="DQ2" s="162" t="s">
        <v>3</v>
      </c>
      <c r="DR2" s="163"/>
      <c r="DS2" s="163"/>
      <c r="DT2" s="163"/>
      <c r="DU2" s="163"/>
      <c r="DV2" s="163"/>
      <c r="DW2" s="163"/>
      <c r="DX2" s="163"/>
      <c r="DY2" s="163"/>
      <c r="DZ2" s="164"/>
      <c r="EA2" s="4"/>
    </row>
    <row r="3" spans="1:182" s="5" customFormat="1" ht="36" customHeight="1" x14ac:dyDescent="0.2">
      <c r="A3" s="144" t="s">
        <v>4</v>
      </c>
      <c r="B3" s="145"/>
      <c r="C3" s="18" t="s">
        <v>5</v>
      </c>
      <c r="D3" s="25">
        <v>1</v>
      </c>
      <c r="E3" s="19">
        <v>2</v>
      </c>
      <c r="F3" s="19">
        <v>3</v>
      </c>
      <c r="G3" s="19">
        <v>4</v>
      </c>
      <c r="H3" s="19">
        <v>5</v>
      </c>
      <c r="I3" s="19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19">
        <v>12</v>
      </c>
      <c r="P3" s="19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19">
        <v>32</v>
      </c>
      <c r="AJ3" s="19">
        <v>33</v>
      </c>
      <c r="AK3" s="19">
        <v>34</v>
      </c>
      <c r="AL3" s="19">
        <v>35</v>
      </c>
      <c r="AM3" s="19">
        <v>36</v>
      </c>
      <c r="AN3" s="19">
        <v>37</v>
      </c>
      <c r="AO3" s="19">
        <v>38</v>
      </c>
      <c r="AP3" s="19">
        <v>39</v>
      </c>
      <c r="AQ3" s="19">
        <v>40</v>
      </c>
      <c r="AR3" s="19">
        <v>41</v>
      </c>
      <c r="AS3" s="19">
        <v>42</v>
      </c>
      <c r="AT3" s="19">
        <v>43</v>
      </c>
      <c r="AU3" s="19">
        <v>44</v>
      </c>
      <c r="AV3" s="19">
        <v>45</v>
      </c>
      <c r="AW3" s="19">
        <v>46</v>
      </c>
      <c r="AX3" s="19">
        <v>47</v>
      </c>
      <c r="AY3" s="19">
        <v>48</v>
      </c>
      <c r="AZ3" s="19">
        <v>49</v>
      </c>
      <c r="BA3" s="19">
        <v>50</v>
      </c>
      <c r="BB3" s="19">
        <v>51</v>
      </c>
      <c r="BC3" s="19">
        <v>52</v>
      </c>
      <c r="BD3" s="19">
        <v>53</v>
      </c>
      <c r="BE3" s="19">
        <v>54</v>
      </c>
      <c r="BF3" s="19">
        <v>55</v>
      </c>
      <c r="BG3" s="19">
        <v>56</v>
      </c>
      <c r="BH3" s="19">
        <v>57</v>
      </c>
      <c r="BI3" s="19">
        <v>58</v>
      </c>
      <c r="BJ3" s="19">
        <v>59</v>
      </c>
      <c r="BK3" s="19">
        <v>60</v>
      </c>
      <c r="BL3" s="19">
        <v>61</v>
      </c>
      <c r="BM3" s="84">
        <v>62</v>
      </c>
      <c r="BN3" s="29" t="s">
        <v>6</v>
      </c>
      <c r="BO3" s="30" t="s">
        <v>7</v>
      </c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1"/>
    </row>
    <row r="4" spans="1:182" s="5" customFormat="1" ht="36" customHeight="1" x14ac:dyDescent="0.2">
      <c r="A4" s="10" t="s">
        <v>8</v>
      </c>
      <c r="B4" s="6"/>
      <c r="C4" s="376" t="s">
        <v>128</v>
      </c>
      <c r="D4" s="387">
        <f>MIN(Thickness!D4:D6)</f>
        <v>0.34899999999999998</v>
      </c>
      <c r="E4" s="360">
        <f>MIN(Thickness!E4:E6)</f>
        <v>0.34399999999999997</v>
      </c>
      <c r="F4" s="360">
        <f>MIN(Thickness!F4:F6)</f>
        <v>0.34300000000000003</v>
      </c>
      <c r="G4" s="360">
        <f>MIN(Thickness!G4:G6)</f>
        <v>0.33300000000000002</v>
      </c>
      <c r="H4" s="363">
        <f>MIN(Thickness!H4:H6)</f>
        <v>0.35199999999999998</v>
      </c>
      <c r="I4" s="366">
        <f>MIN(Thickness!I4:I6)</f>
        <v>0.35099999999999998</v>
      </c>
      <c r="J4" s="360">
        <f>MIN(Thickness!J4:J6)</f>
        <v>0.34399999999999997</v>
      </c>
      <c r="K4" s="360">
        <f>MIN(Thickness!K4:K6)</f>
        <v>0.33100000000000002</v>
      </c>
      <c r="L4" s="360">
        <f>MIN(Thickness!L4:L6)</f>
        <v>0.32</v>
      </c>
      <c r="M4" s="363">
        <f>MIN(Thickness!M4:M6)</f>
        <v>0.32700000000000001</v>
      </c>
      <c r="N4" s="366">
        <f>MIN(Thickness!N4:N6)</f>
        <v>0.312</v>
      </c>
      <c r="O4" s="360">
        <f>MIN(Thickness!O4:O6)</f>
        <v>0.34200000000000003</v>
      </c>
      <c r="P4" s="360">
        <f>MIN(Thickness!P4:P6)</f>
        <v>0.32200000000000001</v>
      </c>
      <c r="Q4" s="360">
        <f>MIN(Thickness!Q4:Q6)</f>
        <v>0.33200000000000002</v>
      </c>
      <c r="R4" s="363">
        <f>MIN(Thickness!R4:R6)</f>
        <v>0.317</v>
      </c>
      <c r="S4" s="366">
        <f>MIN(Thickness!S4:S6)</f>
        <v>0.314</v>
      </c>
      <c r="T4" s="360">
        <f>MIN(Thickness!T4:T6)</f>
        <v>0.29699999999999999</v>
      </c>
      <c r="U4" s="360">
        <f>MIN(Thickness!U4:U6)</f>
        <v>0.31</v>
      </c>
      <c r="V4" s="360">
        <f>MIN(Thickness!V4:V6)</f>
        <v>0.30499999999999999</v>
      </c>
      <c r="W4" s="363">
        <f>MIN(Thickness!W4:W6)</f>
        <v>0.32200000000000001</v>
      </c>
      <c r="X4" s="366">
        <f>MIN(Thickness!X4:X6)</f>
        <v>0.313</v>
      </c>
      <c r="Y4" s="360">
        <f>MIN(Thickness!Y4:Y6)</f>
        <v>0.31</v>
      </c>
      <c r="Z4" s="360">
        <f>MIN(Thickness!Z4:Z6)</f>
        <v>0.314</v>
      </c>
      <c r="AA4" s="360">
        <f>MIN(Thickness!AA4:AA6)</f>
        <v>0.32100000000000001</v>
      </c>
      <c r="AB4" s="363">
        <f>MIN(Thickness!AB4:AB6)</f>
        <v>0.33200000000000002</v>
      </c>
      <c r="AC4" s="366">
        <f>MIN(Thickness!AC4:AC6)</f>
        <v>0.33</v>
      </c>
      <c r="AD4" s="360">
        <f>MIN(Thickness!AD4:AD6)</f>
        <v>0.33100000000000002</v>
      </c>
      <c r="AE4" s="360">
        <f>MIN(Thickness!AE4:AE6)</f>
        <v>0.32800000000000001</v>
      </c>
      <c r="AF4" s="360">
        <f>MIN(Thickness!AF4:AF6)</f>
        <v>0.32300000000000001</v>
      </c>
      <c r="AG4" s="363">
        <f>MIN(Thickness!AG4:AG6)</f>
        <v>0.308</v>
      </c>
      <c r="AH4" s="366">
        <f>MIN(Thickness!AH4:AH6)</f>
        <v>0.33100000000000002</v>
      </c>
      <c r="AI4" s="360">
        <f>MIN(Thickness!AI4:AI6)</f>
        <v>0.32100000000000001</v>
      </c>
      <c r="AJ4" s="360">
        <f>MIN(Thickness!AJ4:AJ6)</f>
        <v>0.31900000000000001</v>
      </c>
      <c r="AK4" s="360">
        <f>MIN(Thickness!AK4:AK6)</f>
        <v>0.32200000000000001</v>
      </c>
      <c r="AL4" s="363">
        <f>MIN(Thickness!AL4:AL6)</f>
        <v>0.314</v>
      </c>
      <c r="AM4" s="366">
        <f>MIN(Thickness!AM4:AM6)</f>
        <v>0.317</v>
      </c>
      <c r="AN4" s="360">
        <f>MIN(Thickness!AN4:AN6)</f>
        <v>0.33200000000000002</v>
      </c>
      <c r="AO4" s="360">
        <f>MIN(Thickness!AO4:AO6)</f>
        <v>0.31900000000000001</v>
      </c>
      <c r="AP4" s="360">
        <f>MIN(Thickness!AP4:AP6)</f>
        <v>0.33</v>
      </c>
      <c r="AQ4" s="363">
        <f>MIN(Thickness!AQ4:AQ6)</f>
        <v>0.32700000000000001</v>
      </c>
      <c r="AR4" s="366">
        <f>MIN(Thickness!AR4:AR6)</f>
        <v>0.32400000000000001</v>
      </c>
      <c r="AS4" s="360">
        <f>MIN(Thickness!AS4:AS6)</f>
        <v>0.32500000000000001</v>
      </c>
      <c r="AT4" s="360">
        <f>MIN(Thickness!AT4:AT6)</f>
        <v>0.316</v>
      </c>
      <c r="AU4" s="360">
        <f>MIN(Thickness!AU4:AU6)</f>
        <v>0.313</v>
      </c>
      <c r="AV4" s="363">
        <f>MIN(Thickness!AV4:AV6)</f>
        <v>0.34699999999999998</v>
      </c>
      <c r="AW4" s="366">
        <f>MIN(Thickness!AW4:AW6)</f>
        <v>0.33100000000000002</v>
      </c>
      <c r="AX4" s="360">
        <f>MIN(Thickness!AX4:AX6)</f>
        <v>0.32100000000000001</v>
      </c>
      <c r="AY4" s="360">
        <f>MIN(Thickness!AY4:AY6)</f>
        <v>0.32400000000000001</v>
      </c>
      <c r="AZ4" s="360">
        <f>MIN(Thickness!AZ4:AZ6)</f>
        <v>0.32700000000000001</v>
      </c>
      <c r="BA4" s="363">
        <f>MIN(Thickness!BA4:BA6)</f>
        <v>0.317</v>
      </c>
      <c r="BB4" s="366">
        <f>MIN(Thickness!BB4:BB6)</f>
        <v>0.33100000000000002</v>
      </c>
      <c r="BC4" s="360">
        <f>MIN(Thickness!BC4:BC6)</f>
        <v>0.317</v>
      </c>
      <c r="BD4" s="360">
        <f>MIN(Thickness!BD4:BD6)</f>
        <v>0.32600000000000001</v>
      </c>
      <c r="BE4" s="360">
        <f>MIN(Thickness!BE4:BE6)</f>
        <v>0.32500000000000001</v>
      </c>
      <c r="BF4" s="363">
        <f>MIN(Thickness!BF4:BF6)</f>
        <v>0.34499999999999997</v>
      </c>
      <c r="BG4" s="366">
        <f>MIN(Thickness!BG4:BG6)</f>
        <v>0.33300000000000002</v>
      </c>
      <c r="BH4" s="360">
        <f>MIN(Thickness!BH4:BH6)</f>
        <v>0.33900000000000002</v>
      </c>
      <c r="BI4" s="360">
        <f>MIN(Thickness!BI4:BI6)</f>
        <v>0.34399999999999997</v>
      </c>
      <c r="BJ4" s="360">
        <f>MIN(Thickness!BJ4:BJ6)</f>
        <v>0.35099999999999998</v>
      </c>
      <c r="BK4" s="363">
        <f>MIN(Thickness!BK4:BK6)</f>
        <v>0.34300000000000003</v>
      </c>
      <c r="BL4" s="366">
        <f>MIN(Thickness!BL4:BL6)</f>
        <v>0.34100000000000003</v>
      </c>
      <c r="BM4" s="363">
        <f>MIN(Thickness!BM4:BM6)</f>
        <v>0.34399999999999997</v>
      </c>
      <c r="BN4" s="141">
        <f t="shared" ref="BN4:BN6" si="0">IFERROR(AVERAGE(D4:BM6),0)</f>
        <v>0.32730645161290317</v>
      </c>
      <c r="BO4" s="141">
        <f t="shared" ref="BO4:BO6" si="1">MIN(D4:BM6)</f>
        <v>0.29699999999999999</v>
      </c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17"/>
      <c r="DZ4" s="23"/>
      <c r="FQ4" s="3"/>
      <c r="FR4" s="3"/>
      <c r="FS4" s="3"/>
      <c r="FT4" s="3"/>
      <c r="FU4" s="3"/>
      <c r="FV4" s="3"/>
      <c r="FW4" s="3"/>
      <c r="FX4" s="3"/>
      <c r="FY4" s="3"/>
      <c r="FZ4" s="3"/>
    </row>
    <row r="5" spans="1:182" s="5" customFormat="1" ht="36" customHeight="1" x14ac:dyDescent="0.2">
      <c r="A5" s="140">
        <v>8.3000000000000004E-2</v>
      </c>
      <c r="B5" s="7" t="s">
        <v>10</v>
      </c>
      <c r="C5" s="377"/>
      <c r="D5" s="388"/>
      <c r="E5" s="361"/>
      <c r="F5" s="361"/>
      <c r="G5" s="361"/>
      <c r="H5" s="364"/>
      <c r="I5" s="367"/>
      <c r="J5" s="361"/>
      <c r="K5" s="361"/>
      <c r="L5" s="361"/>
      <c r="M5" s="364"/>
      <c r="N5" s="367"/>
      <c r="O5" s="361"/>
      <c r="P5" s="361"/>
      <c r="Q5" s="361"/>
      <c r="R5" s="364"/>
      <c r="S5" s="367"/>
      <c r="T5" s="361"/>
      <c r="U5" s="361"/>
      <c r="V5" s="361"/>
      <c r="W5" s="364"/>
      <c r="X5" s="367"/>
      <c r="Y5" s="361"/>
      <c r="Z5" s="361"/>
      <c r="AA5" s="361"/>
      <c r="AB5" s="364"/>
      <c r="AC5" s="367"/>
      <c r="AD5" s="361"/>
      <c r="AE5" s="361"/>
      <c r="AF5" s="361"/>
      <c r="AG5" s="364"/>
      <c r="AH5" s="367"/>
      <c r="AI5" s="361"/>
      <c r="AJ5" s="361"/>
      <c r="AK5" s="361"/>
      <c r="AL5" s="364"/>
      <c r="AM5" s="367"/>
      <c r="AN5" s="361"/>
      <c r="AO5" s="361"/>
      <c r="AP5" s="361"/>
      <c r="AQ5" s="364"/>
      <c r="AR5" s="367"/>
      <c r="AS5" s="361"/>
      <c r="AT5" s="361"/>
      <c r="AU5" s="361"/>
      <c r="AV5" s="364"/>
      <c r="AW5" s="367"/>
      <c r="AX5" s="361"/>
      <c r="AY5" s="361"/>
      <c r="AZ5" s="361"/>
      <c r="BA5" s="364"/>
      <c r="BB5" s="367"/>
      <c r="BC5" s="361"/>
      <c r="BD5" s="361"/>
      <c r="BE5" s="361"/>
      <c r="BF5" s="364"/>
      <c r="BG5" s="367"/>
      <c r="BH5" s="361"/>
      <c r="BI5" s="361"/>
      <c r="BJ5" s="361"/>
      <c r="BK5" s="364"/>
      <c r="BL5" s="367"/>
      <c r="BM5" s="364"/>
      <c r="BN5" s="142">
        <f t="shared" si="0"/>
        <v>0.30520967741935484</v>
      </c>
      <c r="BO5" s="142">
        <f t="shared" si="1"/>
        <v>0.28399999999999997</v>
      </c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17"/>
      <c r="DZ5" s="23"/>
      <c r="FQ5" s="3"/>
      <c r="FR5" s="3"/>
      <c r="FS5" s="3"/>
      <c r="FT5" s="3"/>
      <c r="FU5" s="3"/>
      <c r="FV5" s="3"/>
      <c r="FW5" s="3"/>
      <c r="FX5" s="3"/>
      <c r="FY5" s="3"/>
      <c r="FZ5" s="3"/>
    </row>
    <row r="6" spans="1:182" s="5" customFormat="1" ht="36" customHeight="1" x14ac:dyDescent="0.2">
      <c r="A6" s="140"/>
      <c r="B6" s="8"/>
      <c r="C6" s="377"/>
      <c r="D6" s="389"/>
      <c r="E6" s="362"/>
      <c r="F6" s="362"/>
      <c r="G6" s="362"/>
      <c r="H6" s="365"/>
      <c r="I6" s="368"/>
      <c r="J6" s="362"/>
      <c r="K6" s="362"/>
      <c r="L6" s="362"/>
      <c r="M6" s="365"/>
      <c r="N6" s="368"/>
      <c r="O6" s="362"/>
      <c r="P6" s="362"/>
      <c r="Q6" s="362"/>
      <c r="R6" s="365"/>
      <c r="S6" s="368"/>
      <c r="T6" s="362"/>
      <c r="U6" s="362"/>
      <c r="V6" s="362"/>
      <c r="W6" s="365"/>
      <c r="X6" s="368"/>
      <c r="Y6" s="362"/>
      <c r="Z6" s="362"/>
      <c r="AA6" s="362"/>
      <c r="AB6" s="365"/>
      <c r="AC6" s="368"/>
      <c r="AD6" s="362"/>
      <c r="AE6" s="362"/>
      <c r="AF6" s="362"/>
      <c r="AG6" s="365"/>
      <c r="AH6" s="368"/>
      <c r="AI6" s="362"/>
      <c r="AJ6" s="362"/>
      <c r="AK6" s="362"/>
      <c r="AL6" s="365"/>
      <c r="AM6" s="368"/>
      <c r="AN6" s="362"/>
      <c r="AO6" s="362"/>
      <c r="AP6" s="362"/>
      <c r="AQ6" s="365"/>
      <c r="AR6" s="368"/>
      <c r="AS6" s="362"/>
      <c r="AT6" s="362"/>
      <c r="AU6" s="362"/>
      <c r="AV6" s="365"/>
      <c r="AW6" s="368"/>
      <c r="AX6" s="362"/>
      <c r="AY6" s="362"/>
      <c r="AZ6" s="362"/>
      <c r="BA6" s="365"/>
      <c r="BB6" s="368"/>
      <c r="BC6" s="362"/>
      <c r="BD6" s="362"/>
      <c r="BE6" s="362"/>
      <c r="BF6" s="365"/>
      <c r="BG6" s="368"/>
      <c r="BH6" s="362"/>
      <c r="BI6" s="362"/>
      <c r="BJ6" s="362"/>
      <c r="BK6" s="365"/>
      <c r="BL6" s="368"/>
      <c r="BM6" s="365"/>
      <c r="BN6" s="143">
        <f t="shared" si="0"/>
        <v>0.30520967741935484</v>
      </c>
      <c r="BO6" s="143">
        <f t="shared" si="1"/>
        <v>0.28399999999999997</v>
      </c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17"/>
      <c r="DZ6" s="23"/>
      <c r="FQ6" s="3"/>
      <c r="FR6" s="3"/>
      <c r="FS6" s="3"/>
      <c r="FT6" s="3"/>
      <c r="FU6" s="3"/>
      <c r="FV6" s="3"/>
      <c r="FW6" s="3"/>
      <c r="FX6" s="3"/>
      <c r="FY6" s="3"/>
      <c r="FZ6" s="3"/>
    </row>
    <row r="7" spans="1:182" s="5" customFormat="1" ht="39.950000000000003" customHeight="1" x14ac:dyDescent="0.2">
      <c r="A7" s="10" t="s">
        <v>8</v>
      </c>
      <c r="B7" s="6"/>
      <c r="C7" s="376" t="s">
        <v>128</v>
      </c>
      <c r="D7" s="387">
        <f>MIN(Thickness!D7:D9)</f>
        <v>0.33200000000000002</v>
      </c>
      <c r="E7" s="360">
        <f>MIN(Thickness!E7:E9)</f>
        <v>0.32500000000000001</v>
      </c>
      <c r="F7" s="360">
        <f>MIN(Thickness!F7:F9)</f>
        <v>0.32300000000000001</v>
      </c>
      <c r="G7" s="360">
        <f>MIN(Thickness!G7:G9)</f>
        <v>0.308</v>
      </c>
      <c r="H7" s="363">
        <f>MIN(Thickness!H7:H9)</f>
        <v>0.311</v>
      </c>
      <c r="I7" s="366">
        <f>MIN(Thickness!I7:I9)</f>
        <v>0.315</v>
      </c>
      <c r="J7" s="360">
        <f>MIN(Thickness!J7:J9)</f>
        <v>0.31900000000000001</v>
      </c>
      <c r="K7" s="360">
        <f>MIN(Thickness!K7:K9)</f>
        <v>0.313</v>
      </c>
      <c r="L7" s="360">
        <f>MIN(Thickness!L7:L9)</f>
        <v>0.312</v>
      </c>
      <c r="M7" s="363">
        <f>MIN(Thickness!M7:M9)</f>
        <v>0.29699999999999999</v>
      </c>
      <c r="N7" s="366">
        <f>MIN(Thickness!N7:N9)</f>
        <v>0.29399999999999998</v>
      </c>
      <c r="O7" s="360">
        <f>MIN(Thickness!O7:O9)</f>
        <v>0.29899999999999999</v>
      </c>
      <c r="P7" s="360">
        <f>MIN(Thickness!P7:P9)</f>
        <v>0.29299999999999998</v>
      </c>
      <c r="Q7" s="360">
        <f>MIN(Thickness!Q7:Q9)</f>
        <v>0.29299999999999998</v>
      </c>
      <c r="R7" s="363">
        <f>MIN(Thickness!R7:R9)</f>
        <v>0.28899999999999998</v>
      </c>
      <c r="S7" s="366">
        <f>MIN(Thickness!S7:S9)</f>
        <v>0.29699999999999999</v>
      </c>
      <c r="T7" s="360">
        <f>MIN(Thickness!T7:T9)</f>
        <v>0.309</v>
      </c>
      <c r="U7" s="360">
        <f>MIN(Thickness!U7:U9)</f>
        <v>0.30299999999999999</v>
      </c>
      <c r="V7" s="360">
        <f>MIN(Thickness!V7:V9)</f>
        <v>0.30599999999999999</v>
      </c>
      <c r="W7" s="363">
        <f>MIN(Thickness!W7:W9)</f>
        <v>0.30299999999999999</v>
      </c>
      <c r="X7" s="366">
        <f>MIN(Thickness!X7:X9)</f>
        <v>0.312</v>
      </c>
      <c r="Y7" s="360">
        <f>MIN(Thickness!Y7:Y9)</f>
        <v>0.30199999999999999</v>
      </c>
      <c r="Z7" s="360">
        <f>MIN(Thickness!Z7:Z9)</f>
        <v>0.29199999999999998</v>
      </c>
      <c r="AA7" s="360">
        <f>MIN(Thickness!AA7:AA9)</f>
        <v>0.30199999999999999</v>
      </c>
      <c r="AB7" s="363">
        <f>MIN(Thickness!AB7:AB9)</f>
        <v>0.307</v>
      </c>
      <c r="AC7" s="366">
        <f>MIN(Thickness!AC7:AC9)</f>
        <v>0.30599999999999999</v>
      </c>
      <c r="AD7" s="360">
        <f>MIN(Thickness!AD7:AD9)</f>
        <v>0.33100000000000002</v>
      </c>
      <c r="AE7" s="360">
        <f>MIN(Thickness!AE7:AE9)</f>
        <v>0.31900000000000001</v>
      </c>
      <c r="AF7" s="360">
        <f>MIN(Thickness!AF7:AF9)</f>
        <v>0.311</v>
      </c>
      <c r="AG7" s="363">
        <f>MIN(Thickness!AG7:AG9)</f>
        <v>0.30399999999999999</v>
      </c>
      <c r="AH7" s="366">
        <f>MIN(Thickness!AH7:AH9)</f>
        <v>0.31</v>
      </c>
      <c r="AI7" s="360">
        <f>MIN(Thickness!AI7:AI9)</f>
        <v>0.312</v>
      </c>
      <c r="AJ7" s="360">
        <f>MIN(Thickness!AJ7:AJ9)</f>
        <v>0.311</v>
      </c>
      <c r="AK7" s="360">
        <f>MIN(Thickness!AK7:AK9)</f>
        <v>0.30399999999999999</v>
      </c>
      <c r="AL7" s="363">
        <f>MIN(Thickness!AL7:AL9)</f>
        <v>0.318</v>
      </c>
      <c r="AM7" s="366">
        <f>MIN(Thickness!AM7:AM9)</f>
        <v>0.315</v>
      </c>
      <c r="AN7" s="360">
        <f>MIN(Thickness!AN7:AN9)</f>
        <v>0.3</v>
      </c>
      <c r="AO7" s="360">
        <f>MIN(Thickness!AO7:AO9)</f>
        <v>0.30399999999999999</v>
      </c>
      <c r="AP7" s="360">
        <f>MIN(Thickness!AP7:AP9)</f>
        <v>0.31</v>
      </c>
      <c r="AQ7" s="363">
        <f>MIN(Thickness!AQ7:AQ9)</f>
        <v>0.309</v>
      </c>
      <c r="AR7" s="366">
        <f>MIN(Thickness!AR7:AR9)</f>
        <v>0.3</v>
      </c>
      <c r="AS7" s="360">
        <f>MIN(Thickness!AS7:AS9)</f>
        <v>0.30299999999999999</v>
      </c>
      <c r="AT7" s="360">
        <f>MIN(Thickness!AT7:AT9)</f>
        <v>0.29299999999999998</v>
      </c>
      <c r="AU7" s="360">
        <f>MIN(Thickness!AU7:AU9)</f>
        <v>0.30199999999999999</v>
      </c>
      <c r="AV7" s="363">
        <f>MIN(Thickness!AV7:AV9)</f>
        <v>0.29299999999999998</v>
      </c>
      <c r="AW7" s="366">
        <f>MIN(Thickness!AW7:AW9)</f>
        <v>0.30099999999999999</v>
      </c>
      <c r="AX7" s="360">
        <f>MIN(Thickness!AX7:AX9)</f>
        <v>0.28399999999999997</v>
      </c>
      <c r="AY7" s="360">
        <f>MIN(Thickness!AY7:AY9)</f>
        <v>0.29699999999999999</v>
      </c>
      <c r="AZ7" s="360">
        <f>MIN(Thickness!AZ7:AZ9)</f>
        <v>0.29399999999999998</v>
      </c>
      <c r="BA7" s="363">
        <f>MIN(Thickness!BA7:BA9)</f>
        <v>0.28799999999999998</v>
      </c>
      <c r="BB7" s="366">
        <f>MIN(Thickness!BB7:BB9)</f>
        <v>0.29199999999999998</v>
      </c>
      <c r="BC7" s="360">
        <f>MIN(Thickness!BC7:BC9)</f>
        <v>0.30599999999999999</v>
      </c>
      <c r="BD7" s="360">
        <f>MIN(Thickness!BD7:BD9)</f>
        <v>0.29899999999999999</v>
      </c>
      <c r="BE7" s="360">
        <f>MIN(Thickness!BE7:BE9)</f>
        <v>0.3</v>
      </c>
      <c r="BF7" s="363">
        <f>MIN(Thickness!BF7:BF9)</f>
        <v>0.30499999999999999</v>
      </c>
      <c r="BG7" s="366">
        <f>MIN(Thickness!BG7:BG9)</f>
        <v>0.308</v>
      </c>
      <c r="BH7" s="360">
        <f>MIN(Thickness!BH7:BH9)</f>
        <v>0.309</v>
      </c>
      <c r="BI7" s="360">
        <f>MIN(Thickness!BI7:BI9)</f>
        <v>0.317</v>
      </c>
      <c r="BJ7" s="360">
        <f>MIN(Thickness!BJ7:BJ9)</f>
        <v>0.317</v>
      </c>
      <c r="BK7" s="363">
        <f>MIN(Thickness!BK7:BK9)</f>
        <v>0.29899999999999999</v>
      </c>
      <c r="BL7" s="366">
        <f>MIN(Thickness!BL7:BL9)</f>
        <v>0.29699999999999999</v>
      </c>
      <c r="BM7" s="363">
        <f>MIN(Thickness!BM7:BM9)</f>
        <v>0.29899999999999999</v>
      </c>
      <c r="BN7" s="141">
        <f t="shared" ref="BN7:BN9" si="2">IFERROR(AVERAGE(D7:BM9),0)</f>
        <v>0.30520967741935484</v>
      </c>
      <c r="BO7" s="141">
        <f t="shared" ref="BO7:BO9" si="3">MIN(D7:BM9)</f>
        <v>0.28399999999999997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23"/>
      <c r="FQ7" s="3"/>
      <c r="FR7" s="3"/>
      <c r="FS7" s="3"/>
      <c r="FT7" s="3"/>
      <c r="FU7" s="3"/>
      <c r="FV7" s="3"/>
      <c r="FW7" s="3"/>
      <c r="FX7" s="3"/>
      <c r="FY7" s="3"/>
      <c r="FZ7" s="3"/>
    </row>
    <row r="8" spans="1:182" s="5" customFormat="1" ht="39.950000000000003" customHeight="1" x14ac:dyDescent="0.2">
      <c r="A8" s="140">
        <v>8.3000000000000004E-2</v>
      </c>
      <c r="B8" s="7" t="s">
        <v>14</v>
      </c>
      <c r="C8" s="377"/>
      <c r="D8" s="388"/>
      <c r="E8" s="361"/>
      <c r="F8" s="361"/>
      <c r="G8" s="361"/>
      <c r="H8" s="364"/>
      <c r="I8" s="367"/>
      <c r="J8" s="361"/>
      <c r="K8" s="361"/>
      <c r="L8" s="361"/>
      <c r="M8" s="364"/>
      <c r="N8" s="367"/>
      <c r="O8" s="361"/>
      <c r="P8" s="361"/>
      <c r="Q8" s="361"/>
      <c r="R8" s="364"/>
      <c r="S8" s="367"/>
      <c r="T8" s="361"/>
      <c r="U8" s="361"/>
      <c r="V8" s="361"/>
      <c r="W8" s="364"/>
      <c r="X8" s="367"/>
      <c r="Y8" s="361"/>
      <c r="Z8" s="361"/>
      <c r="AA8" s="361"/>
      <c r="AB8" s="364"/>
      <c r="AC8" s="367"/>
      <c r="AD8" s="361"/>
      <c r="AE8" s="361"/>
      <c r="AF8" s="361"/>
      <c r="AG8" s="364"/>
      <c r="AH8" s="367"/>
      <c r="AI8" s="361"/>
      <c r="AJ8" s="361"/>
      <c r="AK8" s="361"/>
      <c r="AL8" s="364"/>
      <c r="AM8" s="367"/>
      <c r="AN8" s="361"/>
      <c r="AO8" s="361"/>
      <c r="AP8" s="361"/>
      <c r="AQ8" s="364"/>
      <c r="AR8" s="367"/>
      <c r="AS8" s="361"/>
      <c r="AT8" s="361"/>
      <c r="AU8" s="361"/>
      <c r="AV8" s="364"/>
      <c r="AW8" s="367"/>
      <c r="AX8" s="361"/>
      <c r="AY8" s="361"/>
      <c r="AZ8" s="361"/>
      <c r="BA8" s="364"/>
      <c r="BB8" s="367"/>
      <c r="BC8" s="361"/>
      <c r="BD8" s="361"/>
      <c r="BE8" s="361"/>
      <c r="BF8" s="364"/>
      <c r="BG8" s="367"/>
      <c r="BH8" s="361"/>
      <c r="BI8" s="361"/>
      <c r="BJ8" s="361"/>
      <c r="BK8" s="364"/>
      <c r="BL8" s="367"/>
      <c r="BM8" s="364"/>
      <c r="BN8" s="142">
        <f t="shared" si="2"/>
        <v>0.31276470588235294</v>
      </c>
      <c r="BO8" s="142">
        <f t="shared" si="3"/>
        <v>0.27700000000000002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23"/>
      <c r="FQ8" s="3"/>
      <c r="FR8" s="3"/>
      <c r="FS8" s="3"/>
      <c r="FT8" s="3"/>
      <c r="FU8" s="3"/>
      <c r="FV8" s="3"/>
      <c r="FW8" s="3"/>
      <c r="FX8" s="3"/>
      <c r="FY8" s="3"/>
      <c r="FZ8" s="3"/>
    </row>
    <row r="9" spans="1:182" s="5" customFormat="1" ht="39.950000000000003" customHeight="1" x14ac:dyDescent="0.2">
      <c r="A9" s="140"/>
      <c r="B9" s="8"/>
      <c r="C9" s="377"/>
      <c r="D9" s="389"/>
      <c r="E9" s="362"/>
      <c r="F9" s="362"/>
      <c r="G9" s="362"/>
      <c r="H9" s="365"/>
      <c r="I9" s="368"/>
      <c r="J9" s="362"/>
      <c r="K9" s="362"/>
      <c r="L9" s="362"/>
      <c r="M9" s="365"/>
      <c r="N9" s="368"/>
      <c r="O9" s="362"/>
      <c r="P9" s="362"/>
      <c r="Q9" s="362"/>
      <c r="R9" s="365"/>
      <c r="S9" s="368"/>
      <c r="T9" s="362"/>
      <c r="U9" s="362"/>
      <c r="V9" s="362"/>
      <c r="W9" s="365"/>
      <c r="X9" s="368"/>
      <c r="Y9" s="362"/>
      <c r="Z9" s="362"/>
      <c r="AA9" s="362"/>
      <c r="AB9" s="365"/>
      <c r="AC9" s="368"/>
      <c r="AD9" s="362"/>
      <c r="AE9" s="362"/>
      <c r="AF9" s="362"/>
      <c r="AG9" s="365"/>
      <c r="AH9" s="368"/>
      <c r="AI9" s="362"/>
      <c r="AJ9" s="362"/>
      <c r="AK9" s="362"/>
      <c r="AL9" s="365"/>
      <c r="AM9" s="368"/>
      <c r="AN9" s="362"/>
      <c r="AO9" s="362"/>
      <c r="AP9" s="362"/>
      <c r="AQ9" s="365"/>
      <c r="AR9" s="368"/>
      <c r="AS9" s="362"/>
      <c r="AT9" s="362"/>
      <c r="AU9" s="362"/>
      <c r="AV9" s="365"/>
      <c r="AW9" s="368"/>
      <c r="AX9" s="362"/>
      <c r="AY9" s="362"/>
      <c r="AZ9" s="362"/>
      <c r="BA9" s="365"/>
      <c r="BB9" s="368"/>
      <c r="BC9" s="362"/>
      <c r="BD9" s="362"/>
      <c r="BE9" s="362"/>
      <c r="BF9" s="365"/>
      <c r="BG9" s="368"/>
      <c r="BH9" s="362"/>
      <c r="BI9" s="362"/>
      <c r="BJ9" s="362"/>
      <c r="BK9" s="365"/>
      <c r="BL9" s="368"/>
      <c r="BM9" s="365"/>
      <c r="BN9" s="143">
        <f t="shared" si="2"/>
        <v>0.31276470588235294</v>
      </c>
      <c r="BO9" s="143">
        <f t="shared" si="3"/>
        <v>0.27700000000000002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23"/>
      <c r="FQ9" s="3"/>
      <c r="FR9" s="3"/>
      <c r="FS9" s="3"/>
      <c r="FT9" s="3"/>
      <c r="FU9" s="3"/>
      <c r="FV9" s="3"/>
      <c r="FW9" s="3"/>
      <c r="FX9" s="3"/>
      <c r="FY9" s="3"/>
      <c r="FZ9" s="3"/>
    </row>
    <row r="10" spans="1:182" s="5" customFormat="1" ht="39.950000000000003" customHeight="1" x14ac:dyDescent="0.2">
      <c r="A10" s="10" t="s">
        <v>8</v>
      </c>
      <c r="B10" s="6"/>
      <c r="C10" s="376" t="s">
        <v>128</v>
      </c>
      <c r="D10" s="387" t="s">
        <v>13</v>
      </c>
      <c r="E10" s="360" t="s">
        <v>13</v>
      </c>
      <c r="F10" s="360" t="s">
        <v>13</v>
      </c>
      <c r="G10" s="360" t="s">
        <v>13</v>
      </c>
      <c r="H10" s="363">
        <f>MIN(Thickness!H10:H12)</f>
        <v>0.32300000000000001</v>
      </c>
      <c r="I10" s="366">
        <f>MIN(Thickness!I10:I12)</f>
        <v>0.32300000000000001</v>
      </c>
      <c r="J10" s="360">
        <f>MIN(Thickness!J10:J12)</f>
        <v>0.38100000000000001</v>
      </c>
      <c r="K10" s="360">
        <f>MIN(Thickness!K10:K12)</f>
        <v>0.27700000000000002</v>
      </c>
      <c r="L10" s="360">
        <f>MIN(Thickness!L10:L12)</f>
        <v>0.307</v>
      </c>
      <c r="M10" s="363">
        <f>MIN(Thickness!M10:M12)</f>
        <v>0.311</v>
      </c>
      <c r="N10" s="366">
        <f>MIN(Thickness!N10:N12)</f>
        <v>0.308</v>
      </c>
      <c r="O10" s="360">
        <f>MIN(Thickness!O10:O12)</f>
        <v>0.315</v>
      </c>
      <c r="P10" s="360">
        <f>MIN(Thickness!P10:P12)</f>
        <v>0.309</v>
      </c>
      <c r="Q10" s="360">
        <f>MIN(Thickness!Q10:Q12)</f>
        <v>0.316</v>
      </c>
      <c r="R10" s="363">
        <f>MIN(Thickness!R10:R12)</f>
        <v>0.29599999999999999</v>
      </c>
      <c r="S10" s="366">
        <f>MIN(Thickness!S10:S12)</f>
        <v>0.29199999999999998</v>
      </c>
      <c r="T10" s="360">
        <f>MIN(Thickness!T10:T12)</f>
        <v>0.32200000000000001</v>
      </c>
      <c r="U10" s="360">
        <f>MIN(Thickness!U10:U12)</f>
        <v>0.314</v>
      </c>
      <c r="V10" s="360">
        <f>MIN(Thickness!V10:V12)</f>
        <v>0.315</v>
      </c>
      <c r="W10" s="363">
        <f>MIN(Thickness!W10:W12)</f>
        <v>0.31</v>
      </c>
      <c r="X10" s="366">
        <f>MIN(Thickness!X10:X12)</f>
        <v>0.32200000000000001</v>
      </c>
      <c r="Y10" s="360">
        <f>MIN(Thickness!Y10:Y12)</f>
        <v>0.33</v>
      </c>
      <c r="Z10" s="360">
        <f>MIN(Thickness!Z10:Z12)</f>
        <v>0.308</v>
      </c>
      <c r="AA10" s="360">
        <f>MIN(Thickness!AA10:AA12)</f>
        <v>0.30599999999999999</v>
      </c>
      <c r="AB10" s="363" t="s">
        <v>13</v>
      </c>
      <c r="AC10" s="366">
        <f>MIN(Thickness!AC10:AC12)</f>
        <v>0.312</v>
      </c>
      <c r="AD10" s="360" t="s">
        <v>13</v>
      </c>
      <c r="AE10" s="360">
        <f>MIN(Thickness!AE10:AE12)</f>
        <v>0.32100000000000001</v>
      </c>
      <c r="AF10" s="360">
        <f>MIN(Thickness!AF10:AF12)</f>
        <v>0.33</v>
      </c>
      <c r="AG10" s="363">
        <f>MIN(Thickness!AG10:AG12)</f>
        <v>0.315</v>
      </c>
      <c r="AH10" s="366">
        <f>MIN(Thickness!AH10:AH12)</f>
        <v>0.315</v>
      </c>
      <c r="AI10" s="360">
        <f>MIN(Thickness!AI10:AI12)</f>
        <v>0.33</v>
      </c>
      <c r="AJ10" s="360" t="s">
        <v>13</v>
      </c>
      <c r="AK10" s="360">
        <f>MIN(Thickness!AK10:AK12)</f>
        <v>0.30399999999999999</v>
      </c>
      <c r="AL10" s="363">
        <f>MIN(Thickness!AL10:AL12)</f>
        <v>0.35399999999999998</v>
      </c>
      <c r="AM10" s="366">
        <f>MIN(Thickness!AM10:AM12)</f>
        <v>0.309</v>
      </c>
      <c r="AN10" s="360">
        <f>MIN(Thickness!AN10:AN12)</f>
        <v>0.314</v>
      </c>
      <c r="AO10" s="360">
        <f>MIN(Thickness!AO10:AO12)</f>
        <v>0.29899999999999999</v>
      </c>
      <c r="AP10" s="360">
        <f>MIN(Thickness!AP10:AP12)</f>
        <v>0.31</v>
      </c>
      <c r="AQ10" s="363">
        <f>MIN(Thickness!AQ10:AQ12)</f>
        <v>0.33200000000000002</v>
      </c>
      <c r="AR10" s="366">
        <f>MIN(Thickness!AR10:AR12)</f>
        <v>0.32100000000000001</v>
      </c>
      <c r="AS10" s="360">
        <f>MIN(Thickness!AS10:AS12)</f>
        <v>0.312</v>
      </c>
      <c r="AT10" s="360">
        <f>MIN(Thickness!AT10:AT12)</f>
        <v>0.31</v>
      </c>
      <c r="AU10" s="360">
        <f>MIN(Thickness!AU10:AU12)</f>
        <v>0.316</v>
      </c>
      <c r="AV10" s="363">
        <f>MIN(Thickness!AV10:AV12)</f>
        <v>0.313</v>
      </c>
      <c r="AW10" s="366">
        <f>MIN(Thickness!AW10:AW12)</f>
        <v>0.311</v>
      </c>
      <c r="AX10" s="360">
        <f>MIN(Thickness!AX10:AX12)</f>
        <v>0.308</v>
      </c>
      <c r="AY10" s="360">
        <f>MIN(Thickness!AY10:AY12)</f>
        <v>0.307</v>
      </c>
      <c r="AZ10" s="360">
        <f>MIN(Thickness!AZ10:AZ12)</f>
        <v>0.313</v>
      </c>
      <c r="BA10" s="363">
        <f>MIN(Thickness!BA10:BA12)</f>
        <v>0.318</v>
      </c>
      <c r="BB10" s="366">
        <f>MIN(Thickness!BB10:BB12)</f>
        <v>0.29499999999999998</v>
      </c>
      <c r="BC10" s="360">
        <f>MIN(Thickness!BC10:BC12)</f>
        <v>0.29499999999999998</v>
      </c>
      <c r="BD10" s="360">
        <f>MIN(Thickness!BD10:BD12)</f>
        <v>0.29699999999999999</v>
      </c>
      <c r="BE10" s="360">
        <f>MIN(Thickness!BE10:BE12)</f>
        <v>0.30199999999999999</v>
      </c>
      <c r="BF10" s="363">
        <f>MIN(Thickness!BF10:BF12)</f>
        <v>0.28899999999999998</v>
      </c>
      <c r="BG10" s="366">
        <f>MIN(Thickness!BG10:BG12)</f>
        <v>0.30099999999999999</v>
      </c>
      <c r="BH10" s="360">
        <f>MIN(Thickness!BH10:BH12)</f>
        <v>0.30099999999999999</v>
      </c>
      <c r="BI10" s="360" t="s">
        <v>13</v>
      </c>
      <c r="BJ10" s="360">
        <f>MIN(Thickness!BJ10:BJ12)</f>
        <v>0.312</v>
      </c>
      <c r="BK10" s="363" t="s">
        <v>13</v>
      </c>
      <c r="BL10" s="366" t="s">
        <v>13</v>
      </c>
      <c r="BM10" s="363" t="s">
        <v>13</v>
      </c>
      <c r="BN10" s="141">
        <f t="shared" ref="BN10:BN12" si="4">IFERROR(AVERAGE(D10:BM12),0)</f>
        <v>0.31276470588235294</v>
      </c>
      <c r="BO10" s="141">
        <f t="shared" ref="BO10:BO12" si="5">MIN(D10:BM12)</f>
        <v>0.27700000000000002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23"/>
      <c r="FQ10" s="3"/>
      <c r="FR10" s="3"/>
      <c r="FS10" s="3"/>
      <c r="FT10" s="3"/>
      <c r="FU10" s="3"/>
      <c r="FV10" s="3"/>
      <c r="FW10" s="3"/>
      <c r="FX10" s="3"/>
      <c r="FY10" s="3"/>
      <c r="FZ10" s="3"/>
    </row>
    <row r="11" spans="1:182" s="5" customFormat="1" ht="39.950000000000003" customHeight="1" x14ac:dyDescent="0.2">
      <c r="A11" s="140">
        <v>8.3000000000000004E-2</v>
      </c>
      <c r="B11" s="7" t="s">
        <v>15</v>
      </c>
      <c r="C11" s="377"/>
      <c r="D11" s="388" t="s">
        <v>13</v>
      </c>
      <c r="E11" s="361" t="s">
        <v>13</v>
      </c>
      <c r="F11" s="361" t="s">
        <v>13</v>
      </c>
      <c r="G11" s="361" t="s">
        <v>13</v>
      </c>
      <c r="H11" s="364"/>
      <c r="I11" s="367"/>
      <c r="J11" s="361"/>
      <c r="K11" s="361"/>
      <c r="L11" s="361"/>
      <c r="M11" s="364"/>
      <c r="N11" s="367"/>
      <c r="O11" s="361"/>
      <c r="P11" s="361"/>
      <c r="Q11" s="361"/>
      <c r="R11" s="364"/>
      <c r="S11" s="367"/>
      <c r="T11" s="361"/>
      <c r="U11" s="361"/>
      <c r="V11" s="361"/>
      <c r="W11" s="364"/>
      <c r="X11" s="367"/>
      <c r="Y11" s="361"/>
      <c r="Z11" s="361"/>
      <c r="AA11" s="361"/>
      <c r="AB11" s="364" t="s">
        <v>13</v>
      </c>
      <c r="AC11" s="367"/>
      <c r="AD11" s="361" t="s">
        <v>13</v>
      </c>
      <c r="AE11" s="361"/>
      <c r="AF11" s="361"/>
      <c r="AG11" s="364"/>
      <c r="AH11" s="367"/>
      <c r="AI11" s="361"/>
      <c r="AJ11" s="361" t="s">
        <v>13</v>
      </c>
      <c r="AK11" s="361"/>
      <c r="AL11" s="364"/>
      <c r="AM11" s="367"/>
      <c r="AN11" s="361"/>
      <c r="AO11" s="361"/>
      <c r="AP11" s="361"/>
      <c r="AQ11" s="364"/>
      <c r="AR11" s="367"/>
      <c r="AS11" s="361"/>
      <c r="AT11" s="361"/>
      <c r="AU11" s="361"/>
      <c r="AV11" s="364"/>
      <c r="AW11" s="367"/>
      <c r="AX11" s="361"/>
      <c r="AY11" s="361"/>
      <c r="AZ11" s="361"/>
      <c r="BA11" s="364"/>
      <c r="BB11" s="367"/>
      <c r="BC11" s="361"/>
      <c r="BD11" s="361"/>
      <c r="BE11" s="361"/>
      <c r="BF11" s="364"/>
      <c r="BG11" s="367"/>
      <c r="BH11" s="361"/>
      <c r="BI11" s="361" t="s">
        <v>13</v>
      </c>
      <c r="BJ11" s="361"/>
      <c r="BK11" s="364" t="s">
        <v>13</v>
      </c>
      <c r="BL11" s="367" t="s">
        <v>13</v>
      </c>
      <c r="BM11" s="364" t="s">
        <v>13</v>
      </c>
      <c r="BN11" s="142">
        <f t="shared" si="4"/>
        <v>0</v>
      </c>
      <c r="BO11" s="142">
        <f t="shared" si="5"/>
        <v>0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23"/>
      <c r="FQ11" s="3"/>
      <c r="FR11" s="3"/>
      <c r="FS11" s="3"/>
      <c r="FT11" s="3"/>
      <c r="FU11" s="3"/>
      <c r="FV11" s="3"/>
      <c r="FW11" s="3"/>
      <c r="FX11" s="3"/>
      <c r="FY11" s="3"/>
      <c r="FZ11" s="3"/>
    </row>
    <row r="12" spans="1:182" s="5" customFormat="1" ht="39.950000000000003" customHeight="1" x14ac:dyDescent="0.2">
      <c r="A12" s="140"/>
      <c r="B12" s="8"/>
      <c r="C12" s="377"/>
      <c r="D12" s="389" t="s">
        <v>13</v>
      </c>
      <c r="E12" s="362" t="s">
        <v>13</v>
      </c>
      <c r="F12" s="362" t="s">
        <v>13</v>
      </c>
      <c r="G12" s="362" t="s">
        <v>13</v>
      </c>
      <c r="H12" s="365"/>
      <c r="I12" s="368"/>
      <c r="J12" s="362"/>
      <c r="K12" s="362"/>
      <c r="L12" s="362"/>
      <c r="M12" s="365"/>
      <c r="N12" s="368"/>
      <c r="O12" s="362"/>
      <c r="P12" s="362"/>
      <c r="Q12" s="362"/>
      <c r="R12" s="365"/>
      <c r="S12" s="368"/>
      <c r="T12" s="362"/>
      <c r="U12" s="362"/>
      <c r="V12" s="362"/>
      <c r="W12" s="365"/>
      <c r="X12" s="368"/>
      <c r="Y12" s="362"/>
      <c r="Z12" s="362"/>
      <c r="AA12" s="362"/>
      <c r="AB12" s="365" t="s">
        <v>13</v>
      </c>
      <c r="AC12" s="368"/>
      <c r="AD12" s="362" t="s">
        <v>13</v>
      </c>
      <c r="AE12" s="362"/>
      <c r="AF12" s="362"/>
      <c r="AG12" s="365"/>
      <c r="AH12" s="368"/>
      <c r="AI12" s="362"/>
      <c r="AJ12" s="362" t="s">
        <v>13</v>
      </c>
      <c r="AK12" s="362"/>
      <c r="AL12" s="365"/>
      <c r="AM12" s="368"/>
      <c r="AN12" s="362"/>
      <c r="AO12" s="362"/>
      <c r="AP12" s="362"/>
      <c r="AQ12" s="365"/>
      <c r="AR12" s="368"/>
      <c r="AS12" s="362"/>
      <c r="AT12" s="362"/>
      <c r="AU12" s="362"/>
      <c r="AV12" s="365"/>
      <c r="AW12" s="368"/>
      <c r="AX12" s="362"/>
      <c r="AY12" s="362"/>
      <c r="AZ12" s="362"/>
      <c r="BA12" s="365"/>
      <c r="BB12" s="368"/>
      <c r="BC12" s="362"/>
      <c r="BD12" s="362"/>
      <c r="BE12" s="362"/>
      <c r="BF12" s="365"/>
      <c r="BG12" s="368"/>
      <c r="BH12" s="362"/>
      <c r="BI12" s="362" t="s">
        <v>13</v>
      </c>
      <c r="BJ12" s="362"/>
      <c r="BK12" s="365" t="s">
        <v>13</v>
      </c>
      <c r="BL12" s="368" t="s">
        <v>13</v>
      </c>
      <c r="BM12" s="365" t="s">
        <v>13</v>
      </c>
      <c r="BN12" s="143">
        <f t="shared" si="4"/>
        <v>0</v>
      </c>
      <c r="BO12" s="143">
        <f t="shared" si="5"/>
        <v>0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23"/>
      <c r="FQ12" s="3"/>
      <c r="FR12" s="3"/>
      <c r="FS12" s="3"/>
      <c r="FT12" s="3"/>
      <c r="FU12" s="3"/>
      <c r="FV12" s="3"/>
      <c r="FW12" s="3"/>
      <c r="FX12" s="3"/>
      <c r="FY12" s="3"/>
      <c r="FZ12" s="3"/>
    </row>
    <row r="13" spans="1:182" s="5" customFormat="1" ht="39.950000000000003" customHeight="1" x14ac:dyDescent="0.2">
      <c r="A13" s="10" t="s">
        <v>8</v>
      </c>
      <c r="B13" s="6"/>
      <c r="C13" s="376" t="s">
        <v>128</v>
      </c>
      <c r="D13" s="387" t="s">
        <v>13</v>
      </c>
      <c r="E13" s="360" t="s">
        <v>13</v>
      </c>
      <c r="F13" s="360" t="s">
        <v>13</v>
      </c>
      <c r="G13" s="360" t="s">
        <v>13</v>
      </c>
      <c r="H13" s="363" t="s">
        <v>13</v>
      </c>
      <c r="I13" s="366" t="s">
        <v>13</v>
      </c>
      <c r="J13" s="360" t="s">
        <v>13</v>
      </c>
      <c r="K13" s="360" t="s">
        <v>13</v>
      </c>
      <c r="L13" s="360" t="s">
        <v>13</v>
      </c>
      <c r="M13" s="363" t="s">
        <v>13</v>
      </c>
      <c r="N13" s="366" t="s">
        <v>13</v>
      </c>
      <c r="O13" s="360" t="s">
        <v>13</v>
      </c>
      <c r="P13" s="360" t="s">
        <v>13</v>
      </c>
      <c r="Q13" s="360" t="s">
        <v>13</v>
      </c>
      <c r="R13" s="363" t="s">
        <v>13</v>
      </c>
      <c r="S13" s="366" t="s">
        <v>13</v>
      </c>
      <c r="T13" s="360" t="s">
        <v>13</v>
      </c>
      <c r="U13" s="360" t="s">
        <v>13</v>
      </c>
      <c r="V13" s="360" t="s">
        <v>13</v>
      </c>
      <c r="W13" s="363" t="s">
        <v>13</v>
      </c>
      <c r="X13" s="366" t="s">
        <v>13</v>
      </c>
      <c r="Y13" s="360" t="s">
        <v>13</v>
      </c>
      <c r="Z13" s="360" t="s">
        <v>13</v>
      </c>
      <c r="AA13" s="360" t="s">
        <v>13</v>
      </c>
      <c r="AB13" s="363" t="s">
        <v>13</v>
      </c>
      <c r="AC13" s="366" t="s">
        <v>13</v>
      </c>
      <c r="AD13" s="360" t="s">
        <v>13</v>
      </c>
      <c r="AE13" s="360" t="s">
        <v>13</v>
      </c>
      <c r="AF13" s="360" t="s">
        <v>13</v>
      </c>
      <c r="AG13" s="363" t="s">
        <v>13</v>
      </c>
      <c r="AH13" s="366" t="s">
        <v>13</v>
      </c>
      <c r="AI13" s="360" t="s">
        <v>13</v>
      </c>
      <c r="AJ13" s="360" t="s">
        <v>13</v>
      </c>
      <c r="AK13" s="360" t="s">
        <v>13</v>
      </c>
      <c r="AL13" s="363" t="s">
        <v>13</v>
      </c>
      <c r="AM13" s="366" t="s">
        <v>13</v>
      </c>
      <c r="AN13" s="360" t="s">
        <v>13</v>
      </c>
      <c r="AO13" s="360" t="s">
        <v>13</v>
      </c>
      <c r="AP13" s="360" t="s">
        <v>13</v>
      </c>
      <c r="AQ13" s="363" t="s">
        <v>13</v>
      </c>
      <c r="AR13" s="366" t="s">
        <v>13</v>
      </c>
      <c r="AS13" s="360" t="s">
        <v>13</v>
      </c>
      <c r="AT13" s="360" t="s">
        <v>13</v>
      </c>
      <c r="AU13" s="360" t="s">
        <v>13</v>
      </c>
      <c r="AV13" s="363" t="s">
        <v>13</v>
      </c>
      <c r="AW13" s="366" t="s">
        <v>13</v>
      </c>
      <c r="AX13" s="360" t="s">
        <v>13</v>
      </c>
      <c r="AY13" s="360" t="s">
        <v>13</v>
      </c>
      <c r="AZ13" s="360" t="s">
        <v>13</v>
      </c>
      <c r="BA13" s="363" t="s">
        <v>13</v>
      </c>
      <c r="BB13" s="366" t="s">
        <v>13</v>
      </c>
      <c r="BC13" s="360" t="s">
        <v>13</v>
      </c>
      <c r="BD13" s="360" t="s">
        <v>13</v>
      </c>
      <c r="BE13" s="360" t="s">
        <v>13</v>
      </c>
      <c r="BF13" s="363" t="s">
        <v>13</v>
      </c>
      <c r="BG13" s="366" t="s">
        <v>13</v>
      </c>
      <c r="BH13" s="360" t="s">
        <v>13</v>
      </c>
      <c r="BI13" s="360" t="s">
        <v>13</v>
      </c>
      <c r="BJ13" s="360" t="s">
        <v>13</v>
      </c>
      <c r="BK13" s="363" t="s">
        <v>13</v>
      </c>
      <c r="BL13" s="366" t="s">
        <v>13</v>
      </c>
      <c r="BM13" s="363" t="s">
        <v>13</v>
      </c>
      <c r="BN13" s="141">
        <f t="shared" ref="BN13:BN15" si="6">IFERROR(AVERAGE(D13:BM15),0)</f>
        <v>0</v>
      </c>
      <c r="BO13" s="141">
        <f t="shared" ref="BO13:BO15" si="7">MIN(D13:BM15)</f>
        <v>0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23"/>
      <c r="FQ13" s="3"/>
      <c r="FR13" s="3"/>
      <c r="FS13" s="3"/>
      <c r="FT13" s="3"/>
      <c r="FU13" s="3"/>
      <c r="FV13" s="3"/>
      <c r="FW13" s="3"/>
      <c r="FX13" s="3"/>
      <c r="FY13" s="3"/>
      <c r="FZ13" s="3"/>
    </row>
    <row r="14" spans="1:182" s="5" customFormat="1" ht="39.950000000000003" customHeight="1" x14ac:dyDescent="0.2">
      <c r="A14" s="140">
        <v>8.3000000000000004E-2</v>
      </c>
      <c r="B14" s="7" t="s">
        <v>16</v>
      </c>
      <c r="C14" s="377"/>
      <c r="D14" s="388" t="s">
        <v>13</v>
      </c>
      <c r="E14" s="361" t="s">
        <v>13</v>
      </c>
      <c r="F14" s="361" t="s">
        <v>13</v>
      </c>
      <c r="G14" s="361" t="s">
        <v>13</v>
      </c>
      <c r="H14" s="364" t="s">
        <v>13</v>
      </c>
      <c r="I14" s="367" t="s">
        <v>13</v>
      </c>
      <c r="J14" s="361" t="s">
        <v>13</v>
      </c>
      <c r="K14" s="361" t="s">
        <v>13</v>
      </c>
      <c r="L14" s="361" t="s">
        <v>13</v>
      </c>
      <c r="M14" s="364" t="s">
        <v>13</v>
      </c>
      <c r="N14" s="367" t="s">
        <v>13</v>
      </c>
      <c r="O14" s="361" t="s">
        <v>13</v>
      </c>
      <c r="P14" s="361" t="s">
        <v>13</v>
      </c>
      <c r="Q14" s="361" t="s">
        <v>13</v>
      </c>
      <c r="R14" s="364" t="s">
        <v>13</v>
      </c>
      <c r="S14" s="367" t="s">
        <v>13</v>
      </c>
      <c r="T14" s="361" t="s">
        <v>13</v>
      </c>
      <c r="U14" s="361" t="s">
        <v>13</v>
      </c>
      <c r="V14" s="361" t="s">
        <v>13</v>
      </c>
      <c r="W14" s="364" t="s">
        <v>13</v>
      </c>
      <c r="X14" s="367" t="s">
        <v>13</v>
      </c>
      <c r="Y14" s="361" t="s">
        <v>13</v>
      </c>
      <c r="Z14" s="361" t="s">
        <v>13</v>
      </c>
      <c r="AA14" s="361" t="s">
        <v>13</v>
      </c>
      <c r="AB14" s="364" t="s">
        <v>13</v>
      </c>
      <c r="AC14" s="367" t="s">
        <v>13</v>
      </c>
      <c r="AD14" s="361" t="s">
        <v>13</v>
      </c>
      <c r="AE14" s="361" t="s">
        <v>13</v>
      </c>
      <c r="AF14" s="361" t="s">
        <v>13</v>
      </c>
      <c r="AG14" s="364" t="s">
        <v>13</v>
      </c>
      <c r="AH14" s="367" t="s">
        <v>13</v>
      </c>
      <c r="AI14" s="361" t="s">
        <v>13</v>
      </c>
      <c r="AJ14" s="361" t="s">
        <v>13</v>
      </c>
      <c r="AK14" s="361" t="s">
        <v>13</v>
      </c>
      <c r="AL14" s="364" t="s">
        <v>13</v>
      </c>
      <c r="AM14" s="367" t="s">
        <v>13</v>
      </c>
      <c r="AN14" s="361" t="s">
        <v>13</v>
      </c>
      <c r="AO14" s="361" t="s">
        <v>13</v>
      </c>
      <c r="AP14" s="361" t="s">
        <v>13</v>
      </c>
      <c r="AQ14" s="364" t="s">
        <v>13</v>
      </c>
      <c r="AR14" s="367" t="s">
        <v>13</v>
      </c>
      <c r="AS14" s="361" t="s">
        <v>13</v>
      </c>
      <c r="AT14" s="361" t="s">
        <v>13</v>
      </c>
      <c r="AU14" s="361" t="s">
        <v>13</v>
      </c>
      <c r="AV14" s="364" t="s">
        <v>13</v>
      </c>
      <c r="AW14" s="367" t="s">
        <v>13</v>
      </c>
      <c r="AX14" s="361" t="s">
        <v>13</v>
      </c>
      <c r="AY14" s="361" t="s">
        <v>13</v>
      </c>
      <c r="AZ14" s="361" t="s">
        <v>13</v>
      </c>
      <c r="BA14" s="364" t="s">
        <v>13</v>
      </c>
      <c r="BB14" s="367" t="s">
        <v>13</v>
      </c>
      <c r="BC14" s="361" t="s">
        <v>13</v>
      </c>
      <c r="BD14" s="361" t="s">
        <v>13</v>
      </c>
      <c r="BE14" s="361" t="s">
        <v>13</v>
      </c>
      <c r="BF14" s="364" t="s">
        <v>13</v>
      </c>
      <c r="BG14" s="367" t="s">
        <v>13</v>
      </c>
      <c r="BH14" s="361" t="s">
        <v>13</v>
      </c>
      <c r="BI14" s="361" t="s">
        <v>13</v>
      </c>
      <c r="BJ14" s="361" t="s">
        <v>13</v>
      </c>
      <c r="BK14" s="364" t="s">
        <v>13</v>
      </c>
      <c r="BL14" s="367" t="s">
        <v>13</v>
      </c>
      <c r="BM14" s="364" t="s">
        <v>13</v>
      </c>
      <c r="BN14" s="142">
        <f t="shared" si="6"/>
        <v>31.5</v>
      </c>
      <c r="BO14" s="142">
        <f t="shared" si="7"/>
        <v>1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23"/>
      <c r="FQ14" s="3"/>
      <c r="FR14" s="3"/>
      <c r="FS14" s="3"/>
      <c r="FT14" s="3"/>
      <c r="FU14" s="3"/>
      <c r="FV14" s="3"/>
      <c r="FW14" s="3"/>
      <c r="FX14" s="3"/>
      <c r="FY14" s="3"/>
      <c r="FZ14" s="3"/>
    </row>
    <row r="15" spans="1:182" s="5" customFormat="1" ht="39.950000000000003" customHeight="1" x14ac:dyDescent="0.2">
      <c r="A15" s="140"/>
      <c r="B15" s="8"/>
      <c r="C15" s="377"/>
      <c r="D15" s="389" t="s">
        <v>13</v>
      </c>
      <c r="E15" s="362" t="s">
        <v>13</v>
      </c>
      <c r="F15" s="362" t="s">
        <v>13</v>
      </c>
      <c r="G15" s="362" t="s">
        <v>13</v>
      </c>
      <c r="H15" s="365" t="s">
        <v>13</v>
      </c>
      <c r="I15" s="368" t="s">
        <v>13</v>
      </c>
      <c r="J15" s="362" t="s">
        <v>13</v>
      </c>
      <c r="K15" s="362" t="s">
        <v>13</v>
      </c>
      <c r="L15" s="362" t="s">
        <v>13</v>
      </c>
      <c r="M15" s="365" t="s">
        <v>13</v>
      </c>
      <c r="N15" s="368" t="s">
        <v>13</v>
      </c>
      <c r="O15" s="362" t="s">
        <v>13</v>
      </c>
      <c r="P15" s="362" t="s">
        <v>13</v>
      </c>
      <c r="Q15" s="362" t="s">
        <v>13</v>
      </c>
      <c r="R15" s="365" t="s">
        <v>13</v>
      </c>
      <c r="S15" s="368" t="s">
        <v>13</v>
      </c>
      <c r="T15" s="362" t="s">
        <v>13</v>
      </c>
      <c r="U15" s="362" t="s">
        <v>13</v>
      </c>
      <c r="V15" s="362" t="s">
        <v>13</v>
      </c>
      <c r="W15" s="365" t="s">
        <v>13</v>
      </c>
      <c r="X15" s="368" t="s">
        <v>13</v>
      </c>
      <c r="Y15" s="362" t="s">
        <v>13</v>
      </c>
      <c r="Z15" s="362" t="s">
        <v>13</v>
      </c>
      <c r="AA15" s="362" t="s">
        <v>13</v>
      </c>
      <c r="AB15" s="365" t="s">
        <v>13</v>
      </c>
      <c r="AC15" s="368" t="s">
        <v>13</v>
      </c>
      <c r="AD15" s="362" t="s">
        <v>13</v>
      </c>
      <c r="AE15" s="362" t="s">
        <v>13</v>
      </c>
      <c r="AF15" s="362" t="s">
        <v>13</v>
      </c>
      <c r="AG15" s="365" t="s">
        <v>13</v>
      </c>
      <c r="AH15" s="368" t="s">
        <v>13</v>
      </c>
      <c r="AI15" s="362" t="s">
        <v>13</v>
      </c>
      <c r="AJ15" s="362" t="s">
        <v>13</v>
      </c>
      <c r="AK15" s="362" t="s">
        <v>13</v>
      </c>
      <c r="AL15" s="365" t="s">
        <v>13</v>
      </c>
      <c r="AM15" s="368" t="s">
        <v>13</v>
      </c>
      <c r="AN15" s="362" t="s">
        <v>13</v>
      </c>
      <c r="AO15" s="362" t="s">
        <v>13</v>
      </c>
      <c r="AP15" s="362" t="s">
        <v>13</v>
      </c>
      <c r="AQ15" s="365" t="s">
        <v>13</v>
      </c>
      <c r="AR15" s="368" t="s">
        <v>13</v>
      </c>
      <c r="AS15" s="362" t="s">
        <v>13</v>
      </c>
      <c r="AT15" s="362" t="s">
        <v>13</v>
      </c>
      <c r="AU15" s="362" t="s">
        <v>13</v>
      </c>
      <c r="AV15" s="365" t="s">
        <v>13</v>
      </c>
      <c r="AW15" s="368" t="s">
        <v>13</v>
      </c>
      <c r="AX15" s="362" t="s">
        <v>13</v>
      </c>
      <c r="AY15" s="362" t="s">
        <v>13</v>
      </c>
      <c r="AZ15" s="362" t="s">
        <v>13</v>
      </c>
      <c r="BA15" s="365" t="s">
        <v>13</v>
      </c>
      <c r="BB15" s="368" t="s">
        <v>13</v>
      </c>
      <c r="BC15" s="362" t="s">
        <v>13</v>
      </c>
      <c r="BD15" s="362" t="s">
        <v>13</v>
      </c>
      <c r="BE15" s="362" t="s">
        <v>13</v>
      </c>
      <c r="BF15" s="365" t="s">
        <v>13</v>
      </c>
      <c r="BG15" s="368" t="s">
        <v>13</v>
      </c>
      <c r="BH15" s="362" t="s">
        <v>13</v>
      </c>
      <c r="BI15" s="362" t="s">
        <v>13</v>
      </c>
      <c r="BJ15" s="362" t="s">
        <v>13</v>
      </c>
      <c r="BK15" s="365" t="s">
        <v>13</v>
      </c>
      <c r="BL15" s="368" t="s">
        <v>13</v>
      </c>
      <c r="BM15" s="365" t="s">
        <v>13</v>
      </c>
      <c r="BN15" s="143">
        <f t="shared" si="6"/>
        <v>31.5</v>
      </c>
      <c r="BO15" s="143">
        <f t="shared" si="7"/>
        <v>1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23"/>
      <c r="FQ15" s="3"/>
      <c r="FR15" s="3"/>
      <c r="FS15" s="3"/>
      <c r="FT15" s="3"/>
      <c r="FU15" s="3"/>
      <c r="FV15" s="3"/>
      <c r="FW15" s="3"/>
      <c r="FX15" s="3"/>
      <c r="FY15" s="3"/>
      <c r="FZ15" s="3"/>
    </row>
    <row r="16" spans="1:182" s="5" customFormat="1" ht="36" customHeight="1" x14ac:dyDescent="0.2">
      <c r="A16" s="144" t="s">
        <v>4</v>
      </c>
      <c r="B16" s="145"/>
      <c r="C16" s="18" t="s">
        <v>5</v>
      </c>
      <c r="D16" s="85">
        <v>1</v>
      </c>
      <c r="E16" s="86">
        <v>2</v>
      </c>
      <c r="F16" s="86">
        <v>3</v>
      </c>
      <c r="G16" s="86">
        <v>4</v>
      </c>
      <c r="H16" s="86">
        <v>5</v>
      </c>
      <c r="I16" s="86">
        <v>6</v>
      </c>
      <c r="J16" s="86">
        <v>7</v>
      </c>
      <c r="K16" s="86">
        <v>8</v>
      </c>
      <c r="L16" s="86">
        <v>9</v>
      </c>
      <c r="M16" s="86">
        <v>10</v>
      </c>
      <c r="N16" s="86">
        <v>11</v>
      </c>
      <c r="O16" s="86">
        <v>12</v>
      </c>
      <c r="P16" s="86">
        <v>13</v>
      </c>
      <c r="Q16" s="86">
        <v>14</v>
      </c>
      <c r="R16" s="86">
        <v>15</v>
      </c>
      <c r="S16" s="86">
        <v>16</v>
      </c>
      <c r="T16" s="86">
        <v>17</v>
      </c>
      <c r="U16" s="86">
        <v>18</v>
      </c>
      <c r="V16" s="86">
        <v>19</v>
      </c>
      <c r="W16" s="86">
        <v>20</v>
      </c>
      <c r="X16" s="86">
        <v>21</v>
      </c>
      <c r="Y16" s="86">
        <v>22</v>
      </c>
      <c r="Z16" s="86">
        <v>23</v>
      </c>
      <c r="AA16" s="86">
        <v>24</v>
      </c>
      <c r="AB16" s="86">
        <v>25</v>
      </c>
      <c r="AC16" s="86">
        <v>26</v>
      </c>
      <c r="AD16" s="86">
        <v>27</v>
      </c>
      <c r="AE16" s="86">
        <v>28</v>
      </c>
      <c r="AF16" s="86">
        <v>29</v>
      </c>
      <c r="AG16" s="86">
        <v>30</v>
      </c>
      <c r="AH16" s="86">
        <v>31</v>
      </c>
      <c r="AI16" s="86">
        <v>32</v>
      </c>
      <c r="AJ16" s="86">
        <v>33</v>
      </c>
      <c r="AK16" s="86">
        <v>34</v>
      </c>
      <c r="AL16" s="86">
        <v>35</v>
      </c>
      <c r="AM16" s="86">
        <v>36</v>
      </c>
      <c r="AN16" s="86">
        <v>37</v>
      </c>
      <c r="AO16" s="86">
        <v>38</v>
      </c>
      <c r="AP16" s="86">
        <v>39</v>
      </c>
      <c r="AQ16" s="86">
        <v>40</v>
      </c>
      <c r="AR16" s="86">
        <v>41</v>
      </c>
      <c r="AS16" s="86">
        <v>42</v>
      </c>
      <c r="AT16" s="86">
        <v>43</v>
      </c>
      <c r="AU16" s="86">
        <v>44</v>
      </c>
      <c r="AV16" s="86">
        <v>45</v>
      </c>
      <c r="AW16" s="86">
        <v>46</v>
      </c>
      <c r="AX16" s="86">
        <v>47</v>
      </c>
      <c r="AY16" s="86">
        <v>48</v>
      </c>
      <c r="AZ16" s="86">
        <v>49</v>
      </c>
      <c r="BA16" s="86">
        <v>50</v>
      </c>
      <c r="BB16" s="86">
        <v>51</v>
      </c>
      <c r="BC16" s="86">
        <v>52</v>
      </c>
      <c r="BD16" s="86">
        <v>53</v>
      </c>
      <c r="BE16" s="86">
        <v>54</v>
      </c>
      <c r="BF16" s="86">
        <v>55</v>
      </c>
      <c r="BG16" s="86">
        <v>56</v>
      </c>
      <c r="BH16" s="86">
        <v>57</v>
      </c>
      <c r="BI16" s="86">
        <v>58</v>
      </c>
      <c r="BJ16" s="86">
        <v>59</v>
      </c>
      <c r="BK16" s="86">
        <v>60</v>
      </c>
      <c r="BL16" s="86">
        <v>61</v>
      </c>
      <c r="BM16" s="87">
        <v>62</v>
      </c>
      <c r="BN16" s="29" t="s">
        <v>6</v>
      </c>
      <c r="BO16" s="30" t="s">
        <v>7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23"/>
      <c r="FQ16" s="3"/>
      <c r="FR16" s="3"/>
      <c r="FS16" s="3"/>
      <c r="FT16" s="3"/>
      <c r="FU16" s="3"/>
      <c r="FV16" s="3"/>
      <c r="FW16" s="3"/>
      <c r="FX16" s="3"/>
      <c r="FY16" s="3"/>
      <c r="FZ16" s="3"/>
    </row>
    <row r="17" spans="1:182" s="5" customFormat="1" ht="36" hidden="1" customHeight="1" x14ac:dyDescent="0.2">
      <c r="A17" s="13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23"/>
      <c r="FQ17" s="3"/>
      <c r="FR17" s="3"/>
      <c r="FS17" s="3"/>
      <c r="FT17" s="3"/>
      <c r="FU17" s="3"/>
      <c r="FV17" s="3"/>
      <c r="FW17" s="3"/>
      <c r="FX17" s="3"/>
      <c r="FY17" s="3"/>
      <c r="FZ17" s="3"/>
    </row>
    <row r="18" spans="1:182" s="5" customFormat="1" ht="36" hidden="1" customHeight="1" x14ac:dyDescent="0.2">
      <c r="A18" s="13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23"/>
      <c r="FQ18" s="3"/>
      <c r="FR18" s="3"/>
      <c r="FS18" s="3"/>
      <c r="FT18" s="3"/>
      <c r="FU18" s="3"/>
      <c r="FV18" s="3"/>
      <c r="FW18" s="3"/>
      <c r="FX18" s="3"/>
      <c r="FY18" s="3"/>
      <c r="FZ18" s="3"/>
    </row>
    <row r="19" spans="1:182" s="5" customFormat="1" ht="36" hidden="1" customHeight="1" x14ac:dyDescent="0.2">
      <c r="A19" s="1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23"/>
      <c r="FQ19" s="3"/>
      <c r="FR19" s="3"/>
      <c r="FS19" s="3"/>
      <c r="FT19" s="3"/>
      <c r="FU19" s="3"/>
      <c r="FV19" s="3"/>
      <c r="FW19" s="3"/>
      <c r="FX19" s="3"/>
      <c r="FY19" s="3"/>
      <c r="FZ19" s="3"/>
    </row>
    <row r="20" spans="1:182" s="5" customFormat="1" ht="36" hidden="1" customHeight="1" x14ac:dyDescent="0.2">
      <c r="A20" s="13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23"/>
      <c r="FQ20" s="3"/>
      <c r="FR20" s="3"/>
      <c r="FS20" s="3"/>
      <c r="FT20" s="3"/>
      <c r="FU20" s="3"/>
      <c r="FV20" s="3"/>
      <c r="FW20" s="3"/>
      <c r="FX20" s="3"/>
      <c r="FY20" s="3"/>
      <c r="FZ20" s="3"/>
    </row>
    <row r="21" spans="1:182" s="5" customFormat="1" ht="36" hidden="1" customHeight="1" x14ac:dyDescent="0.2">
      <c r="A21" s="13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23"/>
      <c r="FQ21" s="3"/>
      <c r="FR21" s="3"/>
      <c r="FS21" s="3"/>
      <c r="FT21" s="3"/>
      <c r="FU21" s="3"/>
      <c r="FV21" s="3"/>
      <c r="FW21" s="3"/>
      <c r="FX21" s="3"/>
      <c r="FY21" s="3"/>
      <c r="FZ21" s="3"/>
    </row>
    <row r="22" spans="1:182" s="5" customFormat="1" ht="36" hidden="1" customHeight="1" x14ac:dyDescent="0.2">
      <c r="A22" s="13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23"/>
      <c r="FQ22" s="3"/>
      <c r="FR22" s="3"/>
      <c r="FS22" s="3"/>
      <c r="FT22" s="3"/>
      <c r="FU22" s="3"/>
      <c r="FV22" s="3"/>
      <c r="FW22" s="3"/>
      <c r="FX22" s="3"/>
      <c r="FY22" s="3"/>
      <c r="FZ22" s="3"/>
    </row>
    <row r="23" spans="1:182" s="5" customFormat="1" ht="36" hidden="1" customHeight="1" x14ac:dyDescent="0.2">
      <c r="A23" s="1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23"/>
      <c r="FQ23" s="3"/>
      <c r="FR23" s="3"/>
      <c r="FS23" s="3"/>
      <c r="FT23" s="3"/>
      <c r="FU23" s="3"/>
      <c r="FV23" s="3"/>
      <c r="FW23" s="3"/>
      <c r="FX23" s="3"/>
      <c r="FY23" s="3"/>
      <c r="FZ23" s="3"/>
    </row>
    <row r="24" spans="1:182" s="5" customFormat="1" ht="36" hidden="1" customHeight="1" x14ac:dyDescent="0.2">
      <c r="A24" s="13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23"/>
      <c r="FQ24" s="3"/>
      <c r="FR24" s="3"/>
      <c r="FS24" s="3"/>
      <c r="FT24" s="3"/>
      <c r="FU24" s="3"/>
      <c r="FV24" s="3"/>
      <c r="FW24" s="3"/>
      <c r="FX24" s="3"/>
      <c r="FY24" s="3"/>
      <c r="FZ24" s="3"/>
    </row>
    <row r="25" spans="1:182" s="5" customFormat="1" ht="36" hidden="1" customHeight="1" x14ac:dyDescent="0.2">
      <c r="A25" s="13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23"/>
      <c r="FQ25" s="3"/>
      <c r="FR25" s="3"/>
      <c r="FS25" s="3"/>
      <c r="FT25" s="3"/>
      <c r="FU25" s="3"/>
      <c r="FV25" s="3"/>
      <c r="FW25" s="3"/>
      <c r="FX25" s="3"/>
      <c r="FY25" s="3"/>
      <c r="FZ25" s="3"/>
    </row>
    <row r="26" spans="1:182" s="5" customFormat="1" ht="36" hidden="1" customHeight="1" x14ac:dyDescent="0.2">
      <c r="A26" s="13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23"/>
      <c r="FQ26" s="3"/>
      <c r="FR26" s="3"/>
      <c r="FS26" s="3"/>
      <c r="FT26" s="3"/>
      <c r="FU26" s="3"/>
      <c r="FV26" s="3"/>
      <c r="FW26" s="3"/>
      <c r="FX26" s="3"/>
      <c r="FY26" s="3"/>
      <c r="FZ26" s="3"/>
    </row>
    <row r="27" spans="1:182" s="5" customFormat="1" ht="36" hidden="1" customHeight="1" x14ac:dyDescent="0.2">
      <c r="A27" s="13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23"/>
      <c r="FQ27" s="3"/>
      <c r="FR27" s="3"/>
      <c r="FS27" s="3"/>
      <c r="FT27" s="3"/>
      <c r="FU27" s="3"/>
      <c r="FV27" s="3"/>
      <c r="FW27" s="3"/>
      <c r="FX27" s="3"/>
      <c r="FY27" s="3"/>
      <c r="FZ27" s="3"/>
    </row>
    <row r="28" spans="1:182" s="5" customFormat="1" ht="36" hidden="1" customHeight="1" x14ac:dyDescent="0.2">
      <c r="A28" s="13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23"/>
    </row>
    <row r="29" spans="1:182" s="5" customFormat="1" ht="36" hidden="1" customHeight="1" x14ac:dyDescent="0.2">
      <c r="A29" s="13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23"/>
      <c r="FQ29" s="3"/>
      <c r="FR29" s="3"/>
      <c r="FS29" s="3"/>
      <c r="FT29" s="3"/>
      <c r="FU29" s="3"/>
      <c r="FV29" s="3"/>
      <c r="FW29" s="3"/>
      <c r="FX29" s="3"/>
      <c r="FY29" s="3"/>
      <c r="FZ29" s="3"/>
    </row>
    <row r="30" spans="1:182" s="5" customFormat="1" ht="36" hidden="1" customHeight="1" x14ac:dyDescent="0.2">
      <c r="A30" s="13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23"/>
      <c r="FQ30" s="3"/>
      <c r="FR30" s="3"/>
      <c r="FS30" s="3"/>
      <c r="FT30" s="3"/>
      <c r="FU30" s="3"/>
      <c r="FV30" s="3"/>
      <c r="FW30" s="3"/>
      <c r="FX30" s="3"/>
      <c r="FY30" s="3"/>
      <c r="FZ30" s="3"/>
    </row>
    <row r="31" spans="1:182" s="5" customFormat="1" ht="36" hidden="1" customHeight="1" x14ac:dyDescent="0.2">
      <c r="A31" s="13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23"/>
      <c r="FQ31" s="3"/>
      <c r="FR31" s="3"/>
      <c r="FS31" s="3"/>
      <c r="FT31" s="3"/>
      <c r="FU31" s="3"/>
      <c r="FV31" s="3"/>
      <c r="FW31" s="3"/>
      <c r="FX31" s="3"/>
      <c r="FY31" s="3"/>
      <c r="FZ31" s="3"/>
    </row>
    <row r="32" spans="1:182" s="5" customFormat="1" ht="36" hidden="1" customHeight="1" x14ac:dyDescent="0.2">
      <c r="A32" s="13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23"/>
      <c r="FQ32" s="3"/>
      <c r="FR32" s="3"/>
      <c r="FS32" s="3"/>
      <c r="FT32" s="3"/>
      <c r="FU32" s="3"/>
      <c r="FV32" s="3"/>
      <c r="FW32" s="3"/>
      <c r="FX32" s="3"/>
      <c r="FY32" s="3"/>
      <c r="FZ32" s="3"/>
    </row>
    <row r="33" spans="1:182" s="5" customFormat="1" ht="36" hidden="1" customHeight="1" x14ac:dyDescent="0.2">
      <c r="A33" s="13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23"/>
      <c r="FQ33" s="3"/>
      <c r="FR33" s="3"/>
      <c r="FS33" s="3"/>
      <c r="FT33" s="3"/>
      <c r="FU33" s="3"/>
      <c r="FV33" s="3"/>
      <c r="FW33" s="3"/>
      <c r="FX33" s="3"/>
      <c r="FY33" s="3"/>
      <c r="FZ33" s="3"/>
    </row>
    <row r="34" spans="1:182" s="5" customFormat="1" ht="36" hidden="1" customHeight="1" x14ac:dyDescent="0.2">
      <c r="A34" s="13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23"/>
      <c r="FQ34" s="3"/>
      <c r="FR34" s="3"/>
      <c r="FS34" s="3"/>
      <c r="FT34" s="3"/>
      <c r="FU34" s="3"/>
      <c r="FV34" s="3"/>
      <c r="FW34" s="3"/>
      <c r="FX34" s="3"/>
      <c r="FY34" s="3"/>
      <c r="FZ34" s="3"/>
    </row>
    <row r="35" spans="1:182" s="5" customFormat="1" ht="36" hidden="1" customHeight="1" x14ac:dyDescent="0.2">
      <c r="A35" s="13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23"/>
      <c r="FQ35" s="3"/>
      <c r="FR35" s="3"/>
      <c r="FS35" s="3"/>
      <c r="FT35" s="3"/>
      <c r="FU35" s="3"/>
      <c r="FV35" s="3"/>
      <c r="FW35" s="3"/>
      <c r="FX35" s="3"/>
      <c r="FY35" s="3"/>
      <c r="FZ35" s="3"/>
    </row>
    <row r="36" spans="1:182" s="5" customFormat="1" ht="36" hidden="1" customHeight="1" x14ac:dyDescent="0.2">
      <c r="A36" s="13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23"/>
      <c r="FQ36" s="3"/>
      <c r="FR36" s="3"/>
      <c r="FS36" s="3"/>
      <c r="FT36" s="3"/>
      <c r="FU36" s="3"/>
      <c r="FV36" s="3"/>
      <c r="FW36" s="3"/>
      <c r="FX36" s="3"/>
      <c r="FY36" s="3"/>
      <c r="FZ36" s="3"/>
    </row>
    <row r="37" spans="1:182" s="5" customFormat="1" ht="36" hidden="1" customHeight="1" x14ac:dyDescent="0.2">
      <c r="A37" s="13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23"/>
      <c r="FQ37" s="3"/>
      <c r="FR37" s="3"/>
      <c r="FS37" s="3"/>
      <c r="FT37" s="3"/>
      <c r="FU37" s="3"/>
      <c r="FV37" s="3"/>
      <c r="FW37" s="3"/>
      <c r="FX37" s="3"/>
      <c r="FY37" s="3"/>
      <c r="FZ37" s="3"/>
    </row>
    <row r="38" spans="1:182" s="5" customFormat="1" ht="36" hidden="1" customHeight="1" x14ac:dyDescent="0.2">
      <c r="A38" s="13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23"/>
      <c r="FQ38" s="3"/>
      <c r="FR38" s="3"/>
      <c r="FS38" s="3"/>
      <c r="FT38" s="3"/>
      <c r="FU38" s="3"/>
      <c r="FV38" s="3"/>
      <c r="FW38" s="3"/>
      <c r="FX38" s="3"/>
      <c r="FY38" s="3"/>
      <c r="FZ38" s="3"/>
    </row>
    <row r="39" spans="1:182" s="5" customFormat="1" ht="36" hidden="1" customHeight="1" x14ac:dyDescent="0.2">
      <c r="A39" s="13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23"/>
      <c r="FQ39" s="3"/>
      <c r="FR39" s="3"/>
      <c r="FS39" s="3"/>
      <c r="FT39" s="3"/>
      <c r="FU39" s="3"/>
      <c r="FV39" s="3"/>
      <c r="FW39" s="3"/>
      <c r="FX39" s="3"/>
      <c r="FY39" s="3"/>
      <c r="FZ39" s="3"/>
    </row>
    <row r="40" spans="1:182" s="5" customFormat="1" ht="36" hidden="1" customHeight="1" x14ac:dyDescent="0.2">
      <c r="A40" s="13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23"/>
      <c r="FQ40" s="3"/>
      <c r="FR40" s="3"/>
      <c r="FS40" s="3"/>
      <c r="FT40" s="3"/>
      <c r="FU40" s="3"/>
      <c r="FV40" s="3"/>
      <c r="FW40" s="3"/>
      <c r="FX40" s="3"/>
      <c r="FY40" s="3"/>
      <c r="FZ40" s="3"/>
    </row>
    <row r="41" spans="1:182" s="5" customFormat="1" ht="36" hidden="1" customHeight="1" x14ac:dyDescent="0.2">
      <c r="A41" s="13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23"/>
      <c r="FQ41" s="3"/>
      <c r="FR41" s="3"/>
      <c r="FS41" s="3"/>
      <c r="FT41" s="3"/>
      <c r="FU41" s="3"/>
      <c r="FV41" s="3"/>
      <c r="FW41" s="3"/>
      <c r="FX41" s="3"/>
      <c r="FY41" s="3"/>
      <c r="FZ41" s="3"/>
    </row>
    <row r="42" spans="1:182" s="5" customFormat="1" ht="36" hidden="1" customHeight="1" x14ac:dyDescent="0.2">
      <c r="A42" s="13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23"/>
      <c r="FQ42" s="3"/>
      <c r="FR42" s="3"/>
      <c r="FS42" s="3"/>
      <c r="FT42" s="3"/>
      <c r="FU42" s="3"/>
      <c r="FV42" s="3"/>
      <c r="FW42" s="3"/>
      <c r="FX42" s="3"/>
      <c r="FY42" s="3"/>
      <c r="FZ42" s="3"/>
    </row>
    <row r="43" spans="1:182" s="5" customFormat="1" ht="36" hidden="1" customHeight="1" x14ac:dyDescent="0.2">
      <c r="A43" s="13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23"/>
      <c r="FQ43" s="3"/>
      <c r="FR43" s="3"/>
      <c r="FS43" s="3"/>
      <c r="FT43" s="3"/>
      <c r="FU43" s="3"/>
      <c r="FV43" s="3"/>
      <c r="FW43" s="3"/>
      <c r="FX43" s="3"/>
      <c r="FY43" s="3"/>
      <c r="FZ43" s="3"/>
    </row>
    <row r="44" spans="1:182" s="5" customFormat="1" ht="36" hidden="1" customHeight="1" x14ac:dyDescent="0.2">
      <c r="A44" s="13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23"/>
      <c r="FQ44" s="3"/>
      <c r="FR44" s="3"/>
      <c r="FS44" s="3"/>
      <c r="FT44" s="3"/>
      <c r="FU44" s="3"/>
      <c r="FV44" s="3"/>
      <c r="FW44" s="3"/>
      <c r="FX44" s="3"/>
      <c r="FY44" s="3"/>
      <c r="FZ44" s="3"/>
    </row>
    <row r="45" spans="1:182" s="5" customFormat="1" ht="36" hidden="1" customHeight="1" x14ac:dyDescent="0.2">
      <c r="A45" s="13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23"/>
      <c r="FQ45" s="3"/>
      <c r="FR45" s="3"/>
      <c r="FS45" s="3"/>
      <c r="FT45" s="3"/>
      <c r="FU45" s="3"/>
      <c r="FV45" s="3"/>
      <c r="FW45" s="3"/>
      <c r="FX45" s="3"/>
      <c r="FY45" s="3"/>
      <c r="FZ45" s="3"/>
    </row>
    <row r="46" spans="1:182" s="5" customFormat="1" ht="36" hidden="1" customHeight="1" x14ac:dyDescent="0.2">
      <c r="A46" s="13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23"/>
      <c r="FQ46" s="3"/>
      <c r="FR46" s="3"/>
      <c r="FS46" s="3"/>
      <c r="FT46" s="3"/>
      <c r="FU46" s="3"/>
      <c r="FV46" s="3"/>
      <c r="FW46" s="3"/>
      <c r="FX46" s="3"/>
      <c r="FY46" s="3"/>
      <c r="FZ46" s="3"/>
    </row>
    <row r="47" spans="1:182" s="5" customFormat="1" ht="36" hidden="1" customHeight="1" x14ac:dyDescent="0.2">
      <c r="A47" s="13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23"/>
      <c r="FQ47" s="3"/>
      <c r="FR47" s="3"/>
      <c r="FS47" s="3"/>
      <c r="FT47" s="3"/>
      <c r="FU47" s="3"/>
      <c r="FV47" s="3"/>
      <c r="FW47" s="3"/>
      <c r="FX47" s="3"/>
      <c r="FY47" s="3"/>
      <c r="FZ47" s="3"/>
    </row>
    <row r="48" spans="1:182" s="5" customFormat="1" ht="36" hidden="1" customHeight="1" x14ac:dyDescent="0.2">
      <c r="A48" s="13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23"/>
      <c r="FQ48" s="3"/>
      <c r="FR48" s="3"/>
      <c r="FS48" s="3"/>
      <c r="FT48" s="3"/>
      <c r="FU48" s="3"/>
      <c r="FV48" s="3"/>
      <c r="FW48" s="3"/>
      <c r="FX48" s="3"/>
      <c r="FY48" s="3"/>
      <c r="FZ48" s="3"/>
    </row>
    <row r="49" spans="1:182" s="5" customFormat="1" ht="36" hidden="1" customHeight="1" x14ac:dyDescent="0.2">
      <c r="A49" s="13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23"/>
      <c r="FQ49" s="3"/>
      <c r="FR49" s="3"/>
      <c r="FS49" s="3"/>
      <c r="FT49" s="3"/>
      <c r="FU49" s="3"/>
      <c r="FV49" s="3"/>
      <c r="FW49" s="3"/>
      <c r="FX49" s="3"/>
      <c r="FY49" s="3"/>
      <c r="FZ49" s="3"/>
    </row>
    <row r="50" spans="1:182" s="5" customFormat="1" ht="36" hidden="1" customHeight="1" x14ac:dyDescent="0.2">
      <c r="A50" s="13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23"/>
      <c r="FQ50" s="3"/>
      <c r="FR50" s="3"/>
      <c r="FS50" s="3"/>
      <c r="FT50" s="3"/>
      <c r="FU50" s="3"/>
      <c r="FV50" s="3"/>
      <c r="FW50" s="3"/>
      <c r="FX50" s="3"/>
      <c r="FY50" s="3"/>
      <c r="FZ50" s="3"/>
    </row>
    <row r="51" spans="1:182" s="5" customFormat="1" ht="36" hidden="1" customHeight="1" x14ac:dyDescent="0.2">
      <c r="A51" s="13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23"/>
      <c r="FQ51" s="3"/>
      <c r="FR51" s="3"/>
      <c r="FS51" s="3"/>
      <c r="FT51" s="3"/>
      <c r="FU51" s="3"/>
      <c r="FV51" s="3"/>
      <c r="FW51" s="3"/>
      <c r="FX51" s="3"/>
      <c r="FY51" s="3"/>
      <c r="FZ51" s="3"/>
    </row>
    <row r="52" spans="1:182" s="5" customFormat="1" ht="36" hidden="1" customHeight="1" x14ac:dyDescent="0.2">
      <c r="A52" s="13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23"/>
      <c r="FQ52" s="3"/>
      <c r="FR52" s="3"/>
      <c r="FS52" s="3"/>
      <c r="FT52" s="3"/>
      <c r="FU52" s="3"/>
      <c r="FV52" s="3"/>
      <c r="FW52" s="3"/>
      <c r="FX52" s="3"/>
      <c r="FY52" s="3"/>
      <c r="FZ52" s="3"/>
    </row>
    <row r="53" spans="1:182" s="5" customFormat="1" ht="36" hidden="1" customHeight="1" x14ac:dyDescent="0.2">
      <c r="A53" s="13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23"/>
      <c r="FQ53" s="3"/>
      <c r="FR53" s="3"/>
      <c r="FS53" s="3"/>
      <c r="FT53" s="3"/>
      <c r="FU53" s="3"/>
      <c r="FV53" s="3"/>
      <c r="FW53" s="3"/>
      <c r="FX53" s="3"/>
      <c r="FY53" s="3"/>
      <c r="FZ53" s="3"/>
    </row>
    <row r="54" spans="1:182" s="5" customFormat="1" ht="36" hidden="1" customHeight="1" x14ac:dyDescent="0.2">
      <c r="A54" s="13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23"/>
      <c r="FQ54" s="3"/>
      <c r="FR54" s="3"/>
      <c r="FS54" s="3"/>
      <c r="FT54" s="3"/>
      <c r="FU54" s="3"/>
      <c r="FV54" s="3"/>
      <c r="FW54" s="3"/>
      <c r="FX54" s="3"/>
      <c r="FY54" s="3"/>
      <c r="FZ54" s="3"/>
    </row>
    <row r="55" spans="1:182" s="5" customFormat="1" ht="36" hidden="1" customHeight="1" x14ac:dyDescent="0.2">
      <c r="A55" s="13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23"/>
      <c r="FQ55" s="3"/>
      <c r="FR55" s="3"/>
      <c r="FS55" s="3"/>
      <c r="FT55" s="3"/>
      <c r="FU55" s="3"/>
      <c r="FV55" s="3"/>
      <c r="FW55" s="3"/>
      <c r="FX55" s="3"/>
      <c r="FY55" s="3"/>
      <c r="FZ55" s="3"/>
    </row>
    <row r="56" spans="1:182" s="5" customFormat="1" ht="36" hidden="1" customHeight="1" x14ac:dyDescent="0.2">
      <c r="A56" s="13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23"/>
      <c r="FQ56" s="3"/>
      <c r="FR56" s="3"/>
      <c r="FS56" s="3"/>
      <c r="FT56" s="3"/>
      <c r="FU56" s="3"/>
      <c r="FV56" s="3"/>
      <c r="FW56" s="3"/>
      <c r="FX56" s="3"/>
      <c r="FY56" s="3"/>
      <c r="FZ56" s="3"/>
    </row>
    <row r="57" spans="1:182" s="5" customFormat="1" ht="36" hidden="1" customHeight="1" x14ac:dyDescent="0.2">
      <c r="A57" s="13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2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spans="1:182" s="5" customFormat="1" ht="36" hidden="1" customHeight="1" x14ac:dyDescent="0.2">
      <c r="A58" s="13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23"/>
      <c r="FQ58" s="3"/>
      <c r="FR58" s="3"/>
      <c r="FS58" s="3"/>
      <c r="FT58" s="3"/>
      <c r="FU58" s="3"/>
      <c r="FV58" s="3"/>
      <c r="FW58" s="3"/>
      <c r="FX58" s="3"/>
      <c r="FY58" s="3"/>
      <c r="FZ58" s="3"/>
    </row>
    <row r="59" spans="1:182" s="5" customFormat="1" ht="36" hidden="1" customHeight="1" x14ac:dyDescent="0.2">
      <c r="A59" s="13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23"/>
      <c r="FQ59" s="3"/>
      <c r="FR59" s="3"/>
      <c r="FS59" s="3"/>
      <c r="FT59" s="3"/>
      <c r="FU59" s="3"/>
      <c r="FV59" s="3"/>
      <c r="FW59" s="3"/>
      <c r="FX59" s="3"/>
      <c r="FY59" s="3"/>
      <c r="FZ59" s="3"/>
    </row>
    <row r="60" spans="1:182" s="5" customFormat="1" ht="36" hidden="1" customHeight="1" x14ac:dyDescent="0.2">
      <c r="A60" s="13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23"/>
      <c r="FQ60" s="3"/>
      <c r="FR60" s="3"/>
      <c r="FS60" s="3"/>
      <c r="FT60" s="3"/>
      <c r="FU60" s="3"/>
      <c r="FV60" s="3"/>
      <c r="FW60" s="3"/>
      <c r="FX60" s="3"/>
      <c r="FY60" s="3"/>
      <c r="FZ60" s="3"/>
    </row>
    <row r="61" spans="1:182" s="5" customFormat="1" ht="36" hidden="1" customHeight="1" x14ac:dyDescent="0.2">
      <c r="A61" s="13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23"/>
      <c r="FQ61" s="3"/>
      <c r="FR61" s="3"/>
      <c r="FS61" s="3"/>
      <c r="FT61" s="3"/>
      <c r="FU61" s="3"/>
      <c r="FV61" s="3"/>
      <c r="FW61" s="3"/>
      <c r="FX61" s="3"/>
      <c r="FY61" s="3"/>
      <c r="FZ61" s="3"/>
    </row>
    <row r="62" spans="1:182" s="5" customFormat="1" ht="36" hidden="1" customHeight="1" x14ac:dyDescent="0.2">
      <c r="A62" s="13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23"/>
      <c r="FQ62" s="3"/>
      <c r="FR62" s="3"/>
      <c r="FS62" s="3"/>
      <c r="FT62" s="3"/>
      <c r="FU62" s="3"/>
      <c r="FV62" s="3"/>
      <c r="FW62" s="3"/>
      <c r="FX62" s="3"/>
      <c r="FY62" s="3"/>
      <c r="FZ62" s="3"/>
    </row>
    <row r="63" spans="1:182" s="5" customFormat="1" ht="36" hidden="1" customHeight="1" x14ac:dyDescent="0.2">
      <c r="A63" s="13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23"/>
      <c r="FQ63" s="3"/>
      <c r="FR63" s="3"/>
      <c r="FS63" s="3"/>
      <c r="FT63" s="3"/>
      <c r="FU63" s="3"/>
      <c r="FV63" s="3"/>
      <c r="FW63" s="3"/>
      <c r="FX63" s="3"/>
      <c r="FY63" s="3"/>
      <c r="FZ63" s="3"/>
    </row>
    <row r="64" spans="1:182" s="5" customFormat="1" ht="36" hidden="1" customHeight="1" x14ac:dyDescent="0.2">
      <c r="A64" s="13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23"/>
      <c r="FQ64" s="3"/>
      <c r="FR64" s="3"/>
      <c r="FS64" s="3"/>
      <c r="FT64" s="3"/>
      <c r="FU64" s="3"/>
      <c r="FV64" s="3"/>
      <c r="FW64" s="3"/>
      <c r="FX64" s="3"/>
      <c r="FY64" s="3"/>
      <c r="FZ64" s="3"/>
    </row>
    <row r="65" spans="1:182" s="5" customFormat="1" ht="36" hidden="1" customHeight="1" x14ac:dyDescent="0.2">
      <c r="A65" s="13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23"/>
      <c r="FQ65" s="3"/>
      <c r="FR65" s="3"/>
      <c r="FS65" s="3"/>
      <c r="FT65" s="3"/>
      <c r="FU65" s="3"/>
      <c r="FV65" s="3"/>
      <c r="FW65" s="3"/>
      <c r="FX65" s="3"/>
      <c r="FY65" s="3"/>
      <c r="FZ65" s="3"/>
    </row>
    <row r="66" spans="1:182" s="5" customFormat="1" ht="36" hidden="1" customHeight="1" x14ac:dyDescent="0.2">
      <c r="A66" s="13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23"/>
      <c r="FQ66" s="3"/>
      <c r="FR66" s="3"/>
      <c r="FS66" s="3"/>
      <c r="FT66" s="3"/>
      <c r="FU66" s="3"/>
      <c r="FV66" s="3"/>
      <c r="FW66" s="3"/>
      <c r="FX66" s="3"/>
      <c r="FY66" s="3"/>
      <c r="FZ66" s="3"/>
    </row>
    <row r="67" spans="1:182" s="5" customFormat="1" ht="36" hidden="1" customHeight="1" x14ac:dyDescent="0.2">
      <c r="A67" s="13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23"/>
      <c r="FQ67" s="3"/>
      <c r="FR67" s="3"/>
      <c r="FS67" s="3"/>
      <c r="FT67" s="3"/>
      <c r="FU67" s="3"/>
      <c r="FV67" s="3"/>
      <c r="FW67" s="3"/>
      <c r="FX67" s="3"/>
      <c r="FY67" s="3"/>
      <c r="FZ67" s="3"/>
    </row>
    <row r="68" spans="1:182" s="5" customFormat="1" ht="36" hidden="1" customHeight="1" x14ac:dyDescent="0.2">
      <c r="A68" s="13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23"/>
      <c r="FQ68" s="3"/>
      <c r="FR68" s="3"/>
      <c r="FS68" s="3"/>
      <c r="FT68" s="3"/>
      <c r="FU68" s="3"/>
      <c r="FV68" s="3"/>
      <c r="FW68" s="3"/>
      <c r="FX68" s="3"/>
      <c r="FY68" s="3"/>
      <c r="FZ68" s="3"/>
    </row>
    <row r="69" spans="1:182" s="5" customFormat="1" ht="36" hidden="1" customHeight="1" x14ac:dyDescent="0.2">
      <c r="A69" s="13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23"/>
      <c r="FQ69" s="3"/>
      <c r="FR69" s="3"/>
      <c r="FS69" s="3"/>
      <c r="FT69" s="3"/>
      <c r="FU69" s="3"/>
      <c r="FV69" s="3"/>
      <c r="FW69" s="3"/>
      <c r="FX69" s="3"/>
      <c r="FY69" s="3"/>
      <c r="FZ69" s="3"/>
    </row>
    <row r="70" spans="1:182" s="5" customFormat="1" ht="36" hidden="1" customHeight="1" x14ac:dyDescent="0.2">
      <c r="A70" s="13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23"/>
      <c r="FQ70" s="3"/>
      <c r="FR70" s="3"/>
      <c r="FS70" s="3"/>
      <c r="FT70" s="3"/>
      <c r="FU70" s="3"/>
      <c r="FV70" s="3"/>
      <c r="FW70" s="3"/>
      <c r="FX70" s="3"/>
      <c r="FY70" s="3"/>
      <c r="FZ70" s="3"/>
    </row>
    <row r="71" spans="1:182" s="5" customFormat="1" ht="36" hidden="1" customHeight="1" x14ac:dyDescent="0.2">
      <c r="A71" s="13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23"/>
      <c r="FQ71" s="3"/>
      <c r="FR71" s="3"/>
      <c r="FS71" s="3"/>
      <c r="FT71" s="3"/>
      <c r="FU71" s="3"/>
      <c r="FV71" s="3"/>
      <c r="FW71" s="3"/>
      <c r="FX71" s="3"/>
      <c r="FY71" s="3"/>
      <c r="FZ71" s="3"/>
    </row>
    <row r="72" spans="1:182" s="5" customFormat="1" ht="36" hidden="1" customHeight="1" x14ac:dyDescent="0.2">
      <c r="A72" s="13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23"/>
      <c r="FQ72" s="3"/>
      <c r="FR72" s="3"/>
      <c r="FS72" s="3"/>
      <c r="FT72" s="3"/>
      <c r="FU72" s="3"/>
      <c r="FV72" s="3"/>
      <c r="FW72" s="3"/>
      <c r="FX72" s="3"/>
      <c r="FY72" s="3"/>
      <c r="FZ72" s="3"/>
    </row>
    <row r="73" spans="1:182" s="5" customFormat="1" ht="36" hidden="1" customHeight="1" x14ac:dyDescent="0.2">
      <c r="A73" s="13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23"/>
      <c r="FQ73" s="3"/>
      <c r="FR73" s="3"/>
      <c r="FS73" s="3"/>
      <c r="FT73" s="3"/>
      <c r="FU73" s="3"/>
      <c r="FV73" s="3"/>
      <c r="FW73" s="3"/>
      <c r="FX73" s="3"/>
      <c r="FY73" s="3"/>
      <c r="FZ73" s="3"/>
    </row>
    <row r="74" spans="1:182" s="5" customFormat="1" ht="36" hidden="1" customHeight="1" x14ac:dyDescent="0.2">
      <c r="A74" s="13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23"/>
      <c r="FQ74" s="3"/>
      <c r="FR74" s="3"/>
      <c r="FS74" s="3"/>
      <c r="FT74" s="3"/>
      <c r="FU74" s="3"/>
      <c r="FV74" s="3"/>
      <c r="FW74" s="3"/>
      <c r="FX74" s="3"/>
      <c r="FY74" s="3"/>
      <c r="FZ74" s="3"/>
    </row>
    <row r="75" spans="1:182" s="5" customFormat="1" ht="36" hidden="1" customHeight="1" x14ac:dyDescent="0.2">
      <c r="A75" s="13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23"/>
      <c r="FQ75" s="3"/>
      <c r="FR75" s="3"/>
      <c r="FS75" s="3"/>
      <c r="FT75" s="3"/>
      <c r="FU75" s="3"/>
      <c r="FV75" s="3"/>
      <c r="FW75" s="3"/>
      <c r="FX75" s="3"/>
      <c r="FY75" s="3"/>
      <c r="FZ75" s="3"/>
    </row>
    <row r="76" spans="1:182" s="5" customFormat="1" ht="36" hidden="1" customHeight="1" x14ac:dyDescent="0.2">
      <c r="A76" s="13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23"/>
      <c r="FQ76" s="3"/>
      <c r="FR76" s="3"/>
      <c r="FS76" s="3"/>
      <c r="FT76" s="3"/>
      <c r="FU76" s="3"/>
      <c r="FV76" s="3"/>
      <c r="FW76" s="3"/>
      <c r="FX76" s="3"/>
      <c r="FY76" s="3"/>
      <c r="FZ76" s="3"/>
    </row>
    <row r="77" spans="1:182" s="5" customFormat="1" ht="36" customHeight="1" x14ac:dyDescent="0.2">
      <c r="A77" s="13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23"/>
      <c r="FQ77" s="3"/>
      <c r="FR77" s="3"/>
      <c r="FS77" s="3"/>
      <c r="FT77" s="3"/>
      <c r="FU77" s="3"/>
      <c r="FV77" s="3"/>
      <c r="FW77" s="3"/>
      <c r="FX77" s="3"/>
      <c r="FY77" s="3"/>
      <c r="FZ77" s="3"/>
    </row>
    <row r="78" spans="1:182" s="5" customFormat="1" ht="36" customHeight="1" x14ac:dyDescent="0.2">
      <c r="A78" s="13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23"/>
      <c r="FQ78" s="3"/>
      <c r="FR78" s="3"/>
      <c r="FS78" s="3"/>
      <c r="FT78" s="3"/>
      <c r="FU78" s="3"/>
      <c r="FV78" s="3"/>
      <c r="FW78" s="3"/>
      <c r="FX78" s="3"/>
      <c r="FY78" s="3"/>
      <c r="FZ78" s="3"/>
    </row>
    <row r="79" spans="1:182" s="5" customFormat="1" ht="36" customHeight="1" x14ac:dyDescent="0.2">
      <c r="A79" s="13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23"/>
      <c r="FQ79" s="3"/>
      <c r="FR79" s="3"/>
      <c r="FS79" s="3"/>
      <c r="FT79" s="3"/>
      <c r="FU79" s="3"/>
      <c r="FV79" s="3"/>
      <c r="FW79" s="3"/>
      <c r="FX79" s="3"/>
      <c r="FY79" s="3"/>
      <c r="FZ79" s="3"/>
    </row>
    <row r="80" spans="1:182" s="5" customFormat="1" ht="36" customHeight="1" x14ac:dyDescent="0.2">
      <c r="A80" s="13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23"/>
      <c r="FQ80" s="3"/>
      <c r="FR80" s="3"/>
      <c r="FS80" s="3"/>
      <c r="FT80" s="3"/>
      <c r="FU80" s="3"/>
      <c r="FV80" s="3"/>
      <c r="FW80" s="3"/>
      <c r="FX80" s="3"/>
      <c r="FY80" s="3"/>
      <c r="FZ80" s="3"/>
    </row>
    <row r="81" spans="1:182" s="5" customFormat="1" ht="36" customHeight="1" x14ac:dyDescent="0.2">
      <c r="A81" s="13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23"/>
      <c r="FQ81" s="3"/>
      <c r="FR81" s="3"/>
      <c r="FS81" s="3"/>
      <c r="FT81" s="3"/>
      <c r="FU81" s="3"/>
      <c r="FV81" s="3"/>
      <c r="FW81" s="3"/>
      <c r="FX81" s="3"/>
      <c r="FY81" s="3"/>
      <c r="FZ81" s="3"/>
    </row>
    <row r="82" spans="1:182" s="5" customFormat="1" ht="36" customHeight="1" x14ac:dyDescent="0.2">
      <c r="A82" s="13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23"/>
      <c r="FQ82" s="3"/>
      <c r="FR82" s="3"/>
      <c r="FS82" s="3"/>
      <c r="FT82" s="3"/>
      <c r="FU82" s="3"/>
      <c r="FV82" s="3"/>
      <c r="FW82" s="3"/>
      <c r="FX82" s="3"/>
      <c r="FY82" s="3"/>
      <c r="FZ82" s="3"/>
    </row>
    <row r="83" spans="1:182" s="5" customFormat="1" ht="36" customHeight="1" x14ac:dyDescent="0.2">
      <c r="A83" s="13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23"/>
      <c r="FQ83" s="3"/>
      <c r="FR83" s="3"/>
      <c r="FS83" s="3"/>
      <c r="FT83" s="3"/>
      <c r="FU83" s="3"/>
      <c r="FV83" s="3"/>
      <c r="FW83" s="3"/>
      <c r="FX83" s="3"/>
      <c r="FY83" s="3"/>
      <c r="FZ83" s="3"/>
    </row>
    <row r="84" spans="1:182" s="5" customFormat="1" ht="36" customHeight="1" x14ac:dyDescent="0.2">
      <c r="A84" s="13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23"/>
      <c r="FQ84" s="3"/>
      <c r="FR84" s="3"/>
      <c r="FS84" s="3"/>
      <c r="FT84" s="3"/>
      <c r="FU84" s="3"/>
      <c r="FV84" s="3"/>
      <c r="FW84" s="3"/>
      <c r="FX84" s="3"/>
      <c r="FY84" s="3"/>
      <c r="FZ84" s="3"/>
    </row>
    <row r="85" spans="1:182" s="5" customFormat="1" ht="36" customHeight="1" x14ac:dyDescent="0.2">
      <c r="A85" s="13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23"/>
      <c r="FQ85" s="3"/>
      <c r="FR85" s="3"/>
      <c r="FS85" s="3"/>
      <c r="FT85" s="3"/>
      <c r="FU85" s="3"/>
      <c r="FV85" s="3"/>
      <c r="FW85" s="3"/>
      <c r="FX85" s="3"/>
      <c r="FY85" s="3"/>
      <c r="FZ85" s="3"/>
    </row>
    <row r="86" spans="1:182" s="5" customFormat="1" ht="36" customHeight="1" x14ac:dyDescent="0.2">
      <c r="A86" s="13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23"/>
      <c r="FQ86" s="3"/>
      <c r="FR86" s="3"/>
      <c r="FS86" s="3"/>
      <c r="FT86" s="3"/>
      <c r="FU86" s="3"/>
      <c r="FV86" s="3"/>
      <c r="FW86" s="3"/>
      <c r="FX86" s="3"/>
      <c r="FY86" s="3"/>
      <c r="FZ86" s="3"/>
    </row>
    <row r="87" spans="1:182" s="5" customFormat="1" ht="36" customHeight="1" x14ac:dyDescent="0.2">
      <c r="A87" s="13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23"/>
      <c r="FQ87" s="3"/>
      <c r="FR87" s="3"/>
      <c r="FS87" s="3"/>
      <c r="FT87" s="3"/>
      <c r="FU87" s="3"/>
      <c r="FV87" s="3"/>
      <c r="FW87" s="3"/>
      <c r="FX87" s="3"/>
      <c r="FY87" s="3"/>
      <c r="FZ87" s="3"/>
    </row>
    <row r="88" spans="1:182" s="5" customFormat="1" ht="36" customHeight="1" x14ac:dyDescent="0.2">
      <c r="A88" s="13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23"/>
      <c r="FQ88" s="3"/>
      <c r="FR88" s="3"/>
      <c r="FS88" s="3"/>
      <c r="FT88" s="3"/>
      <c r="FU88" s="3"/>
      <c r="FV88" s="3"/>
      <c r="FW88" s="3"/>
      <c r="FX88" s="3"/>
      <c r="FY88" s="3"/>
      <c r="FZ88" s="3"/>
    </row>
    <row r="89" spans="1:182" s="5" customFormat="1" ht="36" customHeight="1" x14ac:dyDescent="0.2">
      <c r="A89" s="13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23"/>
      <c r="FQ89" s="3"/>
      <c r="FR89" s="3"/>
      <c r="FS89" s="3"/>
      <c r="FT89" s="3"/>
      <c r="FU89" s="3"/>
      <c r="FV89" s="3"/>
      <c r="FW89" s="3"/>
      <c r="FX89" s="3"/>
      <c r="FY89" s="3"/>
      <c r="FZ89" s="3"/>
    </row>
    <row r="90" spans="1:182" s="5" customFormat="1" ht="36" customHeight="1" x14ac:dyDescent="0.2">
      <c r="A90" s="13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23"/>
      <c r="FQ90" s="3"/>
      <c r="FR90" s="3"/>
      <c r="FS90" s="3"/>
      <c r="FT90" s="3"/>
      <c r="FU90" s="3"/>
      <c r="FV90" s="3"/>
      <c r="FW90" s="3"/>
      <c r="FX90" s="3"/>
      <c r="FY90" s="3"/>
      <c r="FZ90" s="3"/>
    </row>
    <row r="91" spans="1:182" s="5" customFormat="1" ht="36" customHeight="1" x14ac:dyDescent="0.2">
      <c r="A91" s="13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23"/>
      <c r="FQ91" s="3"/>
      <c r="FR91" s="3"/>
      <c r="FS91" s="3"/>
      <c r="FT91" s="3"/>
      <c r="FU91" s="3"/>
      <c r="FV91" s="3"/>
      <c r="FW91" s="3"/>
      <c r="FX91" s="3"/>
      <c r="FY91" s="3"/>
      <c r="FZ91" s="3"/>
    </row>
    <row r="92" spans="1:182" s="5" customFormat="1" ht="36" customHeight="1" x14ac:dyDescent="0.2">
      <c r="A92" s="13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23"/>
      <c r="FQ92" s="3"/>
      <c r="FR92" s="3"/>
      <c r="FS92" s="3"/>
      <c r="FT92" s="3"/>
      <c r="FU92" s="3"/>
      <c r="FV92" s="3"/>
      <c r="FW92" s="3"/>
      <c r="FX92" s="3"/>
      <c r="FY92" s="3"/>
      <c r="FZ92" s="3"/>
    </row>
    <row r="93" spans="1:182" s="5" customFormat="1" ht="36" customHeight="1" x14ac:dyDescent="0.2">
      <c r="A93" s="13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23"/>
      <c r="FQ93" s="3"/>
      <c r="FR93" s="3"/>
      <c r="FS93" s="3"/>
      <c r="FT93" s="3"/>
      <c r="FU93" s="3"/>
      <c r="FV93" s="3"/>
      <c r="FW93" s="3"/>
      <c r="FX93" s="3"/>
      <c r="FY93" s="3"/>
      <c r="FZ93" s="3"/>
    </row>
    <row r="94" spans="1:182" s="5" customFormat="1" ht="36" customHeight="1" x14ac:dyDescent="0.2">
      <c r="A94" s="13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23"/>
      <c r="FQ94" s="3"/>
      <c r="FR94" s="3"/>
      <c r="FS94" s="3"/>
      <c r="FT94" s="3"/>
      <c r="FU94" s="3"/>
      <c r="FV94" s="3"/>
      <c r="FW94" s="3"/>
      <c r="FX94" s="3"/>
      <c r="FY94" s="3"/>
      <c r="FZ94" s="3"/>
    </row>
    <row r="95" spans="1:182" s="5" customFormat="1" ht="36" customHeight="1" x14ac:dyDescent="0.2">
      <c r="A95" s="13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23"/>
      <c r="FQ95" s="3"/>
      <c r="FR95" s="3"/>
      <c r="FS95" s="3"/>
      <c r="FT95" s="3"/>
      <c r="FU95" s="3"/>
      <c r="FV95" s="3"/>
      <c r="FW95" s="3"/>
      <c r="FX95" s="3"/>
      <c r="FY95" s="3"/>
      <c r="FZ95" s="3"/>
    </row>
    <row r="96" spans="1:182" s="5" customFormat="1" ht="36" customHeight="1" x14ac:dyDescent="0.2">
      <c r="A96" s="14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24"/>
      <c r="FQ96" s="3"/>
      <c r="FR96" s="3"/>
      <c r="FS96" s="3"/>
      <c r="FT96" s="3"/>
      <c r="FU96" s="3"/>
      <c r="FV96" s="3"/>
      <c r="FW96" s="3"/>
      <c r="FX96" s="3"/>
      <c r="FY96" s="3"/>
      <c r="FZ96" s="3"/>
    </row>
    <row r="97" spans="1:182" s="5" customFormat="1" ht="36" customHeight="1" x14ac:dyDescent="0.2">
      <c r="A97" s="9" t="s">
        <v>8</v>
      </c>
      <c r="B97" s="79" t="s">
        <v>17</v>
      </c>
      <c r="C97" s="146" t="s">
        <v>18</v>
      </c>
      <c r="D97" s="147"/>
      <c r="E97" s="147"/>
      <c r="F97" s="147"/>
      <c r="G97" s="147"/>
      <c r="H97" s="147"/>
      <c r="I97" s="147"/>
      <c r="J97" s="147"/>
      <c r="K97" s="147"/>
      <c r="L97" s="147"/>
      <c r="M97" s="148" t="s">
        <v>19</v>
      </c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50">
        <v>3</v>
      </c>
      <c r="AA97" s="150"/>
      <c r="AB97" s="150"/>
      <c r="AC97" s="150"/>
      <c r="AD97" s="150"/>
      <c r="AE97" s="150"/>
      <c r="AF97" s="151"/>
      <c r="AG97" s="188" t="s">
        <v>20</v>
      </c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90"/>
      <c r="AW97" s="182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74" t="s">
        <v>21</v>
      </c>
      <c r="BS97" s="174"/>
      <c r="BT97" s="174"/>
      <c r="BU97" s="174"/>
      <c r="BV97" s="174"/>
      <c r="BW97" s="174"/>
      <c r="BX97" s="174"/>
      <c r="BY97" s="174"/>
      <c r="BZ97" s="174"/>
      <c r="CA97" s="174"/>
      <c r="CB97" s="174"/>
      <c r="CC97" s="174"/>
      <c r="CD97" s="174"/>
      <c r="CE97" s="174"/>
      <c r="CF97" s="174"/>
      <c r="CG97" s="174"/>
      <c r="CH97" s="174"/>
      <c r="CI97" s="174"/>
      <c r="CJ97" s="174"/>
      <c r="CK97" s="175"/>
      <c r="CL97" s="381" t="str">
        <f>Thickness!CL97</f>
        <v xml:space="preserve">INTERNATIONAL PAPER </v>
      </c>
      <c r="CM97" s="382"/>
      <c r="CN97" s="382"/>
      <c r="CO97" s="382"/>
      <c r="CP97" s="382"/>
      <c r="CQ97" s="382"/>
      <c r="CR97" s="382"/>
      <c r="CS97" s="382"/>
      <c r="CT97" s="382"/>
      <c r="CU97" s="382"/>
      <c r="CV97" s="382"/>
      <c r="CW97" s="382"/>
      <c r="CX97" s="382"/>
      <c r="CY97" s="382"/>
      <c r="CZ97" s="382"/>
      <c r="DA97" s="382"/>
      <c r="DB97" s="382"/>
      <c r="DC97" s="382"/>
      <c r="DD97" s="382"/>
      <c r="DE97" s="382"/>
      <c r="DF97" s="382"/>
      <c r="DG97" s="382"/>
      <c r="DH97" s="382"/>
      <c r="DI97" s="382"/>
      <c r="DJ97" s="382"/>
      <c r="DK97" s="382"/>
      <c r="DL97" s="382"/>
      <c r="DM97" s="382"/>
      <c r="DN97" s="382"/>
      <c r="DO97" s="382"/>
      <c r="DP97" s="382"/>
      <c r="DQ97" s="382"/>
      <c r="DR97" s="382"/>
      <c r="DS97" s="382"/>
      <c r="DT97" s="382"/>
      <c r="DU97" s="382"/>
      <c r="DV97" s="382"/>
      <c r="DW97" s="382"/>
      <c r="DX97" s="382"/>
      <c r="DY97" s="382"/>
      <c r="DZ97" s="383"/>
      <c r="FQ97" s="3"/>
      <c r="FR97" s="3"/>
      <c r="FS97" s="3"/>
      <c r="FT97" s="3"/>
      <c r="FU97" s="3"/>
      <c r="FV97" s="3"/>
      <c r="FW97" s="3"/>
      <c r="FX97" s="3"/>
      <c r="FY97" s="3"/>
      <c r="FZ97" s="3"/>
    </row>
    <row r="98" spans="1:182" s="5" customFormat="1" ht="36" customHeight="1" x14ac:dyDescent="0.2">
      <c r="A98" s="191" t="s">
        <v>23</v>
      </c>
      <c r="B98" s="80" t="s">
        <v>24</v>
      </c>
      <c r="C98" s="192" t="s">
        <v>25</v>
      </c>
      <c r="D98" s="193"/>
      <c r="E98" s="193"/>
      <c r="F98" s="193"/>
      <c r="G98" s="193"/>
      <c r="H98" s="193"/>
      <c r="I98" s="193"/>
      <c r="J98" s="193"/>
      <c r="K98" s="193"/>
      <c r="L98" s="193"/>
      <c r="M98" s="194" t="s">
        <v>26</v>
      </c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6" t="s">
        <v>27</v>
      </c>
      <c r="AA98" s="196"/>
      <c r="AB98" s="196"/>
      <c r="AC98" s="196"/>
      <c r="AD98" s="196"/>
      <c r="AE98" s="196"/>
      <c r="AF98" s="196"/>
      <c r="AG98" s="197">
        <f>TRUNC(MAX(D4:BM6,D7:BM9,D10:BM12,D13:BM15),3)</f>
        <v>0.38100000000000001</v>
      </c>
      <c r="AH98" s="198"/>
      <c r="AI98" s="198"/>
      <c r="AJ98" s="198"/>
      <c r="AK98" s="198"/>
      <c r="AL98" s="199" t="s">
        <v>28</v>
      </c>
      <c r="AM98" s="200"/>
      <c r="AN98" s="200"/>
      <c r="AO98" s="200"/>
      <c r="AP98" s="200"/>
      <c r="AQ98" s="200"/>
      <c r="AR98" s="200"/>
      <c r="AS98" s="200"/>
      <c r="AT98" s="200"/>
      <c r="AU98" s="200"/>
      <c r="AV98" s="201"/>
      <c r="AW98" s="184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 s="185"/>
      <c r="BO98" s="185"/>
      <c r="BP98" s="185"/>
      <c r="BQ98" s="185"/>
      <c r="BR98" s="176"/>
      <c r="BS98" s="176"/>
      <c r="BT98" s="176"/>
      <c r="BU98" s="176"/>
      <c r="BV98" s="176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7"/>
      <c r="CL98" s="384" t="str">
        <f>Thickness!CL98</f>
        <v>RIVERDALE MILL</v>
      </c>
      <c r="CM98" s="385"/>
      <c r="CN98" s="385"/>
      <c r="CO98" s="385"/>
      <c r="CP98" s="385"/>
      <c r="CQ98" s="385"/>
      <c r="CR98" s="385"/>
      <c r="CS98" s="385"/>
      <c r="CT98" s="385"/>
      <c r="CU98" s="385"/>
      <c r="CV98" s="385"/>
      <c r="CW98" s="385"/>
      <c r="CX98" s="385"/>
      <c r="CY98" s="385"/>
      <c r="CZ98" s="385"/>
      <c r="DA98" s="385"/>
      <c r="DB98" s="385"/>
      <c r="DC98" s="385"/>
      <c r="DD98" s="385"/>
      <c r="DE98" s="385"/>
      <c r="DF98" s="385"/>
      <c r="DG98" s="385"/>
      <c r="DH98" s="385"/>
      <c r="DI98" s="385"/>
      <c r="DJ98" s="385"/>
      <c r="DK98" s="385"/>
      <c r="DL98" s="385"/>
      <c r="DM98" s="385"/>
      <c r="DN98" s="385"/>
      <c r="DO98" s="385"/>
      <c r="DP98" s="385"/>
      <c r="DQ98" s="385"/>
      <c r="DR98" s="385"/>
      <c r="DS98" s="385"/>
      <c r="DT98" s="385"/>
      <c r="DU98" s="385"/>
      <c r="DV98" s="385"/>
      <c r="DW98" s="385"/>
      <c r="DX98" s="385"/>
      <c r="DY98" s="385"/>
      <c r="DZ98" s="386"/>
      <c r="FQ98" s="3"/>
      <c r="FR98" s="3"/>
      <c r="FS98" s="3"/>
      <c r="FT98" s="3"/>
      <c r="FU98" s="3"/>
      <c r="FV98" s="3"/>
      <c r="FW98" s="3"/>
      <c r="FX98" s="3"/>
      <c r="FY98" s="3"/>
      <c r="FZ98" s="3"/>
    </row>
    <row r="99" spans="1:182" ht="36" customHeight="1" x14ac:dyDescent="0.2">
      <c r="A99" s="191"/>
      <c r="B99" s="81" t="s">
        <v>30</v>
      </c>
      <c r="C99" s="202" t="s">
        <v>31</v>
      </c>
      <c r="D99" s="203"/>
      <c r="E99" s="203"/>
      <c r="F99" s="203"/>
      <c r="G99" s="203"/>
      <c r="H99" s="203"/>
      <c r="I99" s="203"/>
      <c r="J99" s="203"/>
      <c r="K99" s="203"/>
      <c r="L99" s="203"/>
      <c r="M99" s="194" t="s">
        <v>32</v>
      </c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204">
        <v>0.3</v>
      </c>
      <c r="AA99" s="204"/>
      <c r="AB99" s="204"/>
      <c r="AC99" s="204"/>
      <c r="AD99" s="204"/>
      <c r="AE99" s="204"/>
      <c r="AF99" s="204"/>
      <c r="AG99" s="205">
        <f>TRUNC(AVERAGE(D4:BM6,D7:BM9,D10:BM12,D13:BM15),3)</f>
        <v>0.315</v>
      </c>
      <c r="AH99" s="206"/>
      <c r="AI99" s="206"/>
      <c r="AJ99" s="206"/>
      <c r="AK99" s="206"/>
      <c r="AL99" s="207" t="s">
        <v>33</v>
      </c>
      <c r="AM99" s="208"/>
      <c r="AN99" s="208"/>
      <c r="AO99" s="208"/>
      <c r="AP99" s="208"/>
      <c r="AQ99" s="208"/>
      <c r="AR99" s="208"/>
      <c r="AS99" s="208"/>
      <c r="AT99" s="208"/>
      <c r="AU99" s="208"/>
      <c r="AV99" s="209"/>
      <c r="AW99" s="184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5"/>
      <c r="BN99" s="185"/>
      <c r="BO99" s="185"/>
      <c r="BP99" s="185"/>
      <c r="BQ99" s="185"/>
      <c r="BR99" s="176"/>
      <c r="BS99" s="176"/>
      <c r="BT99" s="176"/>
      <c r="BU99" s="176"/>
      <c r="BV99" s="176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7"/>
      <c r="CL99" s="378" t="s">
        <v>129</v>
      </c>
      <c r="CM99" s="379"/>
      <c r="CN99" s="379"/>
      <c r="CO99" s="379"/>
      <c r="CP99" s="379"/>
      <c r="CQ99" s="379"/>
      <c r="CR99" s="379"/>
      <c r="CS99" s="379"/>
      <c r="CT99" s="379"/>
      <c r="CU99" s="379"/>
      <c r="CV99" s="379"/>
      <c r="CW99" s="379"/>
      <c r="CX99" s="379"/>
      <c r="CY99" s="379"/>
      <c r="CZ99" s="379"/>
      <c r="DA99" s="379"/>
      <c r="DB99" s="379"/>
      <c r="DC99" s="379"/>
      <c r="DD99" s="379"/>
      <c r="DE99" s="379"/>
      <c r="DF99" s="379"/>
      <c r="DG99" s="379"/>
      <c r="DH99" s="379"/>
      <c r="DI99" s="379"/>
      <c r="DJ99" s="379"/>
      <c r="DK99" s="379"/>
      <c r="DL99" s="379"/>
      <c r="DM99" s="379"/>
      <c r="DN99" s="379"/>
      <c r="DO99" s="379"/>
      <c r="DP99" s="379"/>
      <c r="DQ99" s="379"/>
      <c r="DR99" s="379"/>
      <c r="DS99" s="379"/>
      <c r="DT99" s="379"/>
      <c r="DU99" s="379"/>
      <c r="DV99" s="379"/>
      <c r="DW99" s="379"/>
      <c r="DX99" s="379"/>
      <c r="DY99" s="379"/>
      <c r="DZ99" s="380"/>
    </row>
    <row r="100" spans="1:182" ht="36" customHeight="1" x14ac:dyDescent="0.2">
      <c r="A100" s="191"/>
      <c r="B100" s="82" t="s">
        <v>35</v>
      </c>
      <c r="C100" s="210" t="s">
        <v>36</v>
      </c>
      <c r="D100" s="211"/>
      <c r="E100" s="211"/>
      <c r="F100" s="211"/>
      <c r="G100" s="211"/>
      <c r="H100" s="211"/>
      <c r="I100" s="211"/>
      <c r="J100" s="211"/>
      <c r="K100" s="211"/>
      <c r="L100" s="211"/>
      <c r="M100" s="194" t="s">
        <v>37</v>
      </c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212">
        <v>8.3000000000000004E-2</v>
      </c>
      <c r="AA100" s="212"/>
      <c r="AB100" s="212"/>
      <c r="AC100" s="212"/>
      <c r="AD100" s="212"/>
      <c r="AE100" s="212"/>
      <c r="AF100" s="212"/>
      <c r="AG100" s="213">
        <f>TRUNC(MIN(D4:BM6,D7:BM9,D10:BM12,D13:BM15),3)</f>
        <v>0.27700000000000002</v>
      </c>
      <c r="AH100" s="206"/>
      <c r="AI100" s="206"/>
      <c r="AJ100" s="206"/>
      <c r="AK100" s="206"/>
      <c r="AL100" s="207" t="s">
        <v>38</v>
      </c>
      <c r="AM100" s="208"/>
      <c r="AN100" s="208"/>
      <c r="AO100" s="208"/>
      <c r="AP100" s="208"/>
      <c r="AQ100" s="208"/>
      <c r="AR100" s="208"/>
      <c r="AS100" s="208"/>
      <c r="AT100" s="208"/>
      <c r="AU100" s="208"/>
      <c r="AV100" s="209"/>
      <c r="AW100" s="186"/>
      <c r="AX100" s="187"/>
      <c r="AY100" s="187"/>
      <c r="AZ100" s="187"/>
      <c r="BA100" s="187"/>
      <c r="BB100" s="187"/>
      <c r="BC100" s="187"/>
      <c r="BD100" s="187"/>
      <c r="BE100" s="187"/>
      <c r="BF100" s="187"/>
      <c r="BG100" s="187"/>
      <c r="BH100" s="187"/>
      <c r="BI100" s="187"/>
      <c r="BJ100" s="187"/>
      <c r="BK100" s="187"/>
      <c r="BL100" s="187"/>
      <c r="BM100" s="187"/>
      <c r="BN100" s="187"/>
      <c r="BO100" s="187"/>
      <c r="BP100" s="187"/>
      <c r="BQ100" s="187"/>
      <c r="BR100" s="178"/>
      <c r="BS100" s="178"/>
      <c r="BT100" s="178"/>
      <c r="BU100" s="178"/>
      <c r="BV100" s="178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9"/>
      <c r="CL100" s="378" t="str">
        <f>Thickness!CL100</f>
        <v>NO. 1 RECOVERY BOILER</v>
      </c>
      <c r="CM100" s="379"/>
      <c r="CN100" s="379"/>
      <c r="CO100" s="379"/>
      <c r="CP100" s="379"/>
      <c r="CQ100" s="379"/>
      <c r="CR100" s="379"/>
      <c r="CS100" s="379"/>
      <c r="CT100" s="379"/>
      <c r="CU100" s="379"/>
      <c r="CV100" s="379"/>
      <c r="CW100" s="379"/>
      <c r="CX100" s="379"/>
      <c r="CY100" s="379"/>
      <c r="CZ100" s="379"/>
      <c r="DA100" s="379"/>
      <c r="DB100" s="379"/>
      <c r="DC100" s="379"/>
      <c r="DD100" s="379"/>
      <c r="DE100" s="379"/>
      <c r="DF100" s="379"/>
      <c r="DG100" s="379"/>
      <c r="DH100" s="379"/>
      <c r="DI100" s="379"/>
      <c r="DJ100" s="379"/>
      <c r="DK100" s="379"/>
      <c r="DL100" s="379"/>
      <c r="DM100" s="379"/>
      <c r="DN100" s="379"/>
      <c r="DO100" s="379"/>
      <c r="DP100" s="379"/>
      <c r="DQ100" s="379"/>
      <c r="DR100" s="379"/>
      <c r="DS100" s="379"/>
      <c r="DT100" s="379"/>
      <c r="DU100" s="379"/>
      <c r="DV100" s="379"/>
      <c r="DW100" s="379"/>
      <c r="DX100" s="379"/>
      <c r="DY100" s="379"/>
      <c r="DZ100" s="380"/>
    </row>
    <row r="101" spans="1:182" ht="36" customHeight="1" x14ac:dyDescent="0.2">
      <c r="A101" s="191"/>
      <c r="B101" s="83" t="s">
        <v>40</v>
      </c>
      <c r="C101" s="214" t="s">
        <v>41</v>
      </c>
      <c r="D101" s="211"/>
      <c r="E101" s="211"/>
      <c r="F101" s="211"/>
      <c r="G101" s="211"/>
      <c r="H101" s="211"/>
      <c r="I101" s="211"/>
      <c r="J101" s="211"/>
      <c r="K101" s="211"/>
      <c r="L101" s="211"/>
      <c r="M101" s="215" t="s">
        <v>42</v>
      </c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7">
        <v>0.2</v>
      </c>
      <c r="AA101" s="217"/>
      <c r="AB101" s="217"/>
      <c r="AC101" s="217"/>
      <c r="AD101" s="217"/>
      <c r="AE101" s="217"/>
      <c r="AF101" s="217"/>
      <c r="AG101" s="218">
        <f>STDEV(D4:BM6,D7:BM9,D10:BM12,D13:BM15)</f>
        <v>1.5944933977292915E-2</v>
      </c>
      <c r="AH101" s="219"/>
      <c r="AI101" s="219"/>
      <c r="AJ101" s="219"/>
      <c r="AK101" s="219"/>
      <c r="AL101" s="220" t="s">
        <v>43</v>
      </c>
      <c r="AM101" s="221"/>
      <c r="AN101" s="221"/>
      <c r="AO101" s="221"/>
      <c r="AP101" s="221"/>
      <c r="AQ101" s="221"/>
      <c r="AR101" s="221"/>
      <c r="AS101" s="221"/>
      <c r="AT101" s="221"/>
      <c r="AU101" s="221"/>
      <c r="AV101" s="222"/>
      <c r="AW101" s="180" t="str">
        <f>Thickness!AW101</f>
        <v>Job #  H449364  P.O. #  0018342455 W.O. #  N/A   Date:  5/05/2025</v>
      </c>
      <c r="AX101" s="275"/>
      <c r="AY101" s="275"/>
      <c r="AZ101" s="275"/>
      <c r="BA101" s="275"/>
      <c r="BB101" s="275"/>
      <c r="BC101" s="275"/>
      <c r="BD101" s="275"/>
      <c r="BE101" s="275"/>
      <c r="BF101" s="275"/>
      <c r="BG101" s="275"/>
      <c r="BH101" s="275"/>
      <c r="BI101" s="275"/>
      <c r="BJ101" s="275"/>
      <c r="BK101" s="275"/>
      <c r="BL101" s="275"/>
      <c r="BM101" s="275"/>
      <c r="BN101" s="275"/>
      <c r="BO101" s="275"/>
      <c r="BP101" s="275"/>
      <c r="BQ101" s="275"/>
      <c r="BR101" s="275"/>
      <c r="BS101" s="275"/>
      <c r="BT101" s="275"/>
      <c r="BU101" s="275"/>
      <c r="BV101" s="275"/>
      <c r="BW101" s="275"/>
      <c r="BX101" s="275"/>
      <c r="BY101" s="275"/>
      <c r="BZ101" s="275"/>
      <c r="CA101" s="275"/>
      <c r="CB101" s="275"/>
      <c r="CC101" s="275"/>
      <c r="CD101" s="275"/>
      <c r="CE101" s="275"/>
      <c r="CF101" s="275"/>
      <c r="CG101" s="275"/>
      <c r="CH101" s="275"/>
      <c r="CI101" s="275"/>
      <c r="CJ101" s="275"/>
      <c r="CK101" s="276"/>
      <c r="CL101" s="373" t="str">
        <f>Thickness!CL101</f>
        <v>01 FLOOR</v>
      </c>
      <c r="CM101" s="374"/>
      <c r="CN101" s="374"/>
      <c r="CO101" s="374"/>
      <c r="CP101" s="374"/>
      <c r="CQ101" s="374"/>
      <c r="CR101" s="374"/>
      <c r="CS101" s="374"/>
      <c r="CT101" s="374"/>
      <c r="CU101" s="374"/>
      <c r="CV101" s="374"/>
      <c r="CW101" s="374"/>
      <c r="CX101" s="374"/>
      <c r="CY101" s="374"/>
      <c r="CZ101" s="374"/>
      <c r="DA101" s="374"/>
      <c r="DB101" s="374"/>
      <c r="DC101" s="374"/>
      <c r="DD101" s="374"/>
      <c r="DE101" s="374"/>
      <c r="DF101" s="374"/>
      <c r="DG101" s="374"/>
      <c r="DH101" s="374"/>
      <c r="DI101" s="374"/>
      <c r="DJ101" s="374"/>
      <c r="DK101" s="374"/>
      <c r="DL101" s="374"/>
      <c r="DM101" s="374"/>
      <c r="DN101" s="374"/>
      <c r="DO101" s="374"/>
      <c r="DP101" s="374"/>
      <c r="DQ101" s="374"/>
      <c r="DR101" s="374"/>
      <c r="DS101" s="374"/>
      <c r="DT101" s="374"/>
      <c r="DU101" s="374"/>
      <c r="DV101" s="374"/>
      <c r="DW101" s="374"/>
      <c r="DX101" s="374"/>
      <c r="DY101" s="374"/>
      <c r="DZ101" s="375"/>
    </row>
    <row r="102" spans="1:182" ht="36" customHeight="1" x14ac:dyDescent="0.35">
      <c r="B102" s="16" t="s">
        <v>130</v>
      </c>
    </row>
    <row r="103" spans="1:182" ht="36" customHeight="1" x14ac:dyDescent="0.2"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182" ht="36" customHeight="1" x14ac:dyDescent="0.2"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</row>
    <row r="105" spans="1:182" x14ac:dyDescent="0.2"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BJ105" s="3"/>
      <c r="BK105" s="3"/>
      <c r="BL105" s="3"/>
      <c r="BM105" s="3"/>
      <c r="BN105" s="3"/>
      <c r="BO105" s="3"/>
      <c r="BP105" s="3"/>
      <c r="BQ105" s="3"/>
      <c r="BR105" s="174" t="s">
        <v>21</v>
      </c>
      <c r="BS105" s="174"/>
      <c r="BT105" s="174"/>
      <c r="BU105" s="174"/>
      <c r="BV105" s="174"/>
      <c r="BW105" s="174"/>
      <c r="BX105" s="174"/>
      <c r="BY105" s="174"/>
      <c r="BZ105" s="174"/>
      <c r="CA105" s="174"/>
      <c r="CB105" s="174"/>
      <c r="CC105" s="174"/>
      <c r="CD105" s="174"/>
      <c r="CE105" s="174"/>
      <c r="CF105" s="174"/>
      <c r="CG105" s="174"/>
      <c r="CH105" s="174"/>
      <c r="CI105" s="174"/>
      <c r="CJ105" s="174"/>
      <c r="CK105" s="175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</row>
    <row r="106" spans="1:182" x14ac:dyDescent="0.2">
      <c r="BJ106" s="3"/>
      <c r="BK106" s="3"/>
      <c r="BL106" s="3"/>
      <c r="BM106" s="3"/>
      <c r="BN106" s="3"/>
      <c r="BO106" s="3"/>
      <c r="BP106" s="3"/>
      <c r="BQ106" s="3"/>
      <c r="BR106" s="176"/>
      <c r="BS106" s="176"/>
      <c r="BT106" s="176"/>
      <c r="BU106" s="176"/>
      <c r="BV106" s="176"/>
      <c r="BW106" s="176"/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7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</row>
    <row r="107" spans="1:182" x14ac:dyDescent="0.2">
      <c r="BR107" s="176"/>
      <c r="BS107" s="176"/>
      <c r="BT107" s="176"/>
      <c r="BU107" s="176"/>
      <c r="BV107" s="176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7"/>
    </row>
    <row r="108" spans="1:182" x14ac:dyDescent="0.2">
      <c r="BR108" s="178"/>
      <c r="BS108" s="178"/>
      <c r="BT108" s="178"/>
      <c r="BU108" s="178"/>
      <c r="BV108" s="178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9"/>
    </row>
    <row r="110" spans="1:182" x14ac:dyDescent="0.2">
      <c r="BR110" s="174" t="s">
        <v>47</v>
      </c>
      <c r="BS110" s="174"/>
      <c r="BT110" s="174"/>
      <c r="BU110" s="174"/>
      <c r="BV110" s="174"/>
      <c r="BW110" s="174"/>
      <c r="BX110" s="174"/>
      <c r="BY110" s="174"/>
      <c r="BZ110" s="174"/>
      <c r="CA110" s="174"/>
      <c r="CB110" s="174"/>
      <c r="CC110" s="174"/>
      <c r="CD110" s="174"/>
      <c r="CE110" s="174"/>
      <c r="CF110" s="174"/>
      <c r="CG110" s="174"/>
      <c r="CH110" s="174"/>
      <c r="CI110" s="174"/>
      <c r="CJ110" s="174"/>
      <c r="CK110" s="175"/>
    </row>
    <row r="111" spans="1:182" x14ac:dyDescent="0.2">
      <c r="BR111" s="176"/>
      <c r="BS111" s="176"/>
      <c r="BT111" s="176"/>
      <c r="BU111" s="176"/>
      <c r="BV111" s="176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7"/>
    </row>
    <row r="112" spans="1:182" x14ac:dyDescent="0.2">
      <c r="BR112" s="176"/>
      <c r="BS112" s="176"/>
      <c r="BT112" s="176"/>
      <c r="BU112" s="176"/>
      <c r="BV112" s="176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7"/>
    </row>
    <row r="113" spans="70:89" x14ac:dyDescent="0.2">
      <c r="BR113" s="178"/>
      <c r="BS113" s="178"/>
      <c r="BT113" s="178"/>
      <c r="BU113" s="178"/>
      <c r="BV113" s="178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9"/>
    </row>
    <row r="115" spans="70:89" x14ac:dyDescent="0.2">
      <c r="BR115" s="174" t="s">
        <v>48</v>
      </c>
      <c r="BS115" s="174"/>
      <c r="BT115" s="174"/>
      <c r="BU115" s="174"/>
      <c r="BV115" s="174"/>
      <c r="BW115" s="174"/>
      <c r="BX115" s="174"/>
      <c r="BY115" s="174"/>
      <c r="BZ115" s="174"/>
      <c r="CA115" s="174"/>
      <c r="CB115" s="174"/>
      <c r="CC115" s="174"/>
      <c r="CD115" s="174"/>
      <c r="CE115" s="174"/>
      <c r="CF115" s="174"/>
      <c r="CG115" s="174"/>
      <c r="CH115" s="174"/>
      <c r="CI115" s="174"/>
      <c r="CJ115" s="174"/>
      <c r="CK115" s="175"/>
    </row>
    <row r="116" spans="70:89" x14ac:dyDescent="0.2">
      <c r="BR116" s="176"/>
      <c r="BS116" s="176"/>
      <c r="BT116" s="176"/>
      <c r="BU116" s="176"/>
      <c r="BV116" s="176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7"/>
    </row>
    <row r="117" spans="70:89" x14ac:dyDescent="0.2">
      <c r="BR117" s="176"/>
      <c r="BS117" s="176"/>
      <c r="BT117" s="176"/>
      <c r="BU117" s="176"/>
      <c r="BV117" s="176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7"/>
    </row>
    <row r="118" spans="70:89" x14ac:dyDescent="0.2">
      <c r="BR118" s="178"/>
      <c r="BS118" s="178"/>
      <c r="BT118" s="178"/>
      <c r="BU118" s="178"/>
      <c r="BV118" s="178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9"/>
    </row>
  </sheetData>
  <mergeCells count="307">
    <mergeCell ref="BJ13:BJ15"/>
    <mergeCell ref="BK13:BK15"/>
    <mergeCell ref="BL13:BL15"/>
    <mergeCell ref="BM13:BM15"/>
    <mergeCell ref="BE13:BE15"/>
    <mergeCell ref="BF13:BF15"/>
    <mergeCell ref="BG13:BG15"/>
    <mergeCell ref="BH13:BH15"/>
    <mergeCell ref="BI13:BI15"/>
    <mergeCell ref="AZ13:AZ15"/>
    <mergeCell ref="BA13:BA15"/>
    <mergeCell ref="BB13:BB15"/>
    <mergeCell ref="BC13:BC15"/>
    <mergeCell ref="BD13:BD15"/>
    <mergeCell ref="AU13:AU15"/>
    <mergeCell ref="AV13:AV15"/>
    <mergeCell ref="AW13:AW15"/>
    <mergeCell ref="AX13:AX15"/>
    <mergeCell ref="AY13:AY15"/>
    <mergeCell ref="AP13:AP15"/>
    <mergeCell ref="AQ13:AQ15"/>
    <mergeCell ref="AR13:AR15"/>
    <mergeCell ref="AS13:AS15"/>
    <mergeCell ref="AT13:AT15"/>
    <mergeCell ref="AK13:AK15"/>
    <mergeCell ref="AL13:AL15"/>
    <mergeCell ref="AM13:AM15"/>
    <mergeCell ref="AN13:AN15"/>
    <mergeCell ref="AO13:AO15"/>
    <mergeCell ref="AF13:AF15"/>
    <mergeCell ref="AG13:AG15"/>
    <mergeCell ref="AH13:AH15"/>
    <mergeCell ref="AI13:AI15"/>
    <mergeCell ref="AJ13:AJ15"/>
    <mergeCell ref="AA13:AA15"/>
    <mergeCell ref="AB13:AB15"/>
    <mergeCell ref="AC13:AC15"/>
    <mergeCell ref="AD13:AD15"/>
    <mergeCell ref="AE13:AE15"/>
    <mergeCell ref="V13:V15"/>
    <mergeCell ref="W13:W15"/>
    <mergeCell ref="X13:X15"/>
    <mergeCell ref="Y13:Y15"/>
    <mergeCell ref="Z13:Z15"/>
    <mergeCell ref="Q13:Q15"/>
    <mergeCell ref="R13:R15"/>
    <mergeCell ref="S13:S15"/>
    <mergeCell ref="T13:T15"/>
    <mergeCell ref="U13:U15"/>
    <mergeCell ref="BK10:BK12"/>
    <mergeCell ref="BL10:BL12"/>
    <mergeCell ref="BM10:BM12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BF10:BF12"/>
    <mergeCell ref="BG10:BG12"/>
    <mergeCell ref="BH10:BH12"/>
    <mergeCell ref="BI10:BI12"/>
    <mergeCell ref="BJ10:BJ12"/>
    <mergeCell ref="BA10:BA12"/>
    <mergeCell ref="BB10:BB12"/>
    <mergeCell ref="BC10:BC12"/>
    <mergeCell ref="BD10:BD12"/>
    <mergeCell ref="BE10:BE12"/>
    <mergeCell ref="AV10:AV12"/>
    <mergeCell ref="AW10:AW12"/>
    <mergeCell ref="AX10:AX12"/>
    <mergeCell ref="AY10:AY12"/>
    <mergeCell ref="AZ10:AZ12"/>
    <mergeCell ref="AQ10:AQ12"/>
    <mergeCell ref="AR10:AR12"/>
    <mergeCell ref="AS10:AS12"/>
    <mergeCell ref="AT10:AT12"/>
    <mergeCell ref="AU10:AU12"/>
    <mergeCell ref="AL10:AL12"/>
    <mergeCell ref="AM10:AM12"/>
    <mergeCell ref="AN10:AN12"/>
    <mergeCell ref="AO10:AO12"/>
    <mergeCell ref="AP10:AP12"/>
    <mergeCell ref="AG10:AG12"/>
    <mergeCell ref="AH10:AH12"/>
    <mergeCell ref="AI10:AI12"/>
    <mergeCell ref="AJ10:AJ12"/>
    <mergeCell ref="AK10:AK12"/>
    <mergeCell ref="AB10:AB12"/>
    <mergeCell ref="AC10:AC12"/>
    <mergeCell ref="AD10:AD12"/>
    <mergeCell ref="AE10:AE12"/>
    <mergeCell ref="AF10:AF12"/>
    <mergeCell ref="BK7:BK9"/>
    <mergeCell ref="BL7:BL9"/>
    <mergeCell ref="BM7:BM9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BF7:BF9"/>
    <mergeCell ref="BG7:BG9"/>
    <mergeCell ref="BH7:BH9"/>
    <mergeCell ref="BJ7:BJ9"/>
    <mergeCell ref="BA7:BA9"/>
    <mergeCell ref="BB7:BB9"/>
    <mergeCell ref="BC7:BC9"/>
    <mergeCell ref="BD7:BD9"/>
    <mergeCell ref="BE7:BE9"/>
    <mergeCell ref="AV7:AV9"/>
    <mergeCell ref="AW7:AW9"/>
    <mergeCell ref="AX7:AX9"/>
    <mergeCell ref="AY7:AY9"/>
    <mergeCell ref="AZ7:AZ9"/>
    <mergeCell ref="AS7:AS9"/>
    <mergeCell ref="AT7:AT9"/>
    <mergeCell ref="AU7:AU9"/>
    <mergeCell ref="AL7:AL9"/>
    <mergeCell ref="AM7:AM9"/>
    <mergeCell ref="AN7:AN9"/>
    <mergeCell ref="AO7:AO9"/>
    <mergeCell ref="AP7:AP9"/>
    <mergeCell ref="BI7:BI9"/>
    <mergeCell ref="AJ7:AJ9"/>
    <mergeCell ref="AK7:AK9"/>
    <mergeCell ref="AB7:AB9"/>
    <mergeCell ref="AC7:AC9"/>
    <mergeCell ref="AD7:AD9"/>
    <mergeCell ref="AE7:AE9"/>
    <mergeCell ref="AF7:AF9"/>
    <mergeCell ref="AQ7:AQ9"/>
    <mergeCell ref="AR7:AR9"/>
    <mergeCell ref="AA7:AA9"/>
    <mergeCell ref="R7:R9"/>
    <mergeCell ref="S7:S9"/>
    <mergeCell ref="T7:T9"/>
    <mergeCell ref="U7:U9"/>
    <mergeCell ref="V7:V9"/>
    <mergeCell ref="AG7:AG9"/>
    <mergeCell ref="AH7:AH9"/>
    <mergeCell ref="AI7:AI9"/>
    <mergeCell ref="BI4:BI6"/>
    <mergeCell ref="BJ4:BJ6"/>
    <mergeCell ref="BK4:BK6"/>
    <mergeCell ref="BL4:BL6"/>
    <mergeCell ref="BM4:BM6"/>
    <mergeCell ref="BD4:BD6"/>
    <mergeCell ref="BE4:BE6"/>
    <mergeCell ref="BF4:BF6"/>
    <mergeCell ref="BG4:BG6"/>
    <mergeCell ref="BH4:BH6"/>
    <mergeCell ref="AY4:AY6"/>
    <mergeCell ref="AZ4:AZ6"/>
    <mergeCell ref="BA4:BA6"/>
    <mergeCell ref="BB4:BB6"/>
    <mergeCell ref="BC4:BC6"/>
    <mergeCell ref="AT4:AT6"/>
    <mergeCell ref="AU4:AU6"/>
    <mergeCell ref="AV4:AV6"/>
    <mergeCell ref="AW4:AW6"/>
    <mergeCell ref="AX4:AX6"/>
    <mergeCell ref="AB4:AB6"/>
    <mergeCell ref="AC4:AC6"/>
    <mergeCell ref="AD4:AD6"/>
    <mergeCell ref="AO4:AO6"/>
    <mergeCell ref="AP4:AP6"/>
    <mergeCell ref="AQ4:AQ6"/>
    <mergeCell ref="AR4:AR6"/>
    <mergeCell ref="AS4:AS6"/>
    <mergeCell ref="AJ4:AJ6"/>
    <mergeCell ref="AK4:AK6"/>
    <mergeCell ref="AL4:AL6"/>
    <mergeCell ref="AM4:AM6"/>
    <mergeCell ref="AN4:AN6"/>
    <mergeCell ref="Z97:AF97"/>
    <mergeCell ref="AG97:AV97"/>
    <mergeCell ref="A16:B16"/>
    <mergeCell ref="D4:D6"/>
    <mergeCell ref="E4:E6"/>
    <mergeCell ref="F4:F6"/>
    <mergeCell ref="G4:G6"/>
    <mergeCell ref="D7:D9"/>
    <mergeCell ref="E7:E9"/>
    <mergeCell ref="F7:F9"/>
    <mergeCell ref="G7:G9"/>
    <mergeCell ref="A11:A12"/>
    <mergeCell ref="A14:A15"/>
    <mergeCell ref="U4:U6"/>
    <mergeCell ref="V4:V6"/>
    <mergeCell ref="W4:W6"/>
    <mergeCell ref="X4:X6"/>
    <mergeCell ref="Y4:Y6"/>
    <mergeCell ref="P4:P6"/>
    <mergeCell ref="Q4:Q6"/>
    <mergeCell ref="R4:R6"/>
    <mergeCell ref="S4:S6"/>
    <mergeCell ref="T4:T6"/>
    <mergeCell ref="AE4:AE6"/>
    <mergeCell ref="A98:A101"/>
    <mergeCell ref="C98:L98"/>
    <mergeCell ref="M98:Y98"/>
    <mergeCell ref="Z98:AF98"/>
    <mergeCell ref="AG98:AK98"/>
    <mergeCell ref="AL98:AV98"/>
    <mergeCell ref="C99:L99"/>
    <mergeCell ref="M99:Y99"/>
    <mergeCell ref="Z99:AF99"/>
    <mergeCell ref="AG99:AK99"/>
    <mergeCell ref="AL99:AV99"/>
    <mergeCell ref="C100:L100"/>
    <mergeCell ref="M100:Y100"/>
    <mergeCell ref="Z100:AF100"/>
    <mergeCell ref="AG100:AK100"/>
    <mergeCell ref="AL100:AV100"/>
    <mergeCell ref="C101:L101"/>
    <mergeCell ref="M101:Y101"/>
    <mergeCell ref="Z101:AF101"/>
    <mergeCell ref="AG101:AK101"/>
    <mergeCell ref="AL101:AV101"/>
    <mergeCell ref="CL101:DZ101"/>
    <mergeCell ref="BR105:CK108"/>
    <mergeCell ref="BR110:CK113"/>
    <mergeCell ref="BR115:CK118"/>
    <mergeCell ref="C4:C6"/>
    <mergeCell ref="AW101:CK101"/>
    <mergeCell ref="CL99:DZ99"/>
    <mergeCell ref="CL100:DZ100"/>
    <mergeCell ref="BR97:CK100"/>
    <mergeCell ref="CL97:DZ97"/>
    <mergeCell ref="CL98:DZ98"/>
    <mergeCell ref="AW97:BQ100"/>
    <mergeCell ref="C7:C9"/>
    <mergeCell ref="C13:C15"/>
    <mergeCell ref="C97:L97"/>
    <mergeCell ref="M97:Y97"/>
    <mergeCell ref="C10:C12"/>
    <mergeCell ref="BN10:BN12"/>
    <mergeCell ref="BO10:BO12"/>
    <mergeCell ref="BN13:BN15"/>
    <mergeCell ref="BO13:BO15"/>
    <mergeCell ref="Q10:Q12"/>
    <mergeCell ref="R10:R12"/>
    <mergeCell ref="S10:S12"/>
    <mergeCell ref="A1:B2"/>
    <mergeCell ref="C1:DP1"/>
    <mergeCell ref="DQ1:DZ1"/>
    <mergeCell ref="C2:DP2"/>
    <mergeCell ref="DQ2:DZ2"/>
    <mergeCell ref="A8:A9"/>
    <mergeCell ref="BN4:BN6"/>
    <mergeCell ref="BO4:BO6"/>
    <mergeCell ref="BN7:BN9"/>
    <mergeCell ref="BO7:BO9"/>
    <mergeCell ref="A5:A6"/>
    <mergeCell ref="H4:H6"/>
    <mergeCell ref="I4:I6"/>
    <mergeCell ref="J4:J6"/>
    <mergeCell ref="K4:K6"/>
    <mergeCell ref="L4:L6"/>
    <mergeCell ref="M4:M6"/>
    <mergeCell ref="N4:N6"/>
    <mergeCell ref="O4:O6"/>
    <mergeCell ref="AF4:AF6"/>
    <mergeCell ref="AG4:AG6"/>
    <mergeCell ref="AH4:AH6"/>
    <mergeCell ref="AI4:AI6"/>
    <mergeCell ref="Z4:Z6"/>
    <mergeCell ref="T10:T12"/>
    <mergeCell ref="U10:U12"/>
    <mergeCell ref="V10:V12"/>
    <mergeCell ref="W10:W12"/>
    <mergeCell ref="X10:X12"/>
    <mergeCell ref="Y10:Y12"/>
    <mergeCell ref="Z10:Z12"/>
    <mergeCell ref="AA10:AA12"/>
    <mergeCell ref="A3:B3"/>
    <mergeCell ref="AA4:AA6"/>
    <mergeCell ref="M7:M9"/>
    <mergeCell ref="N7:N9"/>
    <mergeCell ref="O7:O9"/>
    <mergeCell ref="P7:P9"/>
    <mergeCell ref="Q7:Q9"/>
    <mergeCell ref="H7:H9"/>
    <mergeCell ref="I7:I9"/>
    <mergeCell ref="J7:J9"/>
    <mergeCell ref="K7:K9"/>
    <mergeCell ref="L7:L9"/>
    <mergeCell ref="W7:W9"/>
    <mergeCell ref="X7:X9"/>
    <mergeCell ref="Y7:Y9"/>
    <mergeCell ref="Z7:Z9"/>
  </mergeCells>
  <conditionalFormatting sqref="D4:BM15 AG98:AG100">
    <cfRule type="cellIs" dxfId="10" priority="1" operator="between">
      <formula>0.001</formula>
      <formula>0.083</formula>
    </cfRule>
    <cfRule type="cellIs" dxfId="9" priority="2" operator="between">
      <formula>0.084</formula>
      <formula>0.113</formula>
    </cfRule>
    <cfRule type="cellIs" dxfId="8" priority="3" operator="between">
      <formula>0.114</formula>
      <formula>0.143</formula>
    </cfRule>
    <cfRule type="cellIs" dxfId="7" priority="4" operator="between">
      <formula>0.144</formula>
      <formula>0.173</formula>
    </cfRule>
    <cfRule type="cellIs" dxfId="6" priority="5" operator="between">
      <formula>0.174</formula>
      <formula>0.203</formula>
    </cfRule>
    <cfRule type="cellIs" dxfId="5" priority="6" operator="between">
      <formula>0.204</formula>
      <formula>0.233</formula>
    </cfRule>
    <cfRule type="cellIs" dxfId="4" priority="7" operator="between">
      <formula>0.234</formula>
      <formula>0.263</formula>
    </cfRule>
    <cfRule type="cellIs" dxfId="3" priority="8" operator="between">
      <formula>0.264</formula>
      <formula>0.293</formula>
    </cfRule>
    <cfRule type="cellIs" dxfId="2" priority="9" operator="between">
      <formula>0.294</formula>
      <formula>0.323</formula>
    </cfRule>
    <cfRule type="cellIs" dxfId="1" priority="10" operator="between">
      <formula>0.324</formula>
      <formula>0.999</formula>
    </cfRule>
    <cfRule type="containsText" dxfId="0" priority="50" operator="containsText" text="">
      <formula>NOT(ISERROR(SEARCH("",D4)))</formula>
    </cfRule>
  </conditionalFormatting>
  <printOptions horizontalCentered="1"/>
  <pageMargins left="0.25" right="0.25" top="0.75" bottom="0.25" header="0" footer="0"/>
  <pageSetup scale="36" pageOrder="overThenDown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Thickness</vt:lpstr>
      <vt:lpstr>Corrosion</vt:lpstr>
      <vt:lpstr>Projection</vt:lpstr>
      <vt:lpstr>Retirement</vt:lpstr>
      <vt:lpstr>Low</vt:lpstr>
      <vt:lpstr>Corrosion!Print_Area</vt:lpstr>
      <vt:lpstr>Low!Print_Area</vt:lpstr>
      <vt:lpstr>Projection!Print_Area</vt:lpstr>
      <vt:lpstr>Retirement!Print_Area</vt:lpstr>
      <vt:lpstr>Thickness!Print_Area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Smith</dc:creator>
  <cp:lastModifiedBy>Dave Smith</cp:lastModifiedBy>
  <cp:lastPrinted>2025-05-11T15:01:54Z</cp:lastPrinted>
  <dcterms:created xsi:type="dcterms:W3CDTF">2007-12-19T20:22:39Z</dcterms:created>
  <dcterms:modified xsi:type="dcterms:W3CDTF">2025-05-11T15:10:29Z</dcterms:modified>
</cp:coreProperties>
</file>